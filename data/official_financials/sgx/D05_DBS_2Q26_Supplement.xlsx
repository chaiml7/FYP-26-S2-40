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c4c73d3686cd2e/SIM/321 Project/Assignments/FYP-26-S2-40/data/official_financials/sgx/"/>
    </mc:Choice>
  </mc:AlternateContent>
  <xr:revisionPtr revIDLastSave="0" documentId="8_{D5F9A8AF-169D-43E0-9E2C-611D4493E111}" xr6:coauthVersionLast="47" xr6:coauthVersionMax="47" xr10:uidLastSave="{00000000-0000-0000-0000-000000000000}"/>
  <bookViews>
    <workbookView xWindow="-120" yWindow="-120" windowWidth="38640" windowHeight="21120" tabRatio="877" firstSheet="1" activeTab="1" xr2:uid="{928E5A0D-6A34-4808-A48B-EE62AFCC39F8}"/>
  </bookViews>
  <sheets>
    <sheet name="Index" sheetId="1" r:id="rId1"/>
    <sheet name="1.Highlights" sheetId="2" r:id="rId2"/>
    <sheet name="2.PerShare" sheetId="7" r:id="rId3"/>
    <sheet name="3.NetInterest" sheetId="3" r:id="rId4"/>
    <sheet name="4.NonInterest" sheetId="4" r:id="rId5"/>
    <sheet name="5.Expenses" sheetId="5" r:id="rId6"/>
    <sheet name="6.Allowances" sheetId="6" r:id="rId7"/>
    <sheet name="7.Loans" sheetId="20" r:id="rId8"/>
    <sheet name="8.FVOCI &amp; CFH" sheetId="28" r:id="rId9"/>
    <sheet name="9.Deposits" sheetId="24" r:id="rId10"/>
    <sheet name="10. Debts issued" sheetId="37" r:id="rId11"/>
    <sheet name="11.NPL,Coverage ratios" sheetId="21" r:id="rId12"/>
    <sheet name="12.NPA" sheetId="30" r:id="rId13"/>
    <sheet name="13.CumulativeAllowances" sheetId="31" r:id="rId14"/>
    <sheet name="14.Capital" sheetId="25" r:id="rId15"/>
    <sheet name="15.Mix" sheetId="26" r:id="rId16"/>
    <sheet name="16.Consumer" sheetId="16" r:id="rId17"/>
    <sheet name="17.Institutional" sheetId="9" r:id="rId18"/>
    <sheet name="18.Markets" sheetId="17" r:id="rId19"/>
    <sheet name="19.Others" sheetId="23" r:id="rId20"/>
    <sheet name="20.S'pore" sheetId="11" r:id="rId21"/>
    <sheet name="21.HK" sheetId="12" r:id="rId22"/>
    <sheet name="22.GreaterChina" sheetId="13" r:id="rId23"/>
    <sheet name="23.SSEA" sheetId="14" r:id="rId24"/>
    <sheet name="24.ROW" sheetId="8" r:id="rId25"/>
    <sheet name="25.P&amp;L and OCI" sheetId="39" r:id="rId26"/>
    <sheet name="26.BalSheet" sheetId="34" r:id="rId27"/>
    <sheet name="27.CashFlow" sheetId="36" r:id="rId28"/>
    <sheet name="28.Legend" sheetId="29" r:id="rId29"/>
    <sheet name="Quarterly Breakdown-YE only" sheetId="40" state="hidden" r:id="rId30"/>
  </sheets>
  <definedNames>
    <definedName name="_xlnm._FilterDatabase" localSheetId="1" hidden="1">'1.Highlights'!$U$37:$U$50</definedName>
    <definedName name="_xlnm._FilterDatabase" localSheetId="2" hidden="1">'2.PerShare'!$K$16:$L$28</definedName>
    <definedName name="_xlnm._FilterDatabase" localSheetId="27" hidden="1">'27.CashFlow'!$B$7:$D$20</definedName>
    <definedName name="_xlnm.Print_Area" localSheetId="1">'1.Highlights'!$A$1:$Q$68</definedName>
    <definedName name="_xlnm.Print_Area" localSheetId="10">'10. Debts issued'!$A$1:$H$20</definedName>
    <definedName name="_xlnm.Print_Area" localSheetId="11">'11.NPL,Coverage ratios'!$A$1:$H$23</definedName>
    <definedName name="_xlnm.Print_Area" localSheetId="12">'12.NPA'!$A$1:$H$66</definedName>
    <definedName name="_xlnm.Print_Area" localSheetId="13">'13.CumulativeAllowances'!$A$1:$H$39</definedName>
    <definedName name="_xlnm.Print_Area" localSheetId="14">'14.Capital'!$A$1:$I$22</definedName>
    <definedName name="_xlnm.Print_Area" localSheetId="15">'15.Mix'!$A$1:$J$46</definedName>
    <definedName name="_xlnm.Print_Area" localSheetId="16">'16.Consumer'!$A$1:$H$22</definedName>
    <definedName name="_xlnm.Print_Area" localSheetId="17">'17.Institutional'!$A$1:$H$22</definedName>
    <definedName name="_xlnm.Print_Area" localSheetId="18">'18.Markets'!$A$1:$H$24</definedName>
    <definedName name="_xlnm.Print_Area" localSheetId="19">'19.Others'!$A$1:$H$23</definedName>
    <definedName name="_xlnm.Print_Area" localSheetId="2">'2.PerShare'!$A$1:$H$34</definedName>
    <definedName name="_xlnm.Print_Area" localSheetId="20">'20.S''pore'!$A$1:$H$24</definedName>
    <definedName name="_xlnm.Print_Area" localSheetId="21">'21.HK'!$A$1:$H$23</definedName>
    <definedName name="_xlnm.Print_Area" localSheetId="22">'22.GreaterChina'!$A$1:$H$23</definedName>
    <definedName name="_xlnm.Print_Area" localSheetId="23">'23.SSEA'!$A$1:$H$23</definedName>
    <definedName name="_xlnm.Print_Area" localSheetId="24">'24.ROW'!$A$1:$H$24</definedName>
    <definedName name="_xlnm.Print_Area" localSheetId="25">'25.P&amp;L and OCI'!$A$1:$G$68</definedName>
    <definedName name="_xlnm.Print_Area" localSheetId="26">'26.BalSheet'!$A$1:$J$48</definedName>
    <definedName name="_xlnm.Print_Area" localSheetId="27">'27.CashFlow'!$A$1:$D$63</definedName>
    <definedName name="_xlnm.Print_Area" localSheetId="28">'28.Legend'!$A$1:$F$22</definedName>
    <definedName name="_xlnm.Print_Area" localSheetId="3">'3.NetInterest'!$A$1:$H$52</definedName>
    <definedName name="_xlnm.Print_Area" localSheetId="4">'4.NonInterest'!$A$1:$H$25</definedName>
    <definedName name="_xlnm.Print_Area" localSheetId="5">'5.Expenses'!$A$1:$H$19</definedName>
    <definedName name="_xlnm.Print_Area" localSheetId="6">'6.Allowances'!$A$1:$H$33</definedName>
    <definedName name="_xlnm.Print_Area" localSheetId="7">'7.Loans'!$A$1:$K$40</definedName>
    <definedName name="_xlnm.Print_Area" localSheetId="8">'8.FVOCI &amp; CFH'!$A$1:$H$36</definedName>
    <definedName name="_xlnm.Print_Area" localSheetId="9">'9.Deposits'!$A$1:$H$44</definedName>
    <definedName name="_xlnm.Print_Area" localSheetId="0">Index!$B$1:$K$39</definedName>
    <definedName name="_xlnm.Print_Titles" localSheetId="1">'1.Highlights'!$1:$2</definedName>
    <definedName name="_xlnm.Print_Titles" localSheetId="11">'11.NPL,Coverage ratios'!$A:$C</definedName>
    <definedName name="_xlnm.Print_Titles" localSheetId="12">'12.NPA'!$A:$C</definedName>
    <definedName name="_xlnm.Print_Titles" localSheetId="13">'13.CumulativeAllowances'!$A:$C</definedName>
    <definedName name="_xlnm.Print_Titles" localSheetId="7">'7.Loans'!$A:$C,'7.Loans'!$1:$4</definedName>
  </definedNames>
  <calcPr calcId="191028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40" l="1"/>
  <c r="C42" i="40"/>
  <c r="D42" i="40"/>
  <c r="B46" i="40"/>
  <c r="C46" i="40"/>
  <c r="D46" i="40"/>
  <c r="E46" i="40"/>
  <c r="F46" i="40"/>
  <c r="E42" i="40"/>
  <c r="D37" i="40"/>
  <c r="D38" i="40"/>
  <c r="C37" i="40"/>
  <c r="C38" i="40"/>
  <c r="B37" i="40"/>
  <c r="B38" i="40"/>
  <c r="D27" i="40"/>
  <c r="C27" i="40"/>
  <c r="C28" i="40"/>
  <c r="B27" i="40"/>
  <c r="B28" i="40"/>
  <c r="D22" i="40"/>
  <c r="D23" i="40"/>
  <c r="C22" i="40"/>
  <c r="C23" i="40"/>
  <c r="B22" i="40"/>
  <c r="B23" i="40"/>
  <c r="D12" i="40"/>
  <c r="C12" i="40"/>
  <c r="C13" i="40"/>
  <c r="B12" i="40"/>
  <c r="B13" i="40"/>
  <c r="D7" i="40"/>
  <c r="D8" i="40"/>
  <c r="C7" i="40"/>
  <c r="C8" i="40"/>
  <c r="B7" i="40"/>
  <c r="A47" i="40"/>
  <c r="A46" i="40"/>
  <c r="E43" i="40"/>
  <c r="D43" i="40"/>
  <c r="A42" i="40"/>
  <c r="A41" i="40"/>
  <c r="A37" i="40"/>
  <c r="A36" i="40"/>
  <c r="A32" i="40"/>
  <c r="A31" i="40"/>
  <c r="A27" i="40"/>
  <c r="A26" i="40"/>
  <c r="A22" i="40"/>
  <c r="A21" i="40"/>
  <c r="A17" i="40"/>
  <c r="A16" i="40"/>
  <c r="A12" i="40"/>
  <c r="A11" i="40"/>
  <c r="D17" i="40"/>
  <c r="D18" i="40"/>
  <c r="C17" i="40"/>
  <c r="C32" i="40"/>
  <c r="C33" i="40"/>
  <c r="B17" i="40"/>
  <c r="B18" i="40"/>
  <c r="C47" i="40"/>
  <c r="C48" i="40"/>
  <c r="D47" i="40"/>
  <c r="D48" i="40"/>
  <c r="B47" i="40"/>
  <c r="B48" i="40"/>
  <c r="B8" i="40"/>
  <c r="D13" i="40"/>
  <c r="F42" i="40"/>
  <c r="F43" i="40"/>
  <c r="D28" i="40"/>
  <c r="B43" i="40"/>
  <c r="C43" i="40"/>
  <c r="D32" i="40"/>
  <c r="D33" i="40"/>
  <c r="C18" i="40"/>
  <c r="B32" i="40"/>
  <c r="B33" i="40"/>
  <c r="E22" i="40"/>
  <c r="E27" i="40"/>
  <c r="E23" i="40"/>
  <c r="F22" i="40"/>
  <c r="F23" i="40"/>
  <c r="E28" i="40"/>
  <c r="F27" i="40"/>
  <c r="F28" i="40"/>
  <c r="E12" i="40"/>
  <c r="E13" i="40"/>
  <c r="F12" i="40"/>
  <c r="F13" i="40"/>
  <c r="E37" i="40"/>
  <c r="F37" i="40"/>
  <c r="F38" i="40"/>
  <c r="E38" i="40"/>
  <c r="E47" i="40"/>
  <c r="E48" i="40"/>
  <c r="F47" i="40"/>
  <c r="F48" i="40"/>
  <c r="E7" i="40"/>
  <c r="E8" i="40"/>
  <c r="F7" i="40"/>
  <c r="F8" i="40"/>
  <c r="E17" i="40"/>
  <c r="E18" i="40"/>
  <c r="F17" i="40"/>
  <c r="F18" i="40"/>
  <c r="E32" i="40"/>
  <c r="E33" i="40"/>
  <c r="F32" i="40"/>
  <c r="F33" i="40"/>
</calcChain>
</file>

<file path=xl/sharedStrings.xml><?xml version="1.0" encoding="utf-8"?>
<sst xmlns="http://schemas.openxmlformats.org/spreadsheetml/2006/main" count="1140" uniqueCount="497">
  <si>
    <t>DBS Group Holdings Ltd</t>
  </si>
  <si>
    <t>Page</t>
  </si>
  <si>
    <t>Performance highlights</t>
  </si>
  <si>
    <t>Ordinary share data</t>
  </si>
  <si>
    <t>Consolidated results</t>
  </si>
  <si>
    <t>Net interest income, average balances and rates</t>
  </si>
  <si>
    <t>Non-interest income</t>
  </si>
  <si>
    <t>Expenses</t>
  </si>
  <si>
    <t>Allowances for credit and other losses</t>
  </si>
  <si>
    <t>Customer loans</t>
  </si>
  <si>
    <t>Assets at fair value through other comprehensive income (FVOCI) and Cashflow hedge (CFH) reserves movement</t>
  </si>
  <si>
    <t>Customer deposits</t>
  </si>
  <si>
    <t>Debts issued</t>
  </si>
  <si>
    <t>Non-performing loan and coverage ratios</t>
  </si>
  <si>
    <t>Non-performing assets</t>
  </si>
  <si>
    <t>Cumulative loss allowances</t>
  </si>
  <si>
    <t>Capital adequacy</t>
  </si>
  <si>
    <t>Segment results</t>
  </si>
  <si>
    <t>Business and geographical mix</t>
  </si>
  <si>
    <t>Business segments</t>
  </si>
  <si>
    <t>Consumer Banking/ Wealth Management</t>
  </si>
  <si>
    <t>Institutional Banking</t>
  </si>
  <si>
    <t>Markets Trading</t>
  </si>
  <si>
    <t>Others</t>
  </si>
  <si>
    <t>Geographic segments</t>
  </si>
  <si>
    <t>Singapore</t>
  </si>
  <si>
    <t>Hong Kong</t>
  </si>
  <si>
    <t>Rest of Greater China</t>
  </si>
  <si>
    <t>South and Southeast Asia</t>
  </si>
  <si>
    <t>Rest of World</t>
  </si>
  <si>
    <t>Unaudited consolidated income statement and statement of comprehensive income</t>
  </si>
  <si>
    <t>Unaudited balance sheets</t>
  </si>
  <si>
    <t>Unaudited Consolidated cash flow statement</t>
  </si>
  <si>
    <t>Legend of terms used</t>
  </si>
  <si>
    <t>Back to Index</t>
  </si>
  <si>
    <t>1Q25</t>
  </si>
  <si>
    <t>2Q25</t>
  </si>
  <si>
    <t>1H25</t>
  </si>
  <si>
    <t>Selected income statement items ($m)</t>
  </si>
  <si>
    <t>Commercial book total income</t>
  </si>
  <si>
    <t>Net interest income</t>
  </si>
  <si>
    <t>Net fee and commission income</t>
  </si>
  <si>
    <t>Treasury customer sales and other income</t>
  </si>
  <si>
    <t>Markets trading income</t>
  </si>
  <si>
    <t>Total income</t>
  </si>
  <si>
    <t>Profit before allowances and amortisation</t>
  </si>
  <si>
    <t>Amortisation of intangible assets</t>
  </si>
  <si>
    <t>ECL Stage 3 (SP)</t>
  </si>
  <si>
    <t>ECL Stage 1 and 2 (GP)</t>
  </si>
  <si>
    <t>Share of profits/losses of associates and JVs</t>
  </si>
  <si>
    <t>Profit before tax</t>
  </si>
  <si>
    <t xml:space="preserve">Net profit </t>
  </si>
  <si>
    <r>
      <t>Provision for CSR</t>
    </r>
    <r>
      <rPr>
        <vertAlign val="superscript"/>
        <sz val="11"/>
        <rFont val="Arial"/>
        <family val="2"/>
      </rPr>
      <t>1/</t>
    </r>
  </si>
  <si>
    <t>Reported net profit</t>
  </si>
  <si>
    <t>Selected balance sheet items ($m)</t>
  </si>
  <si>
    <t>Constant-currency change</t>
  </si>
  <si>
    <t>Total assets</t>
  </si>
  <si>
    <r>
      <t>of which:</t>
    </r>
    <r>
      <rPr>
        <sz val="11"/>
        <rFont val="Arial"/>
        <family val="2"/>
      </rPr>
      <t xml:space="preserve"> Non-performing assets</t>
    </r>
  </si>
  <si>
    <t>Total liabilities</t>
  </si>
  <si>
    <t>Shareholders’ funds</t>
  </si>
  <si>
    <r>
      <t>Key financial ratios (%)</t>
    </r>
    <r>
      <rPr>
        <vertAlign val="superscript"/>
        <sz val="11"/>
        <rFont val="Arial"/>
        <family val="2"/>
      </rPr>
      <t>2,3/</t>
    </r>
  </si>
  <si>
    <t>Net interest margin - Group</t>
  </si>
  <si>
    <t>Net interest margin – Commercial Book</t>
  </si>
  <si>
    <t xml:space="preserve">Cost/income ratio </t>
  </si>
  <si>
    <t>Return on assets</t>
  </si>
  <si>
    <r>
      <t>Return on equity</t>
    </r>
    <r>
      <rPr>
        <vertAlign val="superscript"/>
        <sz val="11"/>
        <rFont val="Arial"/>
        <family val="2"/>
      </rPr>
      <t>4,5/</t>
    </r>
  </si>
  <si>
    <t>NPL ratio</t>
  </si>
  <si>
    <t>Total allowances/ NPA</t>
  </si>
  <si>
    <t>Total allowances/ unsecured NPA</t>
  </si>
  <si>
    <t>SP for loans / average loans (bp)</t>
  </si>
  <si>
    <r>
      <t>Earnings</t>
    </r>
    <r>
      <rPr>
        <vertAlign val="superscript"/>
        <sz val="11"/>
        <rFont val="Arial"/>
        <family val="2"/>
      </rPr>
      <t>2/</t>
    </r>
  </si>
  <si>
    <t>Reported earnings</t>
  </si>
  <si>
    <r>
      <t>Net book value</t>
    </r>
    <r>
      <rPr>
        <vertAlign val="superscript"/>
        <sz val="11"/>
        <rFont val="Arial"/>
        <family val="2"/>
      </rPr>
      <t>5/</t>
    </r>
  </si>
  <si>
    <t>1/    Refers to Corporate Social Responsibility (CSR) commitment to DBS Foundation and other charitable causes</t>
  </si>
  <si>
    <t xml:space="preserve">4/    Calculated based on net profit attributable to the shareholders net of dividends on other equity instruments. </t>
  </si>
  <si>
    <t>5/    Non-controlling interests and other equity instruments are not included as equity in the computation</t>
  </si>
  <si>
    <t>nm: Not Meaningful</t>
  </si>
  <si>
    <t>Net book value</t>
  </si>
  <si>
    <t>Net profit (S$m)</t>
  </si>
  <si>
    <t>Dividends on other equity instruments</t>
  </si>
  <si>
    <t>Data used in net book value per share calculations</t>
  </si>
  <si>
    <t>Ordinary shareholders' funds ($m)</t>
  </si>
  <si>
    <t xml:space="preserve">1/ </t>
  </si>
  <si>
    <t xml:space="preserve">2/   </t>
  </si>
  <si>
    <t>3/</t>
  </si>
  <si>
    <t>4/</t>
  </si>
  <si>
    <t>Calculated based on net profit attributable to shareholders net of dividends on other equity instruments</t>
  </si>
  <si>
    <t>Income statement items ($m)</t>
  </si>
  <si>
    <t>Commercial book</t>
  </si>
  <si>
    <t>Average balances ($m)</t>
  </si>
  <si>
    <t>Interest-bearing assets</t>
  </si>
  <si>
    <t>Average rates (%)</t>
  </si>
  <si>
    <r>
      <t>Net interest margin (NIM)</t>
    </r>
    <r>
      <rPr>
        <vertAlign val="superscript"/>
        <sz val="11"/>
        <rFont val="Arial"/>
        <family val="2"/>
      </rPr>
      <t>1/</t>
    </r>
  </si>
  <si>
    <r>
      <t>Commercial book NIM</t>
    </r>
    <r>
      <rPr>
        <vertAlign val="superscript"/>
        <sz val="11"/>
        <rFont val="Arial"/>
        <family val="2"/>
      </rPr>
      <t>1/</t>
    </r>
  </si>
  <si>
    <t>Interest and similar income</t>
  </si>
  <si>
    <t>Customer non-trade loans</t>
  </si>
  <si>
    <t>Trade assets</t>
  </si>
  <si>
    <r>
      <t>Interbank assets</t>
    </r>
    <r>
      <rPr>
        <vertAlign val="superscript"/>
        <sz val="11"/>
        <rFont val="Arial"/>
        <family val="2"/>
      </rPr>
      <t>2/</t>
    </r>
  </si>
  <si>
    <t>Securities and others</t>
  </si>
  <si>
    <t>Interest expense</t>
  </si>
  <si>
    <t>Other borrowings</t>
  </si>
  <si>
    <t>Interest-bearing liabilities</t>
  </si>
  <si>
    <r>
      <t>NIM</t>
    </r>
    <r>
      <rPr>
        <vertAlign val="superscript"/>
        <sz val="11"/>
        <rFont val="Arial"/>
        <family val="2"/>
      </rPr>
      <t>1/</t>
    </r>
  </si>
  <si>
    <t>Asset yield</t>
  </si>
  <si>
    <t>Funding cost</t>
  </si>
  <si>
    <t>1/    Net interest margin is net interest income expressed as a percentage of average interest-bearing assets</t>
  </si>
  <si>
    <t>2/    Includes non-restricted balances with central banks</t>
  </si>
  <si>
    <t xml:space="preserve">Investment banking </t>
  </si>
  <si>
    <r>
      <t>Transaction services</t>
    </r>
    <r>
      <rPr>
        <vertAlign val="superscript"/>
        <sz val="11"/>
        <rFont val="Arial"/>
        <family val="2"/>
      </rPr>
      <t>1/</t>
    </r>
  </si>
  <si>
    <t>Loan-related</t>
  </si>
  <si>
    <r>
      <t>Cards</t>
    </r>
    <r>
      <rPr>
        <vertAlign val="superscript"/>
        <sz val="11"/>
        <rFont val="Arial"/>
        <family val="2"/>
      </rPr>
      <t>2/</t>
    </r>
  </si>
  <si>
    <t>Wealth management</t>
  </si>
  <si>
    <t>Fee and commission income</t>
  </si>
  <si>
    <t>Less: fee and commission expense</t>
  </si>
  <si>
    <t>Other non-interest income</t>
  </si>
  <si>
    <t>Net trading income</t>
  </si>
  <si>
    <t>Other income</t>
  </si>
  <si>
    <t>Net income from investment securities</t>
  </si>
  <si>
    <t>Others (including rental income and gain on disposal of properties and fixed assets)</t>
  </si>
  <si>
    <t>1/</t>
  </si>
  <si>
    <t>Includes trade &amp; remittances, guarantees and deposit-related fees</t>
  </si>
  <si>
    <t>2/</t>
  </si>
  <si>
    <t xml:space="preserve">Net of interchange fees paid    </t>
  </si>
  <si>
    <r>
      <t>Expenses</t>
    </r>
    <r>
      <rPr>
        <vertAlign val="superscript"/>
        <sz val="11"/>
        <rFont val="Arial"/>
        <family val="2"/>
      </rPr>
      <t>1/</t>
    </r>
  </si>
  <si>
    <t>Staff expenses</t>
  </si>
  <si>
    <t>Other expenses</t>
  </si>
  <si>
    <t xml:space="preserve">Occupancy </t>
  </si>
  <si>
    <t xml:space="preserve">Computerisation </t>
  </si>
  <si>
    <t xml:space="preserve">Revenue-related </t>
  </si>
  <si>
    <t xml:space="preserve">Others </t>
  </si>
  <si>
    <t>Other data</t>
  </si>
  <si>
    <t>Depreciation of properties and other fixed assets (included in above items) ($m)</t>
  </si>
  <si>
    <r>
      <t>Staff count at period end</t>
    </r>
    <r>
      <rPr>
        <vertAlign val="superscript"/>
        <sz val="11"/>
        <rFont val="Arial"/>
        <family val="2"/>
      </rPr>
      <t>2/</t>
    </r>
  </si>
  <si>
    <t xml:space="preserve">Measured based on full-time equivalent. </t>
  </si>
  <si>
    <t>Total ECL Stage 3 (SP) for loans and other credit exposures</t>
  </si>
  <si>
    <r>
      <t>ECL Stage 3 (SP) for loans</t>
    </r>
    <r>
      <rPr>
        <vertAlign val="superscript"/>
        <sz val="11"/>
        <rFont val="Arial"/>
        <family val="2"/>
      </rPr>
      <t>1</t>
    </r>
    <r>
      <rPr>
        <vertAlign val="superscript"/>
        <sz val="10"/>
        <rFont val="Arial"/>
        <family val="2"/>
      </rPr>
      <t>/</t>
    </r>
  </si>
  <si>
    <t>Rest of the World</t>
  </si>
  <si>
    <t>ECL Stage 3 (SP) for other credit exposures</t>
  </si>
  <si>
    <t>Allowances for other assets</t>
  </si>
  <si>
    <t>Breakdown of ECL Stage (3) SP for loans and other credit exposures ($m)</t>
  </si>
  <si>
    <t>IBG &amp; Others</t>
  </si>
  <si>
    <t>Add charges for:</t>
  </si>
  <si>
    <t>New NPLs</t>
  </si>
  <si>
    <t>Existing NPLs</t>
  </si>
  <si>
    <t>Less write-backs for:</t>
  </si>
  <si>
    <t>Upgrades</t>
  </si>
  <si>
    <t>Settlements</t>
  </si>
  <si>
    <t>Recoveries</t>
  </si>
  <si>
    <t>CBG/WM (net charges)</t>
  </si>
  <si>
    <t>Other credit exposures</t>
  </si>
  <si>
    <t>SP for loans by geography are determined according to the location where the borrower is incorporated</t>
  </si>
  <si>
    <t>nm</t>
  </si>
  <si>
    <t>Not Meaningful</t>
  </si>
  <si>
    <t>Breakdown of gross customer loans ($m)</t>
  </si>
  <si>
    <t>Gross loans</t>
  </si>
  <si>
    <t>Less:</t>
  </si>
  <si>
    <t>Net loans</t>
  </si>
  <si>
    <t>By business unit</t>
  </si>
  <si>
    <r>
      <t>By geography</t>
    </r>
    <r>
      <rPr>
        <vertAlign val="superscript"/>
        <sz val="11"/>
        <rFont val="Arial"/>
        <family val="2"/>
      </rPr>
      <t>1/</t>
    </r>
  </si>
  <si>
    <t>By industry</t>
  </si>
  <si>
    <t>Manufacturing</t>
  </si>
  <si>
    <t>Building and construction</t>
  </si>
  <si>
    <t>Housing loans</t>
  </si>
  <si>
    <t>General commerce</t>
  </si>
  <si>
    <t>Transportation, storage &amp; communications</t>
  </si>
  <si>
    <t>Financial institutions, investment &amp; holding companies</t>
  </si>
  <si>
    <t>Professionals &amp; private individuals (excluding housing loans)</t>
  </si>
  <si>
    <t>By currency</t>
  </si>
  <si>
    <t>Singapore dollar</t>
  </si>
  <si>
    <t>US dollar</t>
  </si>
  <si>
    <t>Hong Kong dollar</t>
  </si>
  <si>
    <t>Taiwan dollar</t>
  </si>
  <si>
    <t>Chinese Yuan</t>
  </si>
  <si>
    <t>Loans by geography are determined according to the location where the borrower, or the issuing bank in the case of bank backed export financing, is incorporated</t>
  </si>
  <si>
    <t>FVOCI portfolio</t>
  </si>
  <si>
    <t>EOP value ($m)</t>
  </si>
  <si>
    <t>FVOCI investments</t>
  </si>
  <si>
    <t>Singapore government securities</t>
  </si>
  <si>
    <t>Other government securities</t>
  </si>
  <si>
    <t>Bank and corporate debt securities</t>
  </si>
  <si>
    <t>Equities</t>
  </si>
  <si>
    <t>Other financial assets</t>
  </si>
  <si>
    <t>Movement in FVOCI reserves ($m)</t>
  </si>
  <si>
    <t>FVOCI reserves at start of period</t>
  </si>
  <si>
    <t>Debt instruments</t>
  </si>
  <si>
    <t>Equity instruments</t>
  </si>
  <si>
    <t>FVOCI reserves at end of period</t>
  </si>
  <si>
    <t>Movement in CFH reserves ($m)</t>
  </si>
  <si>
    <t>Cash flow hedge reserve at start of period</t>
  </si>
  <si>
    <t>Cash flow hedge reserve at end of period</t>
  </si>
  <si>
    <t xml:space="preserve">nm: </t>
  </si>
  <si>
    <t>Breakdown of customer deposits ($m)</t>
  </si>
  <si>
    <t>By currency and product</t>
  </si>
  <si>
    <t>Fixed deposits</t>
  </si>
  <si>
    <t>Savings accounts</t>
  </si>
  <si>
    <t>Current accounts</t>
  </si>
  <si>
    <t>#</t>
  </si>
  <si>
    <t>NM</t>
  </si>
  <si>
    <t>Chinese yuan</t>
  </si>
  <si>
    <t>Total</t>
  </si>
  <si>
    <t>#  represents less than $500,000</t>
  </si>
  <si>
    <t>nm  Not Meaningful</t>
  </si>
  <si>
    <t>Debts issued ($m)</t>
  </si>
  <si>
    <t>Total Debts issued</t>
  </si>
  <si>
    <r>
      <t>Subordinated term debts</t>
    </r>
    <r>
      <rPr>
        <vertAlign val="superscript"/>
        <sz val="11"/>
        <rFont val="Arial"/>
        <family val="2"/>
      </rPr>
      <t>1/</t>
    </r>
  </si>
  <si>
    <r>
      <t>Negotiable certificates of deposit</t>
    </r>
    <r>
      <rPr>
        <vertAlign val="superscript"/>
        <sz val="11"/>
        <rFont val="Arial"/>
        <family val="2"/>
      </rPr>
      <t>1/</t>
    </r>
  </si>
  <si>
    <r>
      <t>Senior medium term notes</t>
    </r>
    <r>
      <rPr>
        <vertAlign val="superscript"/>
        <sz val="11"/>
        <rFont val="Arial"/>
        <family val="2"/>
      </rPr>
      <t>1/</t>
    </r>
  </si>
  <si>
    <r>
      <t>Commercial papers</t>
    </r>
    <r>
      <rPr>
        <vertAlign val="superscript"/>
        <sz val="11"/>
        <rFont val="Arial"/>
        <family val="2"/>
      </rPr>
      <t>1/</t>
    </r>
  </si>
  <si>
    <r>
      <t>Covered bonds and other secured notes</t>
    </r>
    <r>
      <rPr>
        <vertAlign val="superscript"/>
        <sz val="11"/>
        <rFont val="Arial"/>
        <family val="2"/>
      </rPr>
      <t>2/</t>
    </r>
  </si>
  <si>
    <r>
      <t>Other debt securities</t>
    </r>
    <r>
      <rPr>
        <vertAlign val="superscript"/>
        <sz val="11"/>
        <rFont val="Arial"/>
        <family val="2"/>
      </rPr>
      <t>1/</t>
    </r>
  </si>
  <si>
    <t>Due within 1 year</t>
  </si>
  <si>
    <r>
      <t>Due after 1 year</t>
    </r>
    <r>
      <rPr>
        <vertAlign val="superscript"/>
        <sz val="11"/>
        <rFont val="Arial"/>
        <family val="2"/>
      </rPr>
      <t>3/</t>
    </r>
  </si>
  <si>
    <t>Unsecured</t>
  </si>
  <si>
    <t>Collaterals are in the form of residential mortgages and corporate loans</t>
  </si>
  <si>
    <t>Includes instruments in perpetuity</t>
  </si>
  <si>
    <t>NPL and loss allowance coverage ratios</t>
  </si>
  <si>
    <t xml:space="preserve">NPL ratios (NPLs as % of loans) </t>
  </si>
  <si>
    <t>Group</t>
  </si>
  <si>
    <t>Institutional Banking and Others</t>
  </si>
  <si>
    <r>
      <t>By geography</t>
    </r>
    <r>
      <rPr>
        <i/>
        <vertAlign val="superscript"/>
        <sz val="11"/>
        <rFont val="Arial"/>
        <family val="2"/>
      </rPr>
      <t>1</t>
    </r>
    <r>
      <rPr>
        <vertAlign val="superscript"/>
        <sz val="11"/>
        <rFont val="Arial"/>
        <family val="2"/>
      </rPr>
      <t>/</t>
    </r>
  </si>
  <si>
    <t xml:space="preserve">Rest of Greater China </t>
  </si>
  <si>
    <t xml:space="preserve">Loss allowance coverage ratios (%) </t>
  </si>
  <si>
    <t>Total allowances for NPAs / NPAs</t>
  </si>
  <si>
    <t>Total allowances for NPAs / unsecured NPAs</t>
  </si>
  <si>
    <t>NPLs by geography are determined according to the location where the borrower is incorporated</t>
  </si>
  <si>
    <t>Breakdown of NPAs ($m)</t>
  </si>
  <si>
    <t xml:space="preserve">Total NPAs </t>
  </si>
  <si>
    <t>NPLs</t>
  </si>
  <si>
    <t>Other NPAs</t>
  </si>
  <si>
    <t>Debt securities, contingent liabilities &amp; others</t>
  </si>
  <si>
    <t>By classification</t>
  </si>
  <si>
    <t>Substandard</t>
  </si>
  <si>
    <t>Doubtful</t>
  </si>
  <si>
    <t>Loss</t>
  </si>
  <si>
    <t>By collateral type</t>
  </si>
  <si>
    <t>Secured by properties</t>
  </si>
  <si>
    <t>Secured by shares and debentures</t>
  </si>
  <si>
    <t>Secured by cash deposits</t>
  </si>
  <si>
    <t>Other secured</t>
  </si>
  <si>
    <t>By period overdue</t>
  </si>
  <si>
    <t>Not overdue</t>
  </si>
  <si>
    <t xml:space="preserve">Within 90 days </t>
  </si>
  <si>
    <t xml:space="preserve">Over 90 to 180 days </t>
  </si>
  <si>
    <t>Over 180 days</t>
  </si>
  <si>
    <t>Of which: Restructured NPAs</t>
  </si>
  <si>
    <t>Breakdown of NPLs ($m)</t>
  </si>
  <si>
    <r>
      <t>By geography</t>
    </r>
    <r>
      <rPr>
        <i/>
        <vertAlign val="superscript"/>
        <sz val="11"/>
        <rFont val="Arial"/>
        <family val="2"/>
      </rPr>
      <t>1</t>
    </r>
    <r>
      <rPr>
        <vertAlign val="superscript"/>
        <sz val="10"/>
        <rFont val="Arial"/>
        <family val="2"/>
      </rPr>
      <t>/</t>
    </r>
  </si>
  <si>
    <t>Movement in NPAs ($m)</t>
  </si>
  <si>
    <t>NPAs at start of period</t>
  </si>
  <si>
    <t>New NPAs</t>
  </si>
  <si>
    <t>Write-offs</t>
  </si>
  <si>
    <t>CBG/WM (Net Movement)</t>
  </si>
  <si>
    <t>Translation impact</t>
  </si>
  <si>
    <t>Total NPAs</t>
  </si>
  <si>
    <t>Breakdown of total allowances ($m)</t>
  </si>
  <si>
    <t>Total allowances</t>
  </si>
  <si>
    <t>ECLStage 3 (SP)</t>
  </si>
  <si>
    <t>ECL Stage 1 and 2 (GP) exposures</t>
  </si>
  <si>
    <t>Breakdown of ECL Stage 3 (SP) exposures ($m)</t>
  </si>
  <si>
    <t>Allowances for impaired NPAs</t>
  </si>
  <si>
    <t>Allowances for impaired NPLs</t>
  </si>
  <si>
    <t>Consumer Banking/Wealth Management</t>
  </si>
  <si>
    <t>Allowances for other impaired NPAs</t>
  </si>
  <si>
    <t>Capital and RWA ($m)</t>
  </si>
  <si>
    <t>Common Equity Tier 1 capital</t>
  </si>
  <si>
    <t>Tier 1 capital</t>
  </si>
  <si>
    <t xml:space="preserve">Total capital </t>
  </si>
  <si>
    <t>Capital Adequacy Ratio (“CAR”) (%)</t>
  </si>
  <si>
    <t>Calculated based on the Basel III reforms output floor at 72.5% when fully phased-in on 1 January 2029</t>
  </si>
  <si>
    <t>Business and Geographical mix</t>
  </si>
  <si>
    <r>
      <t>Total income (as % of Group)</t>
    </r>
    <r>
      <rPr>
        <vertAlign val="superscript"/>
        <sz val="11"/>
        <rFont val="Arial"/>
        <family val="2"/>
      </rPr>
      <t>1/</t>
    </r>
  </si>
  <si>
    <t>Institutional banking</t>
  </si>
  <si>
    <t>By geography</t>
  </si>
  <si>
    <r>
      <t>Net profit (as % of Group)</t>
    </r>
    <r>
      <rPr>
        <u/>
        <vertAlign val="superscript"/>
        <sz val="11"/>
        <rFont val="Arial"/>
        <family val="2"/>
      </rPr>
      <t>1/</t>
    </r>
  </si>
  <si>
    <t>Treasury</t>
  </si>
  <si>
    <t>Total assets before goodwill and intangible assets (as % of Group)</t>
  </si>
  <si>
    <r>
      <t>By business unit</t>
    </r>
    <r>
      <rPr>
        <b/>
        <i/>
        <vertAlign val="superscript"/>
        <sz val="11"/>
        <rFont val="Arial"/>
        <family val="2"/>
      </rPr>
      <t>2/</t>
    </r>
  </si>
  <si>
    <t>Refer to sections on Customer Loans and Non-Performing Assets and Loss Allowance Coverage for more information on business segments</t>
  </si>
  <si>
    <r>
      <t>Income statement items</t>
    </r>
    <r>
      <rPr>
        <u/>
        <vertAlign val="superscript"/>
        <sz val="11"/>
        <rFont val="Arial"/>
        <family val="2"/>
      </rPr>
      <t>1/</t>
    </r>
    <r>
      <rPr>
        <b/>
        <u/>
        <sz val="11"/>
        <rFont val="Arial"/>
        <family val="2"/>
      </rPr>
      <t xml:space="preserve"> ($m)</t>
    </r>
  </si>
  <si>
    <t>Balance sheet &amp; other items ($m)</t>
  </si>
  <si>
    <t>Total assets (before goodwill and intangible assets)</t>
  </si>
  <si>
    <t>Capital expenditure</t>
  </si>
  <si>
    <t>Depreciation</t>
  </si>
  <si>
    <r>
      <t>Income statement items</t>
    </r>
    <r>
      <rPr>
        <b/>
        <u/>
        <vertAlign val="superscript"/>
        <sz val="11"/>
        <rFont val="Arial"/>
        <family val="2"/>
      </rPr>
      <t>1/</t>
    </r>
    <r>
      <rPr>
        <b/>
        <u/>
        <sz val="11"/>
        <rFont val="Arial"/>
        <family val="2"/>
      </rPr>
      <t xml:space="preserve"> ($m)</t>
    </r>
  </si>
  <si>
    <t>Share of P/L of associates and JVs</t>
  </si>
  <si>
    <t>Income tax expense and non-controlling interests</t>
  </si>
  <si>
    <t>Net profit</t>
  </si>
  <si>
    <t>Gross customer loans</t>
  </si>
  <si>
    <t>Unaudited Consolidated Income Statement</t>
  </si>
  <si>
    <t>1st Half</t>
  </si>
  <si>
    <t>+/(-)</t>
  </si>
  <si>
    <t>2nd Half</t>
  </si>
  <si>
    <t>In $ millions</t>
  </si>
  <si>
    <t>2025</t>
  </si>
  <si>
    <t>%</t>
  </si>
  <si>
    <t>Income</t>
  </si>
  <si>
    <t>Employee benefits</t>
  </si>
  <si>
    <t xml:space="preserve">Other expenses  </t>
  </si>
  <si>
    <t xml:space="preserve">Total expenses </t>
  </si>
  <si>
    <t>Profit after allowances and amortisation</t>
  </si>
  <si>
    <t xml:space="preserve">Share of profits/losses of associates and joint ventures </t>
  </si>
  <si>
    <t xml:space="preserve">Profit before tax </t>
  </si>
  <si>
    <t>Income tax expense</t>
  </si>
  <si>
    <t>Attributable to:</t>
  </si>
  <si>
    <t>Shareholders</t>
  </si>
  <si>
    <t>Non-controlling interests</t>
  </si>
  <si>
    <t xml:space="preserve">Unaudited Consolidated Statement of Comprehensive Income </t>
  </si>
  <si>
    <t>Other comprehensive income</t>
  </si>
  <si>
    <t>Items that may be reclassified subsequently to 
   income statement:</t>
  </si>
  <si>
    <t>Translation differences for foreign operations</t>
  </si>
  <si>
    <t xml:space="preserve">    Taxation relating to components of other comprehensive income</t>
  </si>
  <si>
    <t>Items that will not be reclassified to income
   statement:</t>
  </si>
  <si>
    <t>Fair value change from own credit risk on financial 
   liabilities designated at fair value (net of tax)</t>
  </si>
  <si>
    <t>Defined benefit plans remeasurements (net of tax)</t>
  </si>
  <si>
    <t>Other comprehensive income, net of tax</t>
  </si>
  <si>
    <t xml:space="preserve">Total comprehensive income </t>
  </si>
  <si>
    <t xml:space="preserve">Unaudited Balance Sheets </t>
  </si>
  <si>
    <t>The Group</t>
  </si>
  <si>
    <t>The Company</t>
  </si>
  <si>
    <t>30 Jun</t>
  </si>
  <si>
    <t>31 Dec</t>
  </si>
  <si>
    <t>Assets</t>
  </si>
  <si>
    <t>Cash and balances with central banks</t>
  </si>
  <si>
    <t>Government securities and treasury bills</t>
  </si>
  <si>
    <t>Due from banks</t>
  </si>
  <si>
    <t>Derivative assets</t>
  </si>
  <si>
    <t>Bank and corporate securities</t>
  </si>
  <si>
    <t xml:space="preserve">Loans and advances to customers </t>
  </si>
  <si>
    <t>Other assets</t>
  </si>
  <si>
    <t>Investment in subsidiaries</t>
  </si>
  <si>
    <t>Due from subsidiaries</t>
  </si>
  <si>
    <t>Associates and joint ventures</t>
  </si>
  <si>
    <t>Properties and other fixed assets</t>
  </si>
  <si>
    <t>Goodwill and intangible assets</t>
  </si>
  <si>
    <t>Liabilities</t>
  </si>
  <si>
    <t>Due to banks</t>
  </si>
  <si>
    <t>Deposits and balances from customers</t>
  </si>
  <si>
    <t>Derivative liabilities</t>
  </si>
  <si>
    <t>Other liabilities</t>
  </si>
  <si>
    <t>Due to subsidiaries</t>
  </si>
  <si>
    <t xml:space="preserve">Other debt securities </t>
  </si>
  <si>
    <t>Subordinated term debts</t>
  </si>
  <si>
    <t>Net assets</t>
  </si>
  <si>
    <t>Equity</t>
  </si>
  <si>
    <t>Share capital</t>
  </si>
  <si>
    <t>Other equity instruments</t>
  </si>
  <si>
    <t>Other reserves</t>
  </si>
  <si>
    <t>Revenue reserves</t>
  </si>
  <si>
    <t>Shareholders' funds</t>
  </si>
  <si>
    <t xml:space="preserve">Non-controlling interests  </t>
  </si>
  <si>
    <t>Total equity</t>
  </si>
  <si>
    <t>Other information</t>
  </si>
  <si>
    <t>Audited</t>
  </si>
  <si>
    <t>Unaudited Consolidated Cash Flow Statement</t>
  </si>
  <si>
    <t xml:space="preserve">In $ millions  </t>
  </si>
  <si>
    <t>Cash flows from operating activities</t>
  </si>
  <si>
    <t>Adjustments for non-cash and other items:</t>
  </si>
  <si>
    <t>Depreciation of properties and other fixed assets</t>
  </si>
  <si>
    <t>Share of profits or losses of associates and joint ventures</t>
  </si>
  <si>
    <t>Net gain on disposal, net of write-off of properties and other fixed assets</t>
  </si>
  <si>
    <t>-</t>
  </si>
  <si>
    <t>Cost of share-based payments</t>
  </si>
  <si>
    <t>Interest expense on subordinated term debts</t>
  </si>
  <si>
    <t>Interest expense on lease liabilities</t>
  </si>
  <si>
    <t>Profit before changes in operating assets and liabilities</t>
  </si>
  <si>
    <t>Increase/(Decrease) in:</t>
  </si>
  <si>
    <t>Derivative and other liabilities</t>
  </si>
  <si>
    <t>Other debt securities and borrowings</t>
  </si>
  <si>
    <t>(Increase)/Decrease in:</t>
  </si>
  <si>
    <t>Restricted balances with central banks</t>
  </si>
  <si>
    <t>Loans and advances to customers</t>
  </si>
  <si>
    <t>Derivative and other assets</t>
  </si>
  <si>
    <t>Income taxes paid</t>
  </si>
  <si>
    <t>Cash flows from investing activities</t>
  </si>
  <si>
    <t>Dividends from associates and joint ventures</t>
  </si>
  <si>
    <t>Proceeds from disposal of properties and other fixed assets</t>
  </si>
  <si>
    <t>Purchase of properties and other fixed assets</t>
  </si>
  <si>
    <t>Cash flows from financing activities</t>
  </si>
  <si>
    <t>Interest paid on subordinated term debts</t>
  </si>
  <si>
    <t>Purchase of treasury shares</t>
  </si>
  <si>
    <r>
      <t>Dividends paid to shareholders of the Company</t>
    </r>
    <r>
      <rPr>
        <vertAlign val="superscript"/>
        <sz val="11"/>
        <rFont val="Arial"/>
        <family val="2"/>
      </rPr>
      <t>1/</t>
    </r>
  </si>
  <si>
    <t>Repayment of lease liabilities</t>
  </si>
  <si>
    <t>Net cash used in financing activities (3)</t>
  </si>
  <si>
    <t>Exchange translation adjustments (4)</t>
  </si>
  <si>
    <r>
      <t>Net change in cash and cash equivalents</t>
    </r>
    <r>
      <rPr>
        <vertAlign val="superscript"/>
        <sz val="10"/>
        <rFont val="Arial"/>
        <family val="2"/>
      </rPr>
      <t>2/</t>
    </r>
    <r>
      <rPr>
        <sz val="10"/>
        <rFont val="Arial"/>
        <family val="2"/>
      </rPr>
      <t xml:space="preserve"> (1)+(2)+(3)+(4)</t>
    </r>
  </si>
  <si>
    <t>Cash and cash equivalents at beginning of period</t>
  </si>
  <si>
    <t>Cash and cash equivalents at end of period</t>
  </si>
  <si>
    <t>1/ Include distributions paid on capital securities classified as equity</t>
  </si>
  <si>
    <t>2/ Cash and cash equivalents refer to cash and non-restricted balances with central banks</t>
  </si>
  <si>
    <r>
      <t>CAR</t>
    </r>
    <r>
      <rPr>
        <sz val="11"/>
        <rFont val="Arial"/>
        <family val="2"/>
      </rPr>
      <t xml:space="preserve"> - Capital adequacy ratio</t>
    </r>
  </si>
  <si>
    <r>
      <t>CFH</t>
    </r>
    <r>
      <rPr>
        <sz val="11"/>
        <rFont val="Arial"/>
        <family val="2"/>
      </rPr>
      <t xml:space="preserve"> - Cash flow hedge </t>
    </r>
  </si>
  <si>
    <r>
      <t>CSR</t>
    </r>
    <r>
      <rPr>
        <sz val="11"/>
        <rFont val="Arial"/>
        <family val="2"/>
      </rPr>
      <t xml:space="preserve"> - Corporate Social Responsibility</t>
    </r>
  </si>
  <si>
    <r>
      <t>ECL</t>
    </r>
    <r>
      <rPr>
        <sz val="11"/>
        <rFont val="Arial"/>
        <family val="2"/>
      </rPr>
      <t xml:space="preserve"> - Expected Credit Losses</t>
    </r>
  </si>
  <si>
    <r>
      <t>EOP</t>
    </r>
    <r>
      <rPr>
        <sz val="11"/>
        <rFont val="Arial"/>
        <family val="2"/>
      </rPr>
      <t xml:space="preserve"> - End of period</t>
    </r>
  </si>
  <si>
    <r>
      <t xml:space="preserve">FVPL </t>
    </r>
    <r>
      <rPr>
        <sz val="11"/>
        <rFont val="Arial"/>
        <family val="2"/>
      </rPr>
      <t>- Fair value through profit or loss</t>
    </r>
  </si>
  <si>
    <r>
      <t>FVOCI</t>
    </r>
    <r>
      <rPr>
        <sz val="11"/>
        <rFont val="Arial"/>
        <family val="2"/>
      </rPr>
      <t xml:space="preserve"> - Fair value through other comprehensive income</t>
    </r>
  </si>
  <si>
    <r>
      <t>GP</t>
    </r>
    <r>
      <rPr>
        <sz val="11"/>
        <rFont val="Arial"/>
        <family val="2"/>
      </rPr>
      <t xml:space="preserve"> - General provision</t>
    </r>
  </si>
  <si>
    <r>
      <t>NIM</t>
    </r>
    <r>
      <rPr>
        <sz val="11"/>
        <rFont val="Arial"/>
        <family val="2"/>
      </rPr>
      <t xml:space="preserve"> - Net interest margin</t>
    </r>
  </si>
  <si>
    <r>
      <t xml:space="preserve">JVs </t>
    </r>
    <r>
      <rPr>
        <sz val="11"/>
        <rFont val="Arial"/>
        <family val="2"/>
      </rPr>
      <t>- Joint ventures</t>
    </r>
  </si>
  <si>
    <r>
      <t>NPA</t>
    </r>
    <r>
      <rPr>
        <sz val="11"/>
        <rFont val="Arial"/>
        <family val="2"/>
      </rPr>
      <t xml:space="preserve"> - Non-performing asset</t>
    </r>
  </si>
  <si>
    <r>
      <t>NPL</t>
    </r>
    <r>
      <rPr>
        <sz val="11"/>
        <rFont val="Arial"/>
        <family val="2"/>
      </rPr>
      <t xml:space="preserve"> - Non-performing loan</t>
    </r>
  </si>
  <si>
    <r>
      <t>ROA</t>
    </r>
    <r>
      <rPr>
        <sz val="11"/>
        <rFont val="Arial"/>
        <family val="2"/>
      </rPr>
      <t xml:space="preserve"> - Return on assets</t>
    </r>
  </si>
  <si>
    <r>
      <t>RWA</t>
    </r>
    <r>
      <rPr>
        <sz val="11"/>
        <rFont val="Arial"/>
        <family val="2"/>
      </rPr>
      <t xml:space="preserve"> - Risk-weighted assets</t>
    </r>
  </si>
  <si>
    <r>
      <t xml:space="preserve">SP </t>
    </r>
    <r>
      <rPr>
        <sz val="11"/>
        <rFont val="Arial"/>
        <family val="2"/>
      </rPr>
      <t>- Specific provision</t>
    </r>
  </si>
  <si>
    <t>Quarterly Breakdown</t>
  </si>
  <si>
    <t>($m)</t>
  </si>
  <si>
    <t>1st Qtr</t>
  </si>
  <si>
    <t>2nd Qtr</t>
  </si>
  <si>
    <t>3rd Qtr</t>
  </si>
  <si>
    <t>4th Qtr</t>
  </si>
  <si>
    <t>Full Year</t>
  </si>
  <si>
    <t>2020</t>
  </si>
  <si>
    <t>2021</t>
  </si>
  <si>
    <t>% chg</t>
  </si>
  <si>
    <t>Allowance for credit and other losses</t>
  </si>
  <si>
    <t>One-time items</t>
  </si>
  <si>
    <t>Net profit including one-time items</t>
  </si>
  <si>
    <t>Net book value per share ($)</t>
  </si>
  <si>
    <r>
      <t>Return on tangible equity</t>
    </r>
    <r>
      <rPr>
        <vertAlign val="superscript"/>
        <sz val="11"/>
        <rFont val="Arial"/>
        <family val="2"/>
      </rPr>
      <t>4,5,6/</t>
    </r>
  </si>
  <si>
    <t>6/    Tangible equity represents ordinary shareholders’ equity less goodwill and intangible assets (net of related deferred tax)</t>
  </si>
  <si>
    <t>Proceeds from disposal of associates</t>
  </si>
  <si>
    <t>Redemption of perpetual capital securities</t>
  </si>
  <si>
    <t>Shares repurchased and cancelled</t>
  </si>
  <si>
    <t>- Net valuation gains taken to equity</t>
  </si>
  <si>
    <t>Debt instruments at fair value through other
   comprehensive income</t>
  </si>
  <si>
    <t xml:space="preserve">    Net valuation gains taken to equity</t>
  </si>
  <si>
    <t xml:space="preserve">    Gains transferred to income statement </t>
  </si>
  <si>
    <t>Cash flow hedges</t>
  </si>
  <si>
    <t>Risk-weighted assets</t>
  </si>
  <si>
    <t>Acquisition of interests in associates and joint ventures</t>
  </si>
  <si>
    <t>Return of capital from associates and joint ventures</t>
  </si>
  <si>
    <t>Net cash used in investing activities (2)</t>
  </si>
  <si>
    <r>
      <t>ROTE</t>
    </r>
    <r>
      <rPr>
        <sz val="11"/>
        <rFont val="Arial"/>
        <family val="2"/>
      </rPr>
      <t xml:space="preserve"> - Return on tangible ordinary shareholders' equity</t>
    </r>
  </si>
  <si>
    <r>
      <t>ROE</t>
    </r>
    <r>
      <rPr>
        <sz val="11"/>
        <rFont val="Arial"/>
        <family val="2"/>
      </rPr>
      <t xml:space="preserve"> - Return on ordinary shareholders' equity</t>
    </r>
  </si>
  <si>
    <r>
      <t>CET-1 -</t>
    </r>
    <r>
      <rPr>
        <sz val="11"/>
        <rFont val="Arial"/>
        <family val="2"/>
      </rPr>
      <t xml:space="preserve"> Common Equity Tier 1</t>
    </r>
  </si>
  <si>
    <t>Financial Data Supplement for the First Half/ Second Quarter Ended 30 June 2026</t>
  </si>
  <si>
    <r>
      <t xml:space="preserve">   Of which: </t>
    </r>
    <r>
      <rPr>
        <sz val="11"/>
        <rFont val="Arial"/>
        <family val="2"/>
      </rPr>
      <t>Net interest income</t>
    </r>
  </si>
  <si>
    <t>3Q25</t>
  </si>
  <si>
    <t>4Q25</t>
  </si>
  <si>
    <t>Common Equity Tier 1 (CET-1) ratio</t>
  </si>
  <si>
    <r>
      <t>Fully phased-in CET-1 ratio</t>
    </r>
    <r>
      <rPr>
        <vertAlign val="superscript"/>
        <sz val="11"/>
        <rFont val="Arial"/>
        <family val="2"/>
      </rPr>
      <t>7/</t>
    </r>
  </si>
  <si>
    <t xml:space="preserve">   - Basic</t>
  </si>
  <si>
    <t>3/    Return on assets, return on equity, return on tangible equity, ECL Stage 3 (SP) for loans/average loans and per share data are computed on an annualised basis</t>
  </si>
  <si>
    <t>7/    Calculated based on the Basel III reforms output floor at 72.5% when fully phased-in on 1 January 2029</t>
  </si>
  <si>
    <t>8/    Adjusted for potential ordinary shares issuable under share-based compensation plan</t>
  </si>
  <si>
    <t>1Q26</t>
  </si>
  <si>
    <t>2Q26</t>
  </si>
  <si>
    <t>2Q26
vs 
1Q26</t>
  </si>
  <si>
    <t>2Q26
vs 
2Q25</t>
  </si>
  <si>
    <t>1H26</t>
  </si>
  <si>
    <t>2H25</t>
  </si>
  <si>
    <t>1H26
vs
1H25</t>
  </si>
  <si>
    <t>1H26
vs
2H25</t>
  </si>
  <si>
    <t>- Basic</t>
  </si>
  <si>
    <t>Weighted average number of shares (excluding treasury shares) ('m)</t>
  </si>
  <si>
    <t>Adjusted for potential ordinary shares issuable under share-based compensation plan</t>
  </si>
  <si>
    <t>Per share data ($)</t>
  </si>
  <si>
    <r>
      <t>Earnings</t>
    </r>
    <r>
      <rPr>
        <vertAlign val="superscript"/>
        <sz val="11"/>
        <rFont val="Arial"/>
        <family val="2"/>
      </rPr>
      <t>1/</t>
    </r>
  </si>
  <si>
    <r>
      <t>- Diluted</t>
    </r>
    <r>
      <rPr>
        <vertAlign val="superscript"/>
        <sz val="11"/>
        <rFont val="Arial"/>
        <family val="2"/>
      </rPr>
      <t>4/</t>
    </r>
  </si>
  <si>
    <r>
      <t>Dividend</t>
    </r>
    <r>
      <rPr>
        <vertAlign val="superscript"/>
        <sz val="11"/>
        <rFont val="Arial"/>
        <family val="2"/>
      </rPr>
      <t>2/</t>
    </r>
  </si>
  <si>
    <r>
      <t>Data used in earnings per share</t>
    </r>
    <r>
      <rPr>
        <u/>
        <vertAlign val="superscript"/>
        <sz val="11"/>
        <rFont val="Arial"/>
        <family val="2"/>
      </rPr>
      <t>3/</t>
    </r>
    <r>
      <rPr>
        <b/>
        <u/>
        <sz val="11"/>
        <rFont val="Arial"/>
        <family val="2"/>
      </rPr>
      <t xml:space="preserve"> calculations</t>
    </r>
  </si>
  <si>
    <t>Basic</t>
  </si>
  <si>
    <r>
      <t>Diluted</t>
    </r>
    <r>
      <rPr>
        <vertAlign val="superscript"/>
        <sz val="11"/>
        <rFont val="Arial"/>
        <family val="2"/>
      </rPr>
      <t>4/</t>
    </r>
  </si>
  <si>
    <t>Number of shares ('m) (EOP)</t>
  </si>
  <si>
    <t>Includes a one-tier tax exempt capital return dividend (2Q26: 15 cents; 1Q26: 15 cents; 2Q25: 15 cents; 1H26: 30 cents; 2H25: 30 cents and 1H25: 30 cents) per share respectively.</t>
  </si>
  <si>
    <t>Customer sales</t>
  </si>
  <si>
    <t>Non-customer sales</t>
  </si>
  <si>
    <t>1H26
vs
1H25
(% chg)</t>
  </si>
  <si>
    <t>1H26
vs
2H25
(% chg)</t>
  </si>
  <si>
    <t>Excludes impact arising from provision for CSR</t>
  </si>
  <si>
    <t>2/    Excludes impact arising from Provision for CSR</t>
  </si>
  <si>
    <t>Jun26
vs
Jun25
(% chg)</t>
  </si>
  <si>
    <t>Jun26
vs
Dec25
(% chg)</t>
  </si>
  <si>
    <t>- Share of reserves of associates and joint ventures</t>
  </si>
  <si>
    <t>Jun26
vs
Jun25</t>
  </si>
  <si>
    <t>Jun26
vs
Dec25</t>
  </si>
  <si>
    <t>Common Equity Tier 1 (CET-1)</t>
  </si>
  <si>
    <t>Tier 1</t>
  </si>
  <si>
    <r>
      <t>Fully phased-in CET-1</t>
    </r>
    <r>
      <rPr>
        <vertAlign val="superscript"/>
        <sz val="11"/>
        <rFont val="Arial"/>
        <family val="2"/>
      </rPr>
      <t>1/</t>
    </r>
  </si>
  <si>
    <t>2026</t>
  </si>
  <si>
    <t>Share of other comprehensive income of associates and joint ventures</t>
  </si>
  <si>
    <r>
      <t>2025</t>
    </r>
    <r>
      <rPr>
        <b/>
        <vertAlign val="superscript"/>
        <sz val="11"/>
        <rFont val="Arial"/>
        <family val="2"/>
      </rPr>
      <t>1/</t>
    </r>
  </si>
  <si>
    <t>- Taxation relating to components of other comprehensive income</t>
  </si>
  <si>
    <t xml:space="preserve">- Gains transferred to income statement </t>
  </si>
  <si>
    <t>- Net valuation (losses)/ gains taken to equity</t>
  </si>
  <si>
    <t xml:space="preserve">- (Gains)/ losses transferred to income statement </t>
  </si>
  <si>
    <t>- (Gains)/ losses transferred to revenue reserves upon disposal of FVOCI equities (net of tax)</t>
  </si>
  <si>
    <t xml:space="preserve">    Net valuation (losses)/ gains taken to equity</t>
  </si>
  <si>
    <t xml:space="preserve">    (Gains)/ losses transferred to income statement </t>
  </si>
  <si>
    <t>(Losses)/ gains on equity instruments classified at fair 
   value through other comprehensive income (net of tax)</t>
  </si>
  <si>
    <t>Redemption of subordinated term debts</t>
  </si>
  <si>
    <t>Net cash (used in)/ generated from operating activities (1)</t>
  </si>
  <si>
    <r>
      <t>Per share data ($)</t>
    </r>
    <r>
      <rPr>
        <vertAlign val="superscript"/>
        <sz val="11"/>
        <rFont val="Arial"/>
        <family val="2"/>
      </rPr>
      <t>3/</t>
    </r>
  </si>
  <si>
    <r>
      <t xml:space="preserve">   - Diluted</t>
    </r>
    <r>
      <rPr>
        <vertAlign val="superscript"/>
        <sz val="11"/>
        <rFont val="Arial"/>
        <family val="2"/>
      </rPr>
      <t>8/</t>
    </r>
  </si>
  <si>
    <t>&gt;100</t>
  </si>
  <si>
    <t>(&gt;100)</t>
  </si>
  <si>
    <t>Upgrades, settlements and recoveries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</si>
</sst>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-* #,##0.00_-;\-* #,##0.00_-;_-* &quot;-&quot;??_-;_-@_-"/>
    <numFmt numFmtId="164" formatCode="_(* #,##0.00_);_(* \(#,##0.00\);_(* &quot;-&quot;??_);_(@_)"/>
    <numFmt numFmtId="165" formatCode="#,##0.0_);\(#,##0.0\)"/>
    <numFmt numFmtId="166" formatCode="_(* #,##0.0_);_(* \(#,##0.0\);_(* &quot;-&quot;??_);_(@_)"/>
    <numFmt numFmtId="167" formatCode="_(* #,##0_);_(* \(#,##0\);_(* &quot;-&quot;??_);_(@_)"/>
    <numFmt numFmtId="168" formatCode="[$-409]d\-mmm;@"/>
    <numFmt numFmtId="169" formatCode="0.0_);\(0.0\)"/>
    <numFmt numFmtId="170" formatCode="[$-409]mmm\-yy;@"/>
    <numFmt numFmtId="171" formatCode="_-* #,##0_-;\-* #,##0_-;_-* &quot;-&quot;??_-;_-@_-"/>
    <numFmt numFmtId="172" formatCode="#,##0.0;\-#,##0.0"/>
    <numFmt numFmtId="173" formatCode="0.000%"/>
    <numFmt numFmtId="174" formatCode="_-* #,##0.000000_-;\-* #,##0.000000_-;_-* &quot;-&quot;??_-;_-@_-"/>
    <numFmt numFmtId="175" formatCode="_-* #,##0.0000000_-;\-* #,##0.0000000_-;_-* &quot;-&quot;??_-;_-@_-"/>
    <numFmt numFmtId="176" formatCode="0.000"/>
  </numFmts>
  <fonts count="1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u/>
      <sz val="10"/>
      <color indexed="12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u/>
      <sz val="11"/>
      <name val="Arial"/>
      <family val="2"/>
    </font>
    <font>
      <b/>
      <sz val="16"/>
      <color indexed="9"/>
      <name val="Arial"/>
      <family val="2"/>
    </font>
    <font>
      <u/>
      <sz val="10"/>
      <color indexed="9"/>
      <name val="Arial"/>
      <family val="2"/>
    </font>
    <font>
      <b/>
      <i/>
      <sz val="11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12"/>
      <name val="Arial"/>
      <family val="2"/>
    </font>
    <font>
      <i/>
      <sz val="11"/>
      <name val="Arial"/>
      <family val="2"/>
    </font>
    <font>
      <sz val="11"/>
      <color indexed="8"/>
      <name val="Arial"/>
      <family val="2"/>
    </font>
    <font>
      <sz val="11"/>
      <color indexed="17"/>
      <name val="Arial"/>
      <family val="2"/>
    </font>
    <font>
      <b/>
      <sz val="11"/>
      <color indexed="17"/>
      <name val="Arial"/>
      <family val="2"/>
    </font>
    <font>
      <sz val="10"/>
      <color indexed="17"/>
      <name val="Arial"/>
      <family val="2"/>
    </font>
    <font>
      <sz val="9"/>
      <name val="Arial"/>
      <family val="2"/>
    </font>
    <font>
      <i/>
      <sz val="11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vertAlign val="superscript"/>
      <sz val="11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vertAlign val="superscript"/>
      <sz val="10"/>
      <name val="Arial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vertAlign val="superscript"/>
      <sz val="11"/>
      <name val="Arial"/>
      <family val="2"/>
    </font>
    <font>
      <b/>
      <i/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u/>
      <vertAlign val="superscript"/>
      <sz val="11"/>
      <name val="Arial"/>
      <family val="2"/>
    </font>
    <font>
      <i/>
      <vertAlign val="superscript"/>
      <sz val="11"/>
      <name val="Arial"/>
      <family val="2"/>
    </font>
    <font>
      <sz val="16"/>
      <name val="Arial"/>
      <family val="2"/>
    </font>
    <font>
      <sz val="12"/>
      <color rgb="FFFF0000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8"/>
      <color rgb="FF0000FF"/>
      <name val="Arial"/>
      <family val="2"/>
    </font>
    <font>
      <sz val="11"/>
      <color theme="1"/>
      <name val="Arial"/>
      <family val="2"/>
    </font>
    <font>
      <sz val="10"/>
      <color rgb="FF0000FF"/>
      <name val="Arial"/>
      <family val="2"/>
    </font>
    <font>
      <sz val="11"/>
      <color rgb="FF132EF9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i/>
      <sz val="11"/>
      <color theme="0"/>
      <name val="Arial"/>
      <family val="2"/>
    </font>
    <font>
      <sz val="16"/>
      <color rgb="FF0000FF"/>
      <name val="Arial"/>
      <family val="2"/>
    </font>
    <font>
      <sz val="10"/>
      <color rgb="FF132EF9"/>
      <name val="Arial"/>
      <family val="2"/>
    </font>
    <font>
      <b/>
      <sz val="11"/>
      <color rgb="FF132EF9"/>
      <name val="Arial"/>
      <family val="2"/>
    </font>
    <font>
      <b/>
      <sz val="11"/>
      <color theme="1"/>
      <name val="Arial"/>
      <family val="2"/>
    </font>
    <font>
      <sz val="11"/>
      <color rgb="FF0033CC"/>
      <name val="Arial"/>
      <family val="2"/>
    </font>
    <font>
      <b/>
      <sz val="11"/>
      <color rgb="FF0033CC"/>
      <name val="Arial"/>
      <family val="2"/>
    </font>
    <font>
      <i/>
      <sz val="11"/>
      <color rgb="FF132EF9"/>
      <name val="Arial"/>
      <family val="2"/>
    </font>
    <font>
      <sz val="11"/>
      <color rgb="FF3333FF"/>
      <name val="Arial"/>
      <family val="2"/>
    </font>
    <font>
      <sz val="11"/>
      <color rgb="FF0066FF"/>
      <name val="Arial"/>
      <family val="2"/>
    </font>
    <font>
      <sz val="11"/>
      <color rgb="FFFF0000"/>
      <name val="Arial"/>
      <family val="2"/>
    </font>
    <font>
      <i/>
      <sz val="11"/>
      <color rgb="FFFFCC99"/>
      <name val="Arial"/>
      <family val="2"/>
    </font>
    <font>
      <b/>
      <sz val="11"/>
      <color rgb="FF0066FF"/>
      <name val="Arial"/>
      <family val="2"/>
    </font>
    <font>
      <b/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11"/>
      <color rgb="FFFF0000"/>
      <name val="Arial"/>
      <family val="2"/>
    </font>
    <font>
      <b/>
      <sz val="9"/>
      <color rgb="FF132EF9"/>
      <name val="Arial"/>
      <family val="2"/>
    </font>
    <font>
      <b/>
      <sz val="16"/>
      <color rgb="FF0000FF"/>
      <name val="Arial"/>
      <family val="2"/>
    </font>
    <font>
      <b/>
      <sz val="16"/>
      <color theme="0"/>
      <name val="Arial"/>
      <family val="2"/>
    </font>
    <font>
      <b/>
      <sz val="10"/>
      <color rgb="FF0000FF"/>
      <name val="Arial"/>
      <family val="2"/>
    </font>
    <font>
      <b/>
      <sz val="11"/>
      <color rgb="FF0000CC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  <font>
      <sz val="9"/>
      <color rgb="FF0000FF"/>
      <name val="Arial"/>
      <family val="2"/>
    </font>
    <font>
      <sz val="11"/>
      <color rgb="FF0000CC"/>
      <name val="Arial"/>
      <family val="2"/>
    </font>
    <font>
      <u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6">
    <xf numFmtId="0" fontId="0" fillId="0" borderId="0" xfId="0"/>
    <xf numFmtId="0" fontId="4" fillId="0" borderId="0" xfId="0" applyFont="1"/>
    <xf numFmtId="0" fontId="3" fillId="0" borderId="0" xfId="0" applyFont="1"/>
    <xf numFmtId="0" fontId="11" fillId="2" borderId="1" xfId="0" applyFont="1" applyFill="1" applyBorder="1" applyAlignment="1">
      <alignment horizontal="left"/>
    </xf>
    <xf numFmtId="37" fontId="9" fillId="2" borderId="1" xfId="0" applyNumberFormat="1" applyFont="1" applyFill="1" applyBorder="1" applyAlignment="1">
      <alignment horizontal="left"/>
    </xf>
    <xf numFmtId="37" fontId="9" fillId="2" borderId="1" xfId="0" applyNumberFormat="1" applyFont="1" applyFill="1" applyBorder="1" applyAlignment="1">
      <alignment horizontal="right"/>
    </xf>
    <xf numFmtId="37" fontId="8" fillId="2" borderId="2" xfId="0" applyNumberFormat="1" applyFont="1" applyFill="1" applyBorder="1" applyAlignment="1">
      <alignment horizontal="center"/>
    </xf>
    <xf numFmtId="37" fontId="8" fillId="2" borderId="2" xfId="0" applyNumberFormat="1" applyFont="1" applyFill="1" applyBorder="1" applyAlignment="1">
      <alignment horizontal="center" wrapText="1"/>
    </xf>
    <xf numFmtId="37" fontId="3" fillId="0" borderId="0" xfId="0" applyNumberFormat="1" applyFont="1" applyAlignment="1">
      <alignment horizontal="right" wrapText="1"/>
    </xf>
    <xf numFmtId="167" fontId="3" fillId="0" borderId="0" xfId="1" applyNumberFormat="1" applyFont="1" applyAlignment="1">
      <alignment horizontal="right"/>
    </xf>
    <xf numFmtId="37" fontId="3" fillId="0" borderId="0" xfId="1" applyNumberFormat="1" applyFont="1" applyAlignment="1">
      <alignment horizontal="right"/>
    </xf>
    <xf numFmtId="0" fontId="1" fillId="0" borderId="0" xfId="0" applyFont="1"/>
    <xf numFmtId="0" fontId="28" fillId="3" borderId="0" xfId="0" applyFont="1" applyFill="1"/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31" fillId="3" borderId="0" xfId="0" applyFont="1" applyFill="1"/>
    <xf numFmtId="0" fontId="32" fillId="3" borderId="0" xfId="4" applyFont="1" applyFill="1" applyAlignment="1" applyProtection="1"/>
    <xf numFmtId="0" fontId="76" fillId="3" borderId="0" xfId="0" applyFont="1" applyFill="1"/>
    <xf numFmtId="0" fontId="28" fillId="3" borderId="0" xfId="0" applyFont="1" applyFill="1" applyAlignment="1">
      <alignment horizontal="left"/>
    </xf>
    <xf numFmtId="37" fontId="52" fillId="2" borderId="1" xfId="0" applyNumberFormat="1" applyFont="1" applyFill="1" applyBorder="1" applyAlignment="1">
      <alignment horizontal="left"/>
    </xf>
    <xf numFmtId="37" fontId="53" fillId="2" borderId="2" xfId="0" applyNumberFormat="1" applyFont="1" applyFill="1" applyBorder="1" applyAlignment="1">
      <alignment horizontal="center"/>
    </xf>
    <xf numFmtId="0" fontId="54" fillId="0" borderId="0" xfId="0" applyFont="1"/>
    <xf numFmtId="0" fontId="55" fillId="0" borderId="0" xfId="0" applyFont="1"/>
    <xf numFmtId="0" fontId="56" fillId="0" borderId="0" xfId="0" applyFont="1" applyAlignment="1">
      <alignment horizontal="left" vertical="top" wrapText="1" indent="1"/>
    </xf>
    <xf numFmtId="37" fontId="77" fillId="0" borderId="0" xfId="0" applyNumberFormat="1" applyFont="1" applyAlignment="1">
      <alignment horizontal="right" wrapText="1"/>
    </xf>
    <xf numFmtId="37" fontId="3" fillId="0" borderId="0" xfId="1" applyNumberFormat="1" applyFont="1" applyFill="1" applyAlignment="1">
      <alignment horizontal="right"/>
    </xf>
    <xf numFmtId="0" fontId="18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54" fillId="0" borderId="0" xfId="0" applyFont="1" applyAlignment="1">
      <alignment vertical="center"/>
    </xf>
    <xf numFmtId="0" fontId="6" fillId="0" borderId="2" xfId="0" applyFont="1" applyBorder="1" applyAlignment="1">
      <alignment horizontal="left" vertical="top" wrapText="1" indent="1"/>
    </xf>
    <xf numFmtId="37" fontId="78" fillId="0" borderId="0" xfId="1" applyNumberFormat="1" applyFont="1" applyAlignment="1">
      <alignment horizontal="right"/>
    </xf>
    <xf numFmtId="37" fontId="78" fillId="2" borderId="1" xfId="1" applyNumberFormat="1" applyFont="1" applyFill="1" applyBorder="1" applyAlignment="1">
      <alignment horizontal="right"/>
    </xf>
    <xf numFmtId="37" fontId="77" fillId="0" borderId="0" xfId="0" applyNumberFormat="1" applyFont="1" applyAlignment="1">
      <alignment vertical="top" wrapText="1"/>
    </xf>
    <xf numFmtId="0" fontId="79" fillId="0" borderId="0" xfId="0" applyFont="1" applyAlignment="1">
      <alignment horizontal="right" wrapText="1"/>
    </xf>
    <xf numFmtId="37" fontId="3" fillId="2" borderId="1" xfId="1" applyNumberFormat="1" applyFont="1" applyFill="1" applyBorder="1" applyAlignment="1">
      <alignment horizontal="right"/>
    </xf>
    <xf numFmtId="167" fontId="3" fillId="2" borderId="2" xfId="1" applyNumberFormat="1" applyFont="1" applyFill="1" applyBorder="1" applyAlignment="1">
      <alignment horizontal="right"/>
    </xf>
    <xf numFmtId="37" fontId="4" fillId="0" borderId="0" xfId="0" applyNumberFormat="1" applyFont="1" applyAlignment="1">
      <alignment vertical="top" wrapText="1"/>
    </xf>
    <xf numFmtId="0" fontId="2" fillId="0" borderId="0" xfId="0" applyFont="1" applyAlignment="1">
      <alignment horizontal="right" wrapText="1"/>
    </xf>
    <xf numFmtId="0" fontId="1" fillId="3" borderId="0" xfId="0" applyFont="1" applyFill="1"/>
    <xf numFmtId="0" fontId="3" fillId="3" borderId="0" xfId="0" applyFont="1" applyFill="1"/>
    <xf numFmtId="0" fontId="6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14" fillId="3" borderId="0" xfId="0" applyFont="1" applyFill="1"/>
    <xf numFmtId="0" fontId="15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13" fillId="3" borderId="0" xfId="0" applyFont="1" applyFill="1"/>
    <xf numFmtId="0" fontId="3" fillId="3" borderId="0" xfId="0" applyFont="1" applyFill="1" applyAlignment="1">
      <alignment horizontal="left"/>
    </xf>
    <xf numFmtId="0" fontId="18" fillId="0" borderId="0" xfId="0" applyFont="1" applyAlignment="1">
      <alignment horizontal="right" vertical="top" wrapText="1" indent="1"/>
    </xf>
    <xf numFmtId="0" fontId="6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right" vertical="top" wrapText="1" indent="1"/>
    </xf>
    <xf numFmtId="0" fontId="80" fillId="0" borderId="0" xfId="0" applyFont="1" applyAlignment="1">
      <alignment horizontal="left" vertical="top" wrapText="1" indent="1"/>
    </xf>
    <xf numFmtId="0" fontId="18" fillId="0" borderId="2" xfId="0" applyFont="1" applyBorder="1" applyAlignment="1">
      <alignment horizontal="left" vertical="top" wrapText="1" inden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top" wrapText="1" indent="1"/>
    </xf>
    <xf numFmtId="0" fontId="11" fillId="2" borderId="1" xfId="5" applyFont="1" applyFill="1" applyBorder="1" applyAlignment="1">
      <alignment horizontal="left"/>
    </xf>
    <xf numFmtId="37" fontId="9" fillId="2" borderId="1" xfId="5" applyNumberFormat="1" applyFont="1" applyFill="1" applyBorder="1" applyAlignment="1">
      <alignment horizontal="left"/>
    </xf>
    <xf numFmtId="167" fontId="4" fillId="2" borderId="1" xfId="1" applyNumberFormat="1" applyFont="1" applyFill="1" applyBorder="1" applyAlignment="1">
      <alignment horizontal="right"/>
    </xf>
    <xf numFmtId="37" fontId="3" fillId="2" borderId="1" xfId="5" applyNumberFormat="1" applyFont="1" applyFill="1" applyBorder="1" applyAlignment="1">
      <alignment horizontal="right"/>
    </xf>
    <xf numFmtId="37" fontId="9" fillId="2" borderId="1" xfId="5" applyNumberFormat="1" applyFont="1" applyFill="1" applyBorder="1" applyAlignment="1">
      <alignment horizontal="right"/>
    </xf>
    <xf numFmtId="0" fontId="3" fillId="0" borderId="0" xfId="5" applyFont="1"/>
    <xf numFmtId="0" fontId="4" fillId="0" borderId="0" xfId="5" applyFont="1"/>
    <xf numFmtId="0" fontId="3" fillId="0" borderId="0" xfId="5" quotePrefix="1" applyFont="1"/>
    <xf numFmtId="167" fontId="3" fillId="0" borderId="0" xfId="5" applyNumberFormat="1" applyFont="1"/>
    <xf numFmtId="167" fontId="3" fillId="0" borderId="0" xfId="5" applyNumberFormat="1" applyFont="1" applyAlignment="1">
      <alignment horizontal="right"/>
    </xf>
    <xf numFmtId="167" fontId="1" fillId="0" borderId="0" xfId="5" applyNumberFormat="1"/>
    <xf numFmtId="0" fontId="1" fillId="0" borderId="0" xfId="5"/>
    <xf numFmtId="167" fontId="3" fillId="0" borderId="0" xfId="1" applyNumberFormat="1" applyFont="1" applyFill="1" applyAlignment="1">
      <alignment horizontal="right"/>
    </xf>
    <xf numFmtId="167" fontId="4" fillId="0" borderId="0" xfId="1" applyNumberFormat="1" applyFont="1" applyAlignment="1">
      <alignment horizontal="right"/>
    </xf>
    <xf numFmtId="0" fontId="1" fillId="0" borderId="0" xfId="0" applyFont="1" applyAlignment="1">
      <alignment horizontal="left" vertical="top"/>
    </xf>
    <xf numFmtId="0" fontId="7" fillId="3" borderId="0" xfId="4" applyFill="1" applyAlignment="1" applyProtection="1"/>
    <xf numFmtId="167" fontId="3" fillId="0" borderId="0" xfId="1" applyNumberFormat="1" applyFont="1" applyBorder="1" applyAlignment="1">
      <alignment horizontal="right"/>
    </xf>
    <xf numFmtId="167" fontId="3" fillId="0" borderId="3" xfId="1" applyNumberFormat="1" applyFont="1" applyBorder="1" applyAlignment="1">
      <alignment horizontal="right"/>
    </xf>
    <xf numFmtId="167" fontId="3" fillId="0" borderId="4" xfId="1" applyNumberFormat="1" applyFont="1" applyBorder="1" applyAlignment="1">
      <alignment horizontal="right"/>
    </xf>
    <xf numFmtId="0" fontId="81" fillId="0" borderId="0" xfId="0" applyFont="1"/>
    <xf numFmtId="0" fontId="4" fillId="0" borderId="5" xfId="1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left" wrapText="1" indent="1"/>
    </xf>
    <xf numFmtId="0" fontId="4" fillId="0" borderId="3" xfId="0" applyFont="1" applyBorder="1" applyAlignment="1">
      <alignment horizontal="left" wrapText="1" indent="1"/>
    </xf>
    <xf numFmtId="0" fontId="6" fillId="0" borderId="4" xfId="0" applyFont="1" applyBorder="1" applyAlignment="1">
      <alignment horizontal="left" wrapText="1" indent="1"/>
    </xf>
    <xf numFmtId="167" fontId="3" fillId="0" borderId="1" xfId="1" applyNumberFormat="1" applyFont="1" applyFill="1" applyBorder="1" applyAlignment="1">
      <alignment horizontal="right"/>
    </xf>
    <xf numFmtId="167" fontId="3" fillId="0" borderId="0" xfId="1" applyNumberFormat="1" applyFont="1" applyFill="1" applyAlignment="1"/>
    <xf numFmtId="167" fontId="3" fillId="0" borderId="3" xfId="1" applyNumberFormat="1" applyFont="1" applyFill="1" applyBorder="1" applyAlignment="1"/>
    <xf numFmtId="167" fontId="3" fillId="0" borderId="0" xfId="0" applyNumberFormat="1" applyFont="1"/>
    <xf numFmtId="0" fontId="78" fillId="0" borderId="0" xfId="0" applyFont="1" applyAlignment="1">
      <alignment horizontal="left" vertical="top" wrapText="1" indent="1"/>
    </xf>
    <xf numFmtId="167" fontId="4" fillId="0" borderId="0" xfId="1" applyNumberFormat="1" applyFont="1" applyBorder="1" applyAlignment="1">
      <alignment horizontal="right"/>
    </xf>
    <xf numFmtId="167" fontId="4" fillId="0" borderId="0" xfId="1" applyNumberFormat="1" applyFont="1" applyFill="1" applyAlignment="1">
      <alignment horizontal="right"/>
    </xf>
    <xf numFmtId="167" fontId="4" fillId="0" borderId="0" xfId="1" applyNumberFormat="1" applyFont="1" applyFill="1" applyBorder="1" applyAlignment="1">
      <alignment horizontal="right"/>
    </xf>
    <xf numFmtId="167" fontId="4" fillId="0" borderId="4" xfId="1" applyNumberFormat="1" applyFont="1" applyBorder="1" applyAlignment="1">
      <alignment horizontal="right"/>
    </xf>
    <xf numFmtId="167" fontId="4" fillId="0" borderId="1" xfId="1" applyNumberFormat="1" applyFont="1" applyFill="1" applyBorder="1" applyAlignment="1">
      <alignment horizontal="right"/>
    </xf>
    <xf numFmtId="167" fontId="4" fillId="0" borderId="0" xfId="1" applyNumberFormat="1" applyFont="1" applyAlignment="1"/>
    <xf numFmtId="167" fontId="4" fillId="0" borderId="0" xfId="1" applyNumberFormat="1" applyFont="1" applyFill="1" applyAlignment="1"/>
    <xf numFmtId="167" fontId="4" fillId="0" borderId="2" xfId="1" applyNumberFormat="1" applyFont="1" applyBorder="1" applyAlignment="1"/>
    <xf numFmtId="167" fontId="4" fillId="0" borderId="2" xfId="1" applyNumberFormat="1" applyFont="1" applyFill="1" applyBorder="1" applyAlignment="1"/>
    <xf numFmtId="167" fontId="4" fillId="0" borderId="0" xfId="1" applyNumberFormat="1" applyFont="1" applyBorder="1" applyAlignment="1"/>
    <xf numFmtId="167" fontId="4" fillId="0" borderId="3" xfId="1" applyNumberFormat="1" applyFont="1" applyBorder="1" applyAlignment="1"/>
    <xf numFmtId="0" fontId="1" fillId="0" borderId="0" xfId="0" applyFont="1" applyAlignment="1">
      <alignment vertical="top" wrapText="1"/>
    </xf>
    <xf numFmtId="37" fontId="3" fillId="5" borderId="0" xfId="0" applyNumberFormat="1" applyFont="1" applyFill="1" applyAlignment="1" applyProtection="1">
      <alignment horizontal="right" wrapText="1"/>
      <protection locked="0"/>
    </xf>
    <xf numFmtId="37" fontId="3" fillId="6" borderId="0" xfId="0" applyNumberFormat="1" applyFont="1" applyFill="1" applyAlignment="1" applyProtection="1">
      <alignment horizontal="right" wrapText="1"/>
      <protection locked="0"/>
    </xf>
    <xf numFmtId="37" fontId="82" fillId="6" borderId="0" xfId="0" applyNumberFormat="1" applyFont="1" applyFill="1" applyAlignment="1" applyProtection="1">
      <alignment horizontal="right" wrapText="1"/>
      <protection locked="0"/>
    </xf>
    <xf numFmtId="167" fontId="4" fillId="5" borderId="0" xfId="1" applyNumberFormat="1" applyFont="1" applyFill="1" applyBorder="1" applyAlignment="1" applyProtection="1">
      <alignment horizontal="right" wrapText="1"/>
      <protection locked="0"/>
    </xf>
    <xf numFmtId="167" fontId="4" fillId="6" borderId="0" xfId="0" applyNumberFormat="1" applyFont="1" applyFill="1" applyAlignment="1" applyProtection="1">
      <alignment horizontal="right" wrapText="1"/>
      <protection locked="0"/>
    </xf>
    <xf numFmtId="167" fontId="3" fillId="5" borderId="7" xfId="1" applyNumberFormat="1" applyFont="1" applyFill="1" applyBorder="1" applyAlignment="1" applyProtection="1">
      <alignment horizontal="right" wrapText="1"/>
      <protection locked="0"/>
    </xf>
    <xf numFmtId="167" fontId="3" fillId="6" borderId="8" xfId="1" applyNumberFormat="1" applyFont="1" applyFill="1" applyBorder="1" applyAlignment="1" applyProtection="1">
      <alignment horizontal="right" wrapText="1"/>
      <protection locked="0"/>
    </xf>
    <xf numFmtId="167" fontId="3" fillId="5" borderId="0" xfId="1" applyNumberFormat="1" applyFont="1" applyFill="1" applyBorder="1" applyAlignment="1" applyProtection="1">
      <alignment horizontal="right" wrapText="1"/>
      <protection locked="0"/>
    </xf>
    <xf numFmtId="167" fontId="3" fillId="6" borderId="9" xfId="1" applyNumberFormat="1" applyFont="1" applyFill="1" applyBorder="1" applyAlignment="1" applyProtection="1">
      <alignment horizontal="right" wrapText="1"/>
      <protection locked="0"/>
    </xf>
    <xf numFmtId="167" fontId="3" fillId="5" borderId="10" xfId="1" applyNumberFormat="1" applyFont="1" applyFill="1" applyBorder="1" applyAlignment="1" applyProtection="1">
      <alignment horizontal="right" wrapText="1"/>
      <protection locked="0"/>
    </xf>
    <xf numFmtId="167" fontId="3" fillId="6" borderId="11" xfId="1" applyNumberFormat="1" applyFont="1" applyFill="1" applyBorder="1" applyAlignment="1" applyProtection="1">
      <alignment horizontal="right" wrapText="1"/>
      <protection locked="0"/>
    </xf>
    <xf numFmtId="167" fontId="4" fillId="6" borderId="12" xfId="1" applyNumberFormat="1" applyFont="1" applyFill="1" applyBorder="1" applyAlignment="1" applyProtection="1">
      <alignment horizontal="right" wrapText="1"/>
      <protection locked="0"/>
    </xf>
    <xf numFmtId="167" fontId="4" fillId="5" borderId="0" xfId="1" applyNumberFormat="1" applyFont="1" applyFill="1" applyAlignment="1" applyProtection="1">
      <alignment horizontal="right" wrapText="1"/>
      <protection locked="0"/>
    </xf>
    <xf numFmtId="167" fontId="4" fillId="6" borderId="0" xfId="1" applyNumberFormat="1" applyFont="1" applyFill="1" applyBorder="1" applyAlignment="1" applyProtection="1">
      <alignment horizontal="right" wrapText="1"/>
      <protection locked="0"/>
    </xf>
    <xf numFmtId="167" fontId="3" fillId="5" borderId="0" xfId="1" applyNumberFormat="1" applyFont="1" applyFill="1" applyAlignment="1" applyProtection="1">
      <alignment horizontal="right" wrapText="1"/>
      <protection locked="0"/>
    </xf>
    <xf numFmtId="167" fontId="3" fillId="6" borderId="0" xfId="1" applyNumberFormat="1" applyFont="1" applyFill="1" applyBorder="1" applyAlignment="1" applyProtection="1">
      <alignment horizontal="right" wrapText="1"/>
      <protection locked="0"/>
    </xf>
    <xf numFmtId="167" fontId="4" fillId="6" borderId="0" xfId="1" applyNumberFormat="1" applyFont="1" applyFill="1" applyAlignment="1" applyProtection="1">
      <alignment horizontal="right" wrapText="1"/>
      <protection locked="0"/>
    </xf>
    <xf numFmtId="167" fontId="4" fillId="0" borderId="0" xfId="1" applyNumberFormat="1" applyFont="1" applyAlignment="1" applyProtection="1">
      <alignment horizontal="right" wrapText="1"/>
      <protection locked="0"/>
    </xf>
    <xf numFmtId="167" fontId="3" fillId="5" borderId="13" xfId="1" applyNumberFormat="1" applyFont="1" applyFill="1" applyBorder="1" applyAlignment="1" applyProtection="1">
      <alignment horizontal="right" wrapText="1"/>
      <protection locked="0"/>
    </xf>
    <xf numFmtId="167" fontId="3" fillId="6" borderId="13" xfId="1" applyNumberFormat="1" applyFont="1" applyFill="1" applyBorder="1" applyAlignment="1" applyProtection="1">
      <alignment horizontal="right" wrapText="1"/>
      <protection locked="0"/>
    </xf>
    <xf numFmtId="167" fontId="3" fillId="5" borderId="7" xfId="0" applyNumberFormat="1" applyFont="1" applyFill="1" applyBorder="1" applyAlignment="1" applyProtection="1">
      <alignment horizontal="right" wrapText="1"/>
      <protection locked="0"/>
    </xf>
    <xf numFmtId="167" fontId="3" fillId="6" borderId="8" xfId="0" applyNumberFormat="1" applyFont="1" applyFill="1" applyBorder="1" applyAlignment="1" applyProtection="1">
      <alignment horizontal="right" wrapText="1"/>
      <protection locked="0"/>
    </xf>
    <xf numFmtId="167" fontId="17" fillId="5" borderId="10" xfId="0" applyNumberFormat="1" applyFont="1" applyFill="1" applyBorder="1" applyAlignment="1" applyProtection="1">
      <alignment horizontal="right" wrapText="1"/>
      <protection locked="0"/>
    </xf>
    <xf numFmtId="167" fontId="17" fillId="6" borderId="11" xfId="0" applyNumberFormat="1" applyFont="1" applyFill="1" applyBorder="1" applyAlignment="1" applyProtection="1">
      <alignment horizontal="right" wrapText="1"/>
      <protection locked="0"/>
    </xf>
    <xf numFmtId="167" fontId="3" fillId="5" borderId="0" xfId="0" applyNumberFormat="1" applyFont="1" applyFill="1" applyAlignment="1" applyProtection="1">
      <alignment horizontal="right" wrapText="1"/>
      <protection locked="0"/>
    </xf>
    <xf numFmtId="167" fontId="3" fillId="6" borderId="0" xfId="0" applyNumberFormat="1" applyFont="1" applyFill="1" applyAlignment="1" applyProtection="1">
      <alignment horizontal="right" wrapText="1"/>
      <protection locked="0"/>
    </xf>
    <xf numFmtId="39" fontId="3" fillId="5" borderId="0" xfId="0" applyNumberFormat="1" applyFont="1" applyFill="1" applyAlignment="1" applyProtection="1">
      <alignment horizontal="right" wrapText="1"/>
      <protection locked="0"/>
    </xf>
    <xf numFmtId="39" fontId="3" fillId="6" borderId="0" xfId="0" applyNumberFormat="1" applyFont="1" applyFill="1" applyAlignment="1" applyProtection="1">
      <alignment horizontal="right" wrapText="1"/>
      <protection locked="0"/>
    </xf>
    <xf numFmtId="165" fontId="3" fillId="5" borderId="0" xfId="0" applyNumberFormat="1" applyFont="1" applyFill="1" applyAlignment="1" applyProtection="1">
      <alignment horizontal="right" wrapText="1"/>
      <protection locked="0"/>
    </xf>
    <xf numFmtId="165" fontId="3" fillId="6" borderId="0" xfId="0" applyNumberFormat="1" applyFont="1" applyFill="1" applyAlignment="1" applyProtection="1">
      <alignment horizontal="right" wrapText="1"/>
      <protection locked="0"/>
    </xf>
    <xf numFmtId="172" fontId="3" fillId="5" borderId="0" xfId="0" applyNumberFormat="1" applyFont="1" applyFill="1" applyAlignment="1" applyProtection="1">
      <alignment horizontal="right" wrapText="1"/>
      <protection locked="0"/>
    </xf>
    <xf numFmtId="172" fontId="3" fillId="6" borderId="0" xfId="0" applyNumberFormat="1" applyFont="1" applyFill="1" applyAlignment="1" applyProtection="1">
      <alignment horizontal="right" wrapText="1"/>
      <protection locked="0"/>
    </xf>
    <xf numFmtId="167" fontId="3" fillId="0" borderId="7" xfId="1" applyNumberFormat="1" applyFont="1" applyFill="1" applyBorder="1" applyAlignment="1" applyProtection="1">
      <alignment horizontal="right" wrapText="1"/>
    </xf>
    <xf numFmtId="167" fontId="3" fillId="0" borderId="0" xfId="1" applyNumberFormat="1" applyFont="1" applyFill="1" applyBorder="1" applyAlignment="1" applyProtection="1">
      <alignment horizontal="right" wrapText="1"/>
    </xf>
    <xf numFmtId="167" fontId="3" fillId="0" borderId="10" xfId="1" applyNumberFormat="1" applyFont="1" applyFill="1" applyBorder="1" applyAlignment="1" applyProtection="1">
      <alignment horizontal="right" wrapText="1"/>
    </xf>
    <xf numFmtId="167" fontId="4" fillId="0" borderId="0" xfId="1" applyNumberFormat="1" applyFont="1" applyFill="1" applyBorder="1" applyAlignment="1" applyProtection="1">
      <alignment horizontal="right" wrapText="1"/>
    </xf>
    <xf numFmtId="167" fontId="3" fillId="0" borderId="13" xfId="1" applyNumberFormat="1" applyFont="1" applyFill="1" applyBorder="1" applyAlignment="1" applyProtection="1">
      <alignment horizontal="right" wrapText="1"/>
    </xf>
    <xf numFmtId="167" fontId="4" fillId="0" borderId="0" xfId="1" applyNumberFormat="1" applyFont="1" applyFill="1" applyAlignment="1" applyProtection="1">
      <alignment horizontal="right" wrapText="1"/>
    </xf>
    <xf numFmtId="164" fontId="3" fillId="0" borderId="0" xfId="1" applyFont="1" applyFill="1" applyBorder="1" applyAlignment="1" applyProtection="1">
      <alignment horizontal="right" wrapText="1"/>
    </xf>
    <xf numFmtId="164" fontId="3" fillId="0" borderId="0" xfId="1" applyFont="1" applyFill="1" applyAlignment="1" applyProtection="1">
      <alignment horizontal="left"/>
    </xf>
    <xf numFmtId="164" fontId="3" fillId="0" borderId="0" xfId="1" applyFont="1" applyFill="1" applyBorder="1" applyAlignment="1" applyProtection="1">
      <alignment horizontal="left"/>
    </xf>
    <xf numFmtId="167" fontId="4" fillId="0" borderId="12" xfId="1" applyNumberFormat="1" applyFont="1" applyFill="1" applyBorder="1" applyAlignment="1" applyProtection="1">
      <alignment horizontal="right" wrapText="1"/>
    </xf>
    <xf numFmtId="167" fontId="4" fillId="0" borderId="0" xfId="1" applyNumberFormat="1" applyFont="1" applyAlignment="1" applyProtection="1">
      <alignment horizontal="right" wrapText="1"/>
    </xf>
    <xf numFmtId="167" fontId="3" fillId="0" borderId="14" xfId="1" applyNumberFormat="1" applyFont="1" applyFill="1" applyBorder="1" applyAlignment="1" applyProtection="1">
      <alignment horizontal="right" wrapText="1"/>
    </xf>
    <xf numFmtId="167" fontId="3" fillId="0" borderId="7" xfId="1" applyNumberFormat="1" applyFont="1" applyBorder="1" applyAlignment="1" applyProtection="1">
      <alignment horizontal="right" wrapText="1"/>
    </xf>
    <xf numFmtId="167" fontId="3" fillId="0" borderId="15" xfId="1" applyNumberFormat="1" applyFont="1" applyBorder="1" applyAlignment="1" applyProtection="1">
      <alignment horizontal="right" wrapText="1"/>
    </xf>
    <xf numFmtId="167" fontId="3" fillId="0" borderId="0" xfId="1" applyNumberFormat="1" applyFont="1" applyAlignment="1" applyProtection="1">
      <alignment horizontal="right" wrapText="1"/>
    </xf>
    <xf numFmtId="164" fontId="3" fillId="0" borderId="0" xfId="1" applyFont="1" applyAlignment="1" applyProtection="1">
      <alignment horizontal="right" wrapText="1"/>
    </xf>
    <xf numFmtId="166" fontId="3" fillId="0" borderId="0" xfId="1" applyNumberFormat="1" applyFont="1" applyAlignment="1" applyProtection="1">
      <alignment horizontal="right" wrapText="1"/>
    </xf>
    <xf numFmtId="37" fontId="4" fillId="6" borderId="0" xfId="0" applyNumberFormat="1" applyFont="1" applyFill="1" applyAlignment="1" applyProtection="1">
      <alignment horizontal="right" wrapText="1"/>
      <protection locked="0"/>
    </xf>
    <xf numFmtId="164" fontId="3" fillId="6" borderId="0" xfId="1" applyFont="1" applyFill="1" applyBorder="1" applyAlignment="1" applyProtection="1">
      <alignment horizontal="right" wrapText="1"/>
      <protection locked="0"/>
    </xf>
    <xf numFmtId="164" fontId="82" fillId="0" borderId="0" xfId="1" applyFont="1" applyFill="1" applyBorder="1" applyAlignment="1" applyProtection="1">
      <alignment horizontal="right" wrapText="1"/>
    </xf>
    <xf numFmtId="167" fontId="78" fillId="0" borderId="0" xfId="1" applyNumberFormat="1" applyFont="1" applyFill="1" applyBorder="1" applyAlignment="1" applyProtection="1">
      <alignment horizontal="right" wrapText="1"/>
    </xf>
    <xf numFmtId="167" fontId="4" fillId="6" borderId="0" xfId="1" applyNumberFormat="1" applyFont="1" applyFill="1" applyAlignment="1" applyProtection="1">
      <alignment horizontal="right"/>
      <protection locked="0"/>
    </xf>
    <xf numFmtId="167" fontId="3" fillId="6" borderId="0" xfId="1" applyNumberFormat="1" applyFont="1" applyFill="1" applyAlignment="1" applyProtection="1">
      <alignment horizontal="right" wrapText="1"/>
      <protection locked="0"/>
    </xf>
    <xf numFmtId="167" fontId="3" fillId="6" borderId="0" xfId="1" applyNumberFormat="1" applyFont="1" applyFill="1" applyAlignment="1" applyProtection="1">
      <alignment horizontal="right"/>
      <protection locked="0"/>
    </xf>
    <xf numFmtId="167" fontId="4" fillId="6" borderId="0" xfId="0" applyNumberFormat="1" applyFont="1" applyFill="1" applyAlignment="1" applyProtection="1">
      <alignment horizontal="right"/>
      <protection locked="0"/>
    </xf>
    <xf numFmtId="167" fontId="3" fillId="6" borderId="0" xfId="0" applyNumberFormat="1" applyFont="1" applyFill="1" applyAlignment="1" applyProtection="1">
      <alignment horizontal="right"/>
      <protection locked="0"/>
    </xf>
    <xf numFmtId="164" fontId="4" fillId="6" borderId="0" xfId="0" applyNumberFormat="1" applyFont="1" applyFill="1" applyAlignment="1" applyProtection="1">
      <alignment horizontal="right"/>
      <protection locked="0"/>
    </xf>
    <xf numFmtId="164" fontId="3" fillId="6" borderId="0" xfId="0" applyNumberFormat="1" applyFont="1" applyFill="1" applyAlignment="1" applyProtection="1">
      <alignment horizontal="right"/>
      <protection locked="0"/>
    </xf>
    <xf numFmtId="167" fontId="3" fillId="6" borderId="8" xfId="0" applyNumberFormat="1" applyFont="1" applyFill="1" applyBorder="1" applyAlignment="1" applyProtection="1">
      <alignment horizontal="right"/>
      <protection locked="0"/>
    </xf>
    <xf numFmtId="167" fontId="3" fillId="6" borderId="9" xfId="0" applyNumberFormat="1" applyFont="1" applyFill="1" applyBorder="1" applyAlignment="1" applyProtection="1">
      <alignment horizontal="right"/>
      <protection locked="0"/>
    </xf>
    <xf numFmtId="167" fontId="3" fillId="6" borderId="11" xfId="0" applyNumberFormat="1" applyFont="1" applyFill="1" applyBorder="1" applyAlignment="1" applyProtection="1">
      <alignment horizontal="right"/>
      <protection locked="0"/>
    </xf>
    <xf numFmtId="164" fontId="3" fillId="6" borderId="8" xfId="0" applyNumberFormat="1" applyFont="1" applyFill="1" applyBorder="1" applyAlignment="1" applyProtection="1">
      <alignment horizontal="right"/>
      <protection locked="0"/>
    </xf>
    <xf numFmtId="164" fontId="3" fillId="6" borderId="9" xfId="0" applyNumberFormat="1" applyFont="1" applyFill="1" applyBorder="1" applyAlignment="1" applyProtection="1">
      <alignment horizontal="right"/>
      <protection locked="0"/>
    </xf>
    <xf numFmtId="164" fontId="3" fillId="6" borderId="11" xfId="0" applyNumberFormat="1" applyFont="1" applyFill="1" applyBorder="1" applyAlignment="1" applyProtection="1">
      <alignment horizontal="right"/>
      <protection locked="0"/>
    </xf>
    <xf numFmtId="167" fontId="3" fillId="0" borderId="0" xfId="1" applyNumberFormat="1" applyFont="1" applyFill="1" applyAlignment="1" applyProtection="1">
      <alignment horizontal="right" wrapText="1"/>
    </xf>
    <xf numFmtId="10" fontId="4" fillId="0" borderId="0" xfId="6" applyNumberFormat="1" applyFont="1" applyFill="1" applyBorder="1" applyProtection="1"/>
    <xf numFmtId="164" fontId="3" fillId="0" borderId="7" xfId="1" applyFont="1" applyFill="1" applyBorder="1" applyAlignment="1" applyProtection="1">
      <alignment horizontal="right" wrapText="1"/>
    </xf>
    <xf numFmtId="164" fontId="3" fillId="0" borderId="15" xfId="1" applyFont="1" applyFill="1" applyBorder="1" applyAlignment="1" applyProtection="1">
      <alignment horizontal="right" wrapText="1"/>
    </xf>
    <xf numFmtId="164" fontId="3" fillId="0" borderId="16" xfId="1" applyFont="1" applyFill="1" applyBorder="1" applyAlignment="1" applyProtection="1">
      <alignment horizontal="right" wrapText="1"/>
    </xf>
    <xf numFmtId="164" fontId="3" fillId="0" borderId="10" xfId="1" applyFont="1" applyFill="1" applyBorder="1" applyAlignment="1" applyProtection="1">
      <alignment horizontal="right" wrapText="1"/>
    </xf>
    <xf numFmtId="164" fontId="3" fillId="0" borderId="17" xfId="1" applyFont="1" applyFill="1" applyBorder="1" applyAlignment="1" applyProtection="1">
      <alignment horizontal="right" wrapText="1"/>
    </xf>
    <xf numFmtId="164" fontId="3" fillId="5" borderId="0" xfId="1" applyFont="1" applyFill="1" applyBorder="1" applyAlignment="1" applyProtection="1">
      <alignment horizontal="right" wrapText="1"/>
      <protection locked="0"/>
    </xf>
    <xf numFmtId="167" fontId="3" fillId="6" borderId="0" xfId="0" applyNumberFormat="1" applyFont="1" applyFill="1" applyAlignment="1" applyProtection="1">
      <alignment horizontal="left"/>
      <protection locked="0"/>
    </xf>
    <xf numFmtId="167" fontId="4" fillId="6" borderId="0" xfId="0" applyNumberFormat="1" applyFont="1" applyFill="1" applyProtection="1">
      <protection locked="0"/>
    </xf>
    <xf numFmtId="167" fontId="3" fillId="0" borderId="0" xfId="1" applyNumberFormat="1" applyFont="1" applyFill="1" applyBorder="1" applyAlignment="1" applyProtection="1"/>
    <xf numFmtId="167" fontId="4" fillId="0" borderId="0" xfId="1" applyNumberFormat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 wrapText="1"/>
      <protection locked="0"/>
    </xf>
    <xf numFmtId="167" fontId="4" fillId="0" borderId="0" xfId="1" applyNumberFormat="1" applyFont="1" applyAlignment="1" applyProtection="1">
      <alignment horizontal="right"/>
    </xf>
    <xf numFmtId="167" fontId="3" fillId="0" borderId="7" xfId="1" applyNumberFormat="1" applyFont="1" applyBorder="1" applyAlignment="1" applyProtection="1">
      <alignment horizontal="right"/>
    </xf>
    <xf numFmtId="167" fontId="3" fillId="0" borderId="0" xfId="1" applyNumberFormat="1" applyFont="1" applyBorder="1" applyAlignment="1" applyProtection="1">
      <alignment horizontal="right"/>
    </xf>
    <xf numFmtId="167" fontId="3" fillId="0" borderId="0" xfId="1" applyNumberFormat="1" applyFont="1" applyBorder="1" applyAlignment="1" applyProtection="1">
      <alignment horizontal="right" wrapText="1"/>
    </xf>
    <xf numFmtId="167" fontId="3" fillId="0" borderId="16" xfId="1" applyNumberFormat="1" applyFont="1" applyBorder="1" applyAlignment="1" applyProtection="1">
      <alignment horizontal="right" wrapText="1"/>
    </xf>
    <xf numFmtId="167" fontId="3" fillId="0" borderId="10" xfId="1" applyNumberFormat="1" applyFont="1" applyBorder="1" applyAlignment="1" applyProtection="1">
      <alignment horizontal="right"/>
    </xf>
    <xf numFmtId="167" fontId="3" fillId="0" borderId="10" xfId="1" applyNumberFormat="1" applyFont="1" applyBorder="1" applyAlignment="1" applyProtection="1">
      <alignment horizontal="right" wrapText="1"/>
    </xf>
    <xf numFmtId="167" fontId="3" fillId="0" borderId="17" xfId="1" applyNumberFormat="1" applyFont="1" applyBorder="1" applyAlignment="1" applyProtection="1">
      <alignment horizontal="right" wrapText="1"/>
    </xf>
    <xf numFmtId="167" fontId="3" fillId="0" borderId="0" xfId="1" applyNumberFormat="1" applyFont="1" applyAlignment="1" applyProtection="1">
      <alignment horizontal="left"/>
    </xf>
    <xf numFmtId="167" fontId="3" fillId="0" borderId="0" xfId="1" applyNumberFormat="1" applyFont="1" applyFill="1" applyBorder="1" applyAlignment="1" applyProtection="1">
      <alignment horizontal="left"/>
    </xf>
    <xf numFmtId="0" fontId="3" fillId="0" borderId="0" xfId="1" applyNumberFormat="1" applyFont="1" applyFill="1" applyAlignment="1" applyProtection="1">
      <alignment horizontal="right"/>
    </xf>
    <xf numFmtId="1" fontId="3" fillId="0" borderId="0" xfId="1" applyNumberFormat="1" applyFont="1" applyFill="1" applyAlignment="1" applyProtection="1">
      <alignment horizontal="right"/>
    </xf>
    <xf numFmtId="0" fontId="4" fillId="0" borderId="0" xfId="1" applyNumberFormat="1" applyFont="1" applyFill="1" applyAlignment="1" applyProtection="1">
      <alignment horizontal="right"/>
    </xf>
    <xf numFmtId="167" fontId="80" fillId="0" borderId="0" xfId="1" applyNumberFormat="1" applyFont="1" applyAlignment="1" applyProtection="1">
      <alignment horizontal="right"/>
    </xf>
    <xf numFmtId="170" fontId="83" fillId="2" borderId="2" xfId="0" applyNumberFormat="1" applyFont="1" applyFill="1" applyBorder="1" applyAlignment="1" applyProtection="1">
      <alignment horizontal="right" wrapText="1"/>
      <protection locked="0"/>
    </xf>
    <xf numFmtId="37" fontId="3" fillId="0" borderId="0" xfId="1" applyNumberFormat="1" applyFont="1" applyFill="1" applyBorder="1" applyAlignment="1" applyProtection="1">
      <alignment horizontal="right" wrapText="1"/>
    </xf>
    <xf numFmtId="167" fontId="82" fillId="0" borderId="0" xfId="1" applyNumberFormat="1" applyFont="1" applyFill="1" applyBorder="1" applyAlignment="1" applyProtection="1">
      <alignment horizontal="right"/>
    </xf>
    <xf numFmtId="167" fontId="84" fillId="0" borderId="0" xfId="1" applyNumberFormat="1" applyFont="1" applyFill="1" applyBorder="1" applyAlignment="1" applyProtection="1">
      <alignment horizontal="right"/>
    </xf>
    <xf numFmtId="167" fontId="77" fillId="0" borderId="0" xfId="1" applyNumberFormat="1" applyFont="1" applyFill="1" applyBorder="1" applyAlignment="1" applyProtection="1">
      <alignment horizontal="right" wrapText="1"/>
    </xf>
    <xf numFmtId="37" fontId="3" fillId="6" borderId="0" xfId="0" applyNumberFormat="1" applyFont="1" applyFill="1" applyAlignment="1" applyProtection="1">
      <alignment wrapText="1"/>
      <protection locked="0"/>
    </xf>
    <xf numFmtId="165" fontId="4" fillId="6" borderId="0" xfId="0" applyNumberFormat="1" applyFont="1" applyFill="1" applyAlignment="1" applyProtection="1">
      <alignment wrapText="1"/>
      <protection locked="0"/>
    </xf>
    <xf numFmtId="165" fontId="3" fillId="6" borderId="0" xfId="0" applyNumberFormat="1" applyFont="1" applyFill="1" applyAlignment="1" applyProtection="1">
      <alignment wrapText="1"/>
      <protection locked="0"/>
    </xf>
    <xf numFmtId="166" fontId="3" fillId="0" borderId="0" xfId="1" applyNumberFormat="1" applyFont="1" applyAlignment="1" applyProtection="1">
      <alignment horizontal="right"/>
    </xf>
    <xf numFmtId="166" fontId="3" fillId="0" borderId="0" xfId="1" applyNumberFormat="1" applyFont="1" applyFill="1" applyBorder="1" applyAlignment="1" applyProtection="1">
      <alignment horizontal="right" wrapText="1"/>
    </xf>
    <xf numFmtId="167" fontId="3" fillId="0" borderId="0" xfId="1" applyNumberFormat="1" applyFont="1" applyFill="1" applyBorder="1" applyAlignment="1" applyProtection="1">
      <alignment horizontal="right"/>
    </xf>
    <xf numFmtId="170" fontId="83" fillId="7" borderId="0" xfId="0" applyNumberFormat="1" applyFont="1" applyFill="1" applyAlignment="1" applyProtection="1">
      <alignment horizontal="right" wrapText="1"/>
      <protection locked="0"/>
    </xf>
    <xf numFmtId="165" fontId="3" fillId="6" borderId="0" xfId="1" applyNumberFormat="1" applyFont="1" applyFill="1" applyBorder="1" applyAlignment="1" applyProtection="1">
      <alignment horizontal="right" wrapText="1"/>
      <protection locked="0"/>
    </xf>
    <xf numFmtId="169" fontId="3" fillId="6" borderId="0" xfId="1" applyNumberFormat="1" applyFont="1" applyFill="1" applyBorder="1" applyAlignment="1" applyProtection="1">
      <alignment horizontal="right" wrapText="1"/>
      <protection locked="0"/>
    </xf>
    <xf numFmtId="167" fontId="82" fillId="0" borderId="0" xfId="1" applyNumberFormat="1" applyFont="1" applyFill="1" applyBorder="1" applyAlignment="1" applyProtection="1">
      <alignment horizontal="right" wrapText="1"/>
    </xf>
    <xf numFmtId="165" fontId="3" fillId="0" borderId="0" xfId="1" applyNumberFormat="1" applyFont="1" applyFill="1" applyBorder="1" applyAlignment="1" applyProtection="1">
      <alignment horizontal="right" wrapText="1"/>
    </xf>
    <xf numFmtId="169" fontId="3" fillId="0" borderId="0" xfId="1" applyNumberFormat="1" applyFont="1" applyFill="1" applyBorder="1" applyAlignment="1" applyProtection="1">
      <alignment horizontal="right" wrapText="1"/>
    </xf>
    <xf numFmtId="167" fontId="17" fillId="6" borderId="0" xfId="1" applyNumberFormat="1" applyFont="1" applyFill="1" applyAlignment="1" applyProtection="1">
      <alignment horizontal="right" wrapText="1"/>
      <protection locked="0"/>
    </xf>
    <xf numFmtId="0" fontId="1" fillId="0" borderId="0" xfId="0" applyFont="1" applyProtection="1">
      <protection locked="0"/>
    </xf>
    <xf numFmtId="167" fontId="85" fillId="0" borderId="0" xfId="1" applyNumberFormat="1" applyFont="1" applyFill="1" applyAlignment="1" applyProtection="1">
      <alignment horizontal="right" wrapText="1"/>
    </xf>
    <xf numFmtId="37" fontId="3" fillId="0" borderId="0" xfId="1" applyNumberFormat="1" applyFont="1" applyFill="1" applyAlignment="1" applyProtection="1">
      <alignment horizontal="right" wrapText="1"/>
    </xf>
    <xf numFmtId="167" fontId="23" fillId="0" borderId="0" xfId="1" applyNumberFormat="1" applyFont="1" applyFill="1" applyAlignment="1" applyProtection="1">
      <alignment horizontal="right" wrapText="1"/>
    </xf>
    <xf numFmtId="167" fontId="14" fillId="0" borderId="0" xfId="1" applyNumberFormat="1" applyFont="1" applyFill="1" applyAlignment="1" applyProtection="1">
      <alignment horizontal="right" wrapText="1"/>
    </xf>
    <xf numFmtId="171" fontId="3" fillId="0" borderId="0" xfId="1" applyNumberFormat="1" applyFont="1" applyFill="1" applyAlignment="1" applyProtection="1">
      <alignment horizontal="right" wrapText="1"/>
    </xf>
    <xf numFmtId="167" fontId="4" fillId="0" borderId="0" xfId="1" applyNumberFormat="1" applyFont="1" applyFill="1" applyBorder="1" applyAlignment="1" applyProtection="1"/>
    <xf numFmtId="167" fontId="4" fillId="0" borderId="0" xfId="1" applyNumberFormat="1" applyFont="1" applyFill="1" applyBorder="1" applyProtection="1"/>
    <xf numFmtId="167" fontId="82" fillId="0" borderId="0" xfId="1" applyNumberFormat="1" applyFont="1" applyFill="1" applyBorder="1" applyAlignment="1" applyProtection="1"/>
    <xf numFmtId="167" fontId="3" fillId="0" borderId="0" xfId="1" applyNumberFormat="1" applyFont="1" applyFill="1" applyProtection="1"/>
    <xf numFmtId="167" fontId="4" fillId="0" borderId="0" xfId="1" applyNumberFormat="1" applyFont="1" applyFill="1" applyProtection="1"/>
    <xf numFmtId="167" fontId="3" fillId="0" borderId="0" xfId="1" applyNumberFormat="1" applyFont="1" applyProtection="1"/>
    <xf numFmtId="167" fontId="4" fillId="0" borderId="0" xfId="1" applyNumberFormat="1" applyFont="1" applyProtection="1"/>
    <xf numFmtId="37" fontId="4" fillId="0" borderId="5" xfId="0" applyNumberFormat="1" applyFont="1" applyBorder="1" applyAlignment="1" applyProtection="1">
      <alignment horizontal="center" vertical="top"/>
      <protection locked="0"/>
    </xf>
    <xf numFmtId="1" fontId="4" fillId="0" borderId="6" xfId="0" quotePrefix="1" applyNumberFormat="1" applyFont="1" applyBorder="1" applyAlignment="1" applyProtection="1">
      <alignment horizontal="center"/>
      <protection locked="0"/>
    </xf>
    <xf numFmtId="167" fontId="4" fillId="0" borderId="0" xfId="0" applyNumberFormat="1" applyFont="1" applyAlignment="1" applyProtection="1">
      <alignment horizontal="right"/>
      <protection locked="0"/>
    </xf>
    <xf numFmtId="167" fontId="4" fillId="0" borderId="3" xfId="0" applyNumberFormat="1" applyFont="1" applyBorder="1" applyAlignment="1" applyProtection="1">
      <alignment horizontal="right"/>
      <protection locked="0"/>
    </xf>
    <xf numFmtId="167" fontId="3" fillId="0" borderId="0" xfId="1" applyNumberFormat="1" applyFont="1" applyAlignment="1" applyProtection="1">
      <alignment horizontal="right"/>
      <protection locked="0"/>
    </xf>
    <xf numFmtId="167" fontId="4" fillId="0" borderId="0" xfId="1" applyNumberFormat="1" applyFont="1" applyFill="1" applyAlignment="1" applyProtection="1">
      <alignment horizontal="right"/>
      <protection locked="0"/>
    </xf>
    <xf numFmtId="167" fontId="4" fillId="0" borderId="3" xfId="1" applyNumberFormat="1" applyFont="1" applyFill="1" applyBorder="1" applyAlignment="1" applyProtection="1">
      <alignment horizontal="right"/>
      <protection locked="0"/>
    </xf>
    <xf numFmtId="167" fontId="4" fillId="0" borderId="2" xfId="1" applyNumberFormat="1" applyFont="1" applyFill="1" applyBorder="1" applyAlignment="1" applyProtection="1">
      <alignment horizontal="right"/>
      <protection locked="0"/>
    </xf>
    <xf numFmtId="167" fontId="4" fillId="0" borderId="0" xfId="1" applyNumberFormat="1" applyFont="1" applyFill="1" applyBorder="1" applyAlignment="1" applyProtection="1">
      <alignment horizontal="right"/>
      <protection locked="0"/>
    </xf>
    <xf numFmtId="167" fontId="4" fillId="0" borderId="4" xfId="0" applyNumberFormat="1" applyFont="1" applyBorder="1" applyAlignment="1" applyProtection="1">
      <alignment horizontal="right"/>
      <protection locked="0"/>
    </xf>
    <xf numFmtId="167" fontId="78" fillId="0" borderId="0" xfId="1" applyNumberFormat="1" applyFont="1" applyAlignment="1" applyProtection="1">
      <protection locked="0"/>
    </xf>
    <xf numFmtId="167" fontId="4" fillId="0" borderId="2" xfId="1" applyNumberFormat="1" applyFont="1" applyBorder="1" applyAlignment="1" applyProtection="1">
      <alignment horizontal="right"/>
      <protection locked="0"/>
    </xf>
    <xf numFmtId="167" fontId="4" fillId="0" borderId="4" xfId="1" applyNumberFormat="1" applyFont="1" applyBorder="1" applyAlignment="1" applyProtection="1">
      <alignment horizontal="right"/>
      <protection locked="0"/>
    </xf>
    <xf numFmtId="0" fontId="81" fillId="0" borderId="0" xfId="0" applyFont="1" applyProtection="1">
      <protection locked="0"/>
    </xf>
    <xf numFmtId="0" fontId="86" fillId="7" borderId="0" xfId="0" applyFont="1" applyFill="1" applyProtection="1">
      <protection locked="0"/>
    </xf>
    <xf numFmtId="0" fontId="87" fillId="0" borderId="0" xfId="0" applyFont="1" applyProtection="1">
      <protection locked="0"/>
    </xf>
    <xf numFmtId="167" fontId="1" fillId="0" borderId="0" xfId="0" applyNumberFormat="1" applyFont="1" applyProtection="1">
      <protection locked="0"/>
    </xf>
    <xf numFmtId="167" fontId="25" fillId="0" borderId="0" xfId="1" applyNumberFormat="1" applyFont="1" applyAlignment="1" applyProtection="1">
      <protection locked="0"/>
    </xf>
    <xf numFmtId="167" fontId="4" fillId="0" borderId="0" xfId="1" applyNumberFormat="1" applyFont="1" applyAlignment="1" applyProtection="1">
      <protection locked="0"/>
    </xf>
    <xf numFmtId="167" fontId="3" fillId="0" borderId="0" xfId="1" applyNumberFormat="1" applyFont="1" applyAlignment="1" applyProtection="1"/>
    <xf numFmtId="167" fontId="3" fillId="0" borderId="0" xfId="1" applyNumberFormat="1" applyFont="1" applyFill="1" applyAlignment="1" applyProtection="1">
      <alignment horizontal="right"/>
    </xf>
    <xf numFmtId="167" fontId="3" fillId="0" borderId="3" xfId="1" applyNumberFormat="1" applyFont="1" applyBorder="1" applyAlignment="1" applyProtection="1"/>
    <xf numFmtId="167" fontId="3" fillId="0" borderId="3" xfId="1" applyNumberFormat="1" applyFont="1" applyBorder="1" applyAlignment="1" applyProtection="1">
      <alignment horizontal="right"/>
    </xf>
    <xf numFmtId="167" fontId="3" fillId="0" borderId="3" xfId="1" applyNumberFormat="1" applyFont="1" applyFill="1" applyBorder="1" applyAlignment="1" applyProtection="1">
      <alignment horizontal="right"/>
    </xf>
    <xf numFmtId="167" fontId="3" fillId="0" borderId="0" xfId="1" applyNumberFormat="1" applyFont="1" applyAlignment="1" applyProtection="1">
      <alignment horizontal="right"/>
    </xf>
    <xf numFmtId="167" fontId="3" fillId="0" borderId="2" xfId="1" applyNumberFormat="1" applyFont="1" applyBorder="1" applyAlignment="1" applyProtection="1">
      <alignment horizontal="right"/>
    </xf>
    <xf numFmtId="167" fontId="3" fillId="0" borderId="3" xfId="1" applyNumberFormat="1" applyFont="1" applyFill="1" applyBorder="1" applyAlignment="1" applyProtection="1">
      <alignment horizontal="right" wrapText="1"/>
    </xf>
    <xf numFmtId="167" fontId="3" fillId="0" borderId="2" xfId="1" applyNumberFormat="1" applyFont="1" applyFill="1" applyBorder="1" applyAlignment="1" applyProtection="1">
      <alignment horizontal="right"/>
    </xf>
    <xf numFmtId="167" fontId="3" fillId="0" borderId="2" xfId="1" applyNumberFormat="1" applyFont="1" applyBorder="1" applyAlignment="1" applyProtection="1"/>
    <xf numFmtId="167" fontId="3" fillId="0" borderId="1" xfId="1" applyNumberFormat="1" applyFont="1" applyFill="1" applyBorder="1" applyAlignment="1" applyProtection="1">
      <alignment horizontal="right" wrapText="1"/>
    </xf>
    <xf numFmtId="167" fontId="3" fillId="0" borderId="4" xfId="1" applyNumberFormat="1" applyFont="1" applyBorder="1" applyAlignment="1" applyProtection="1"/>
    <xf numFmtId="167" fontId="3" fillId="0" borderId="4" xfId="1" applyNumberFormat="1" applyFont="1" applyBorder="1" applyAlignment="1" applyProtection="1">
      <alignment horizontal="right"/>
    </xf>
    <xf numFmtId="3" fontId="3" fillId="0" borderId="0" xfId="1" applyNumberFormat="1" applyFont="1" applyAlignment="1" applyProtection="1"/>
    <xf numFmtId="167" fontId="3" fillId="0" borderId="2" xfId="1" applyNumberFormat="1" applyFont="1" applyBorder="1" applyAlignment="1" applyProtection="1">
      <alignment horizontal="right" wrapText="1"/>
    </xf>
    <xf numFmtId="167" fontId="3" fillId="0" borderId="4" xfId="1" applyNumberFormat="1" applyFont="1" applyBorder="1" applyAlignment="1" applyProtection="1">
      <alignment horizontal="right" wrapText="1"/>
    </xf>
    <xf numFmtId="167" fontId="78" fillId="0" borderId="0" xfId="1" applyNumberFormat="1" applyFont="1" applyAlignment="1" applyProtection="1">
      <alignment horizontal="right"/>
    </xf>
    <xf numFmtId="37" fontId="78" fillId="0" borderId="0" xfId="1" applyNumberFormat="1" applyFont="1" applyAlignment="1" applyProtection="1">
      <alignment horizontal="right"/>
    </xf>
    <xf numFmtId="167" fontId="86" fillId="7" borderId="0" xfId="1" applyNumberFormat="1" applyFont="1" applyFill="1" applyAlignment="1" applyProtection="1">
      <alignment horizontal="right"/>
    </xf>
    <xf numFmtId="37" fontId="86" fillId="7" borderId="0" xfId="1" applyNumberFormat="1" applyFont="1" applyFill="1" applyAlignment="1" applyProtection="1">
      <alignment horizontal="right"/>
    </xf>
    <xf numFmtId="3" fontId="3" fillId="0" borderId="0" xfId="1" applyNumberFormat="1" applyFont="1" applyAlignment="1" applyProtection="1">
      <alignment horizontal="right"/>
    </xf>
    <xf numFmtId="167" fontId="78" fillId="0" borderId="0" xfId="1" applyNumberFormat="1" applyFont="1" applyAlignment="1" applyProtection="1"/>
    <xf numFmtId="167" fontId="3" fillId="0" borderId="0" xfId="1" applyNumberFormat="1" applyFont="1" applyBorder="1" applyAlignment="1" applyProtection="1"/>
    <xf numFmtId="167" fontId="3" fillId="0" borderId="4" xfId="1" applyNumberFormat="1" applyFont="1" applyFill="1" applyBorder="1" applyAlignment="1" applyProtection="1">
      <alignment horizontal="right"/>
    </xf>
    <xf numFmtId="167" fontId="3" fillId="0" borderId="4" xfId="1" applyNumberFormat="1" applyFont="1" applyFill="1" applyBorder="1" applyAlignment="1" applyProtection="1"/>
    <xf numFmtId="167" fontId="4" fillId="0" borderId="0" xfId="0" applyNumberFormat="1" applyFont="1" applyAlignment="1" applyProtection="1">
      <alignment horizontal="center" vertical="top"/>
      <protection locked="0"/>
    </xf>
    <xf numFmtId="167" fontId="3" fillId="0" borderId="0" xfId="0" applyNumberFormat="1" applyFont="1" applyAlignment="1" applyProtection="1">
      <alignment horizontal="center"/>
      <protection locked="0"/>
    </xf>
    <xf numFmtId="167" fontId="4" fillId="0" borderId="6" xfId="0" applyNumberFormat="1" applyFont="1" applyBorder="1" applyAlignment="1" applyProtection="1">
      <alignment horizontal="right"/>
      <protection locked="0"/>
    </xf>
    <xf numFmtId="167" fontId="4" fillId="0" borderId="2" xfId="0" applyNumberFormat="1" applyFont="1" applyBorder="1" applyAlignment="1" applyProtection="1">
      <alignment horizontal="right"/>
      <protection locked="0"/>
    </xf>
    <xf numFmtId="164" fontId="4" fillId="0" borderId="0" xfId="0" applyNumberFormat="1" applyFont="1" applyAlignment="1" applyProtection="1">
      <alignment horizontal="right" wrapText="1"/>
      <protection locked="0"/>
    </xf>
    <xf numFmtId="164" fontId="4" fillId="0" borderId="0" xfId="1" applyFont="1" applyFill="1" applyBorder="1" applyAlignment="1" applyProtection="1">
      <alignment horizontal="right" wrapText="1"/>
      <protection locked="0"/>
    </xf>
    <xf numFmtId="167" fontId="82" fillId="0" borderId="0" xfId="1" applyNumberFormat="1" applyFont="1" applyAlignment="1" applyProtection="1">
      <alignment horizontal="right"/>
    </xf>
    <xf numFmtId="167" fontId="82" fillId="0" borderId="0" xfId="1" applyNumberFormat="1" applyFont="1" applyFill="1" applyAlignment="1" applyProtection="1">
      <alignment horizontal="right"/>
    </xf>
    <xf numFmtId="167" fontId="82" fillId="0" borderId="0" xfId="1" applyNumberFormat="1" applyFont="1" applyAlignment="1" applyProtection="1">
      <alignment horizontal="right" wrapText="1"/>
    </xf>
    <xf numFmtId="167" fontId="78" fillId="0" borderId="0" xfId="1" applyNumberFormat="1" applyFont="1" applyFill="1" applyBorder="1" applyAlignment="1" applyProtection="1">
      <alignment horizontal="right"/>
    </xf>
    <xf numFmtId="167" fontId="78" fillId="0" borderId="0" xfId="1" applyNumberFormat="1" applyFont="1" applyAlignment="1" applyProtection="1">
      <alignment horizontal="right" wrapText="1"/>
    </xf>
    <xf numFmtId="0" fontId="6" fillId="0" borderId="2" xfId="0" applyFont="1" applyBorder="1" applyAlignment="1">
      <alignment horizontal="left" wrapText="1" indent="1"/>
    </xf>
    <xf numFmtId="167" fontId="3" fillId="0" borderId="3" xfId="1" applyNumberFormat="1" applyFont="1" applyBorder="1" applyAlignment="1"/>
    <xf numFmtId="0" fontId="6" fillId="0" borderId="3" xfId="0" applyFont="1" applyBorder="1" applyAlignment="1">
      <alignment horizontal="left" wrapText="1" indent="1"/>
    </xf>
    <xf numFmtId="37" fontId="4" fillId="0" borderId="5" xfId="1" applyNumberFormat="1" applyFont="1" applyBorder="1" applyAlignment="1">
      <alignment horizontal="right" vertical="top" wrapText="1"/>
    </xf>
    <xf numFmtId="1" fontId="4" fillId="0" borderId="6" xfId="0" applyNumberFormat="1" applyFont="1" applyBorder="1" applyAlignment="1">
      <alignment horizontal="right" vertical="top" wrapText="1"/>
    </xf>
    <xf numFmtId="167" fontId="25" fillId="0" borderId="0" xfId="0" applyNumberFormat="1" applyFont="1" applyProtection="1">
      <protection locked="0"/>
    </xf>
    <xf numFmtId="9" fontId="3" fillId="0" borderId="0" xfId="6" applyFont="1" applyFill="1" applyBorder="1" applyAlignment="1" applyProtection="1">
      <alignment horizontal="left" wrapText="1"/>
    </xf>
    <xf numFmtId="37" fontId="3" fillId="2" borderId="1" xfId="0" applyNumberFormat="1" applyFont="1" applyFill="1" applyBorder="1" applyAlignment="1">
      <alignment horizontal="right" wrapText="1"/>
    </xf>
    <xf numFmtId="37" fontId="8" fillId="2" borderId="0" xfId="0" applyNumberFormat="1" applyFont="1" applyFill="1" applyAlignment="1">
      <alignment horizontal="right" wrapText="1"/>
    </xf>
    <xf numFmtId="37" fontId="8" fillId="2" borderId="0" xfId="0" applyNumberFormat="1" applyFont="1" applyFill="1" applyAlignment="1">
      <alignment horizontal="center"/>
    </xf>
    <xf numFmtId="37" fontId="3" fillId="0" borderId="0" xfId="0" applyNumberFormat="1" applyFont="1" applyAlignment="1">
      <alignment horizontal="left"/>
    </xf>
    <xf numFmtId="37" fontId="3" fillId="0" borderId="0" xfId="0" applyNumberFormat="1" applyFont="1"/>
    <xf numFmtId="37" fontId="37" fillId="0" borderId="0" xfId="4" applyNumberFormat="1" applyFont="1" applyFill="1" applyBorder="1" applyAlignment="1" applyProtection="1">
      <alignment wrapText="1"/>
    </xf>
    <xf numFmtId="37" fontId="3" fillId="6" borderId="0" xfId="0" applyNumberFormat="1" applyFont="1" applyFill="1" applyAlignment="1">
      <alignment horizontal="right" wrapText="1"/>
    </xf>
    <xf numFmtId="37" fontId="35" fillId="0" borderId="0" xfId="0" applyNumberFormat="1" applyFont="1" applyAlignment="1">
      <alignment horizontal="left"/>
    </xf>
    <xf numFmtId="37" fontId="10" fillId="0" borderId="0" xfId="0" applyNumberFormat="1" applyFont="1"/>
    <xf numFmtId="37" fontId="82" fillId="0" borderId="0" xfId="0" applyNumberFormat="1" applyFont="1" applyAlignment="1">
      <alignment horizontal="right" wrapText="1"/>
    </xf>
    <xf numFmtId="37" fontId="78" fillId="0" borderId="0" xfId="0" applyNumberFormat="1" applyFont="1" applyAlignment="1">
      <alignment horizontal="right" wrapText="1"/>
    </xf>
    <xf numFmtId="37" fontId="4" fillId="0" borderId="0" xfId="0" applyNumberFormat="1" applyFont="1" applyAlignment="1">
      <alignment horizontal="left"/>
    </xf>
    <xf numFmtId="37" fontId="4" fillId="0" borderId="0" xfId="0" applyNumberFormat="1" applyFont="1" applyAlignment="1">
      <alignment horizontal="right" wrapText="1"/>
    </xf>
    <xf numFmtId="167" fontId="3" fillId="0" borderId="0" xfId="0" applyNumberFormat="1" applyFont="1" applyAlignment="1">
      <alignment horizontal="right" wrapText="1"/>
    </xf>
    <xf numFmtId="167" fontId="4" fillId="6" borderId="0" xfId="0" applyNumberFormat="1" applyFont="1" applyFill="1" applyAlignment="1">
      <alignment horizontal="right" wrapText="1"/>
    </xf>
    <xf numFmtId="37" fontId="3" fillId="0" borderId="0" xfId="0" applyNumberFormat="1" applyFont="1" applyAlignment="1">
      <alignment horizontal="left" wrapText="1"/>
    </xf>
    <xf numFmtId="167" fontId="3" fillId="0" borderId="7" xfId="0" applyNumberFormat="1" applyFont="1" applyBorder="1" applyAlignment="1">
      <alignment horizontal="right" wrapText="1"/>
    </xf>
    <xf numFmtId="167" fontId="3" fillId="0" borderId="15" xfId="0" applyNumberFormat="1" applyFont="1" applyBorder="1" applyAlignment="1">
      <alignment horizontal="right" wrapText="1"/>
    </xf>
    <xf numFmtId="167" fontId="3" fillId="0" borderId="16" xfId="0" applyNumberFormat="1" applyFont="1" applyBorder="1" applyAlignment="1">
      <alignment horizontal="right" wrapText="1"/>
    </xf>
    <xf numFmtId="167" fontId="82" fillId="0" borderId="0" xfId="0" applyNumberFormat="1" applyFont="1" applyAlignment="1">
      <alignment horizontal="right" wrapText="1"/>
    </xf>
    <xf numFmtId="37" fontId="3" fillId="0" borderId="0" xfId="0" applyNumberFormat="1" applyFont="1" applyAlignment="1">
      <alignment wrapText="1"/>
    </xf>
    <xf numFmtId="167" fontId="3" fillId="0" borderId="10" xfId="0" applyNumberFormat="1" applyFont="1" applyBorder="1" applyAlignment="1">
      <alignment horizontal="right" wrapText="1"/>
    </xf>
    <xf numFmtId="167" fontId="3" fillId="0" borderId="17" xfId="0" applyNumberFormat="1" applyFont="1" applyBorder="1" applyAlignment="1">
      <alignment horizontal="right" wrapText="1"/>
    </xf>
    <xf numFmtId="37" fontId="4" fillId="0" borderId="0" xfId="0" applyNumberFormat="1" applyFont="1" applyAlignment="1">
      <alignment horizontal="left" wrapText="1"/>
    </xf>
    <xf numFmtId="37" fontId="4" fillId="0" borderId="0" xfId="0" applyNumberFormat="1" applyFont="1" applyAlignment="1">
      <alignment wrapText="1"/>
    </xf>
    <xf numFmtId="167" fontId="3" fillId="6" borderId="0" xfId="1" applyNumberFormat="1" applyFont="1" applyFill="1" applyBorder="1" applyAlignment="1" applyProtection="1">
      <alignment horizontal="right" wrapText="1"/>
    </xf>
    <xf numFmtId="167" fontId="82" fillId="0" borderId="13" xfId="1" applyNumberFormat="1" applyFont="1" applyFill="1" applyBorder="1" applyAlignment="1" applyProtection="1">
      <alignment horizontal="right" wrapText="1"/>
    </xf>
    <xf numFmtId="37" fontId="78" fillId="0" borderId="0" xfId="0" applyNumberFormat="1" applyFont="1" applyAlignment="1">
      <alignment horizontal="right"/>
    </xf>
    <xf numFmtId="9" fontId="3" fillId="0" borderId="0" xfId="6" applyFont="1" applyAlignment="1" applyProtection="1">
      <alignment horizontal="left" wrapText="1"/>
    </xf>
    <xf numFmtId="37" fontId="17" fillId="0" borderId="0" xfId="0" applyNumberFormat="1" applyFont="1" applyAlignment="1">
      <alignment horizontal="left" wrapText="1"/>
    </xf>
    <xf numFmtId="37" fontId="17" fillId="0" borderId="0" xfId="0" applyNumberFormat="1" applyFont="1" applyAlignment="1">
      <alignment horizontal="right" wrapText="1"/>
    </xf>
    <xf numFmtId="9" fontId="17" fillId="0" borderId="10" xfId="6" applyFont="1" applyFill="1" applyBorder="1" applyAlignment="1" applyProtection="1">
      <alignment horizontal="left" wrapText="1"/>
    </xf>
    <xf numFmtId="37" fontId="78" fillId="0" borderId="0" xfId="0" applyNumberFormat="1" applyFont="1" applyAlignment="1">
      <alignment horizontal="left"/>
    </xf>
    <xf numFmtId="0" fontId="10" fillId="0" borderId="0" xfId="0" applyFont="1"/>
    <xf numFmtId="39" fontId="37" fillId="0" borderId="0" xfId="4" applyNumberFormat="1" applyFont="1" applyFill="1" applyBorder="1" applyAlignment="1" applyProtection="1">
      <alignment wrapText="1"/>
    </xf>
    <xf numFmtId="39" fontId="3" fillId="0" borderId="0" xfId="0" applyNumberFormat="1" applyFont="1" applyAlignment="1">
      <alignment horizontal="right" wrapText="1"/>
    </xf>
    <xf numFmtId="165" fontId="3" fillId="0" borderId="0" xfId="0" applyNumberFormat="1" applyFont="1" applyAlignment="1">
      <alignment wrapText="1"/>
    </xf>
    <xf numFmtId="166" fontId="82" fillId="0" borderId="0" xfId="1" applyNumberFormat="1" applyFont="1" applyFill="1" applyAlignment="1" applyProtection="1">
      <alignment horizontal="right" wrapText="1"/>
    </xf>
    <xf numFmtId="0" fontId="3" fillId="0" borderId="0" xfId="0" applyFont="1" applyAlignment="1">
      <alignment horizontal="left"/>
    </xf>
    <xf numFmtId="166" fontId="78" fillId="0" borderId="0" xfId="1" applyNumberFormat="1" applyFont="1" applyFill="1" applyAlignment="1" applyProtection="1">
      <alignment horizontal="right" wrapText="1"/>
    </xf>
    <xf numFmtId="39" fontId="3" fillId="0" borderId="0" xfId="0" applyNumberFormat="1" applyFont="1" applyAlignment="1">
      <alignment horizontal="left"/>
    </xf>
    <xf numFmtId="164" fontId="80" fillId="0" borderId="0" xfId="1" applyFont="1" applyFill="1" applyAlignment="1" applyProtection="1">
      <alignment horizontal="right" wrapText="1"/>
    </xf>
    <xf numFmtId="164" fontId="78" fillId="0" borderId="0" xfId="1" applyFont="1" applyFill="1" applyAlignment="1" applyProtection="1">
      <alignment horizontal="right" wrapText="1"/>
    </xf>
    <xf numFmtId="37" fontId="1" fillId="0" borderId="0" xfId="0" applyNumberFormat="1" applyFont="1" applyAlignment="1">
      <alignment horizontal="left"/>
    </xf>
    <xf numFmtId="37" fontId="1" fillId="0" borderId="0" xfId="0" applyNumberFormat="1" applyFont="1"/>
    <xf numFmtId="37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/>
    </xf>
    <xf numFmtId="37" fontId="81" fillId="0" borderId="0" xfId="0" applyNumberFormat="1" applyFont="1"/>
    <xf numFmtId="37" fontId="9" fillId="2" borderId="1" xfId="0" applyNumberFormat="1" applyFont="1" applyFill="1" applyBorder="1" applyAlignment="1">
      <alignment horizontal="right" wrapText="1"/>
    </xf>
    <xf numFmtId="37" fontId="8" fillId="2" borderId="2" xfId="0" applyNumberFormat="1" applyFont="1" applyFill="1" applyBorder="1" applyAlignment="1">
      <alignment horizontal="right" wrapText="1"/>
    </xf>
    <xf numFmtId="37" fontId="4" fillId="6" borderId="0" xfId="0" applyNumberFormat="1" applyFont="1" applyFill="1" applyAlignment="1">
      <alignment horizontal="right" wrapText="1"/>
    </xf>
    <xf numFmtId="37" fontId="3" fillId="0" borderId="0" xfId="0" quotePrefix="1" applyNumberFormat="1" applyFont="1" applyAlignment="1">
      <alignment horizontal="left"/>
    </xf>
    <xf numFmtId="164" fontId="3" fillId="8" borderId="0" xfId="1" applyFont="1" applyFill="1" applyAlignment="1" applyProtection="1">
      <alignment horizontal="left"/>
    </xf>
    <xf numFmtId="164" fontId="3" fillId="8" borderId="0" xfId="1" applyFont="1" applyFill="1" applyBorder="1" applyAlignment="1" applyProtection="1">
      <alignment horizontal="left"/>
    </xf>
    <xf numFmtId="37" fontId="10" fillId="0" borderId="0" xfId="0" applyNumberFormat="1" applyFont="1" applyAlignment="1">
      <alignment horizontal="left"/>
    </xf>
    <xf numFmtId="0" fontId="13" fillId="0" borderId="0" xfId="0" applyFont="1"/>
    <xf numFmtId="167" fontId="78" fillId="0" borderId="0" xfId="0" applyNumberFormat="1" applyFont="1" applyAlignment="1">
      <alignment horizontal="right" wrapText="1"/>
    </xf>
    <xf numFmtId="0" fontId="78" fillId="0" borderId="0" xfId="0" applyFont="1" applyAlignment="1">
      <alignment horizontal="left"/>
    </xf>
    <xf numFmtId="37" fontId="4" fillId="0" borderId="0" xfId="0" applyNumberFormat="1" applyFont="1"/>
    <xf numFmtId="37" fontId="78" fillId="0" borderId="0" xfId="0" applyNumberFormat="1" applyFont="1"/>
    <xf numFmtId="39" fontId="3" fillId="0" borderId="0" xfId="0" applyNumberFormat="1" applyFont="1"/>
    <xf numFmtId="37" fontId="82" fillId="2" borderId="1" xfId="0" applyNumberFormat="1" applyFont="1" applyFill="1" applyBorder="1" applyAlignment="1">
      <alignment horizontal="right"/>
    </xf>
    <xf numFmtId="164" fontId="9" fillId="2" borderId="1" xfId="1" applyFont="1" applyFill="1" applyBorder="1" applyAlignment="1" applyProtection="1">
      <alignment horizontal="left"/>
    </xf>
    <xf numFmtId="37" fontId="57" fillId="2" borderId="1" xfId="0" applyNumberFormat="1" applyFont="1" applyFill="1" applyBorder="1" applyAlignment="1">
      <alignment horizontal="left"/>
    </xf>
    <xf numFmtId="164" fontId="8" fillId="2" borderId="2" xfId="1" applyFont="1" applyFill="1" applyBorder="1" applyAlignment="1" applyProtection="1">
      <alignment horizontal="center"/>
    </xf>
    <xf numFmtId="37" fontId="59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7" fontId="77" fillId="6" borderId="0" xfId="0" applyNumberFormat="1" applyFont="1" applyFill="1" applyAlignment="1">
      <alignment horizontal="right"/>
    </xf>
    <xf numFmtId="37" fontId="77" fillId="0" borderId="0" xfId="0" applyNumberFormat="1" applyFont="1" applyAlignment="1">
      <alignment horizontal="right"/>
    </xf>
    <xf numFmtId="164" fontId="4" fillId="0" borderId="0" xfId="1" applyFont="1" applyAlignment="1" applyProtection="1">
      <alignment horizontal="left"/>
    </xf>
    <xf numFmtId="37" fontId="60" fillId="0" borderId="0" xfId="0" applyNumberFormat="1" applyFont="1" applyAlignment="1">
      <alignment horizontal="left"/>
    </xf>
    <xf numFmtId="37" fontId="4" fillId="0" borderId="0" xfId="0" applyNumberFormat="1" applyFont="1" applyAlignment="1">
      <alignment horizontal="right"/>
    </xf>
    <xf numFmtId="9" fontId="4" fillId="0" borderId="0" xfId="6" applyFont="1" applyAlignment="1" applyProtection="1">
      <alignment horizontal="left"/>
    </xf>
    <xf numFmtId="37" fontId="3" fillId="0" borderId="0" xfId="0" applyNumberFormat="1" applyFont="1" applyAlignment="1">
      <alignment horizontal="right"/>
    </xf>
    <xf numFmtId="39" fontId="10" fillId="0" borderId="0" xfId="0" applyNumberFormat="1" applyFont="1"/>
    <xf numFmtId="39" fontId="4" fillId="0" borderId="0" xfId="0" applyNumberFormat="1" applyFont="1"/>
    <xf numFmtId="39" fontId="4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 wrapText="1"/>
    </xf>
    <xf numFmtId="39" fontId="3" fillId="0" borderId="0" xfId="0" applyNumberFormat="1" applyFont="1" applyAlignment="1">
      <alignment horizontal="right"/>
    </xf>
    <xf numFmtId="37" fontId="88" fillId="0" borderId="0" xfId="0" applyNumberFormat="1" applyFont="1"/>
    <xf numFmtId="37" fontId="60" fillId="0" borderId="0" xfId="0" applyNumberFormat="1" applyFont="1"/>
    <xf numFmtId="37" fontId="3" fillId="0" borderId="7" xfId="0" applyNumberFormat="1" applyFont="1" applyBorder="1" applyAlignment="1">
      <alignment horizontal="right"/>
    </xf>
    <xf numFmtId="37" fontId="82" fillId="0" borderId="0" xfId="0" applyNumberFormat="1" applyFont="1"/>
    <xf numFmtId="37" fontId="58" fillId="0" borderId="0" xfId="0" applyNumberFormat="1" applyFont="1"/>
    <xf numFmtId="37" fontId="3" fillId="0" borderId="10" xfId="0" applyNumberFormat="1" applyFont="1" applyBorder="1" applyAlignment="1">
      <alignment horizontal="right"/>
    </xf>
    <xf numFmtId="37" fontId="82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39" fontId="88" fillId="0" borderId="0" xfId="0" applyNumberFormat="1" applyFont="1"/>
    <xf numFmtId="39" fontId="60" fillId="0" borderId="0" xfId="0" applyNumberFormat="1" applyFont="1"/>
    <xf numFmtId="0" fontId="4" fillId="0" borderId="0" xfId="6" applyNumberFormat="1" applyFont="1" applyAlignment="1" applyProtection="1">
      <alignment horizontal="left"/>
    </xf>
    <xf numFmtId="39" fontId="3" fillId="0" borderId="7" xfId="0" applyNumberFormat="1" applyFont="1" applyBorder="1" applyAlignment="1">
      <alignment horizontal="right"/>
    </xf>
    <xf numFmtId="39" fontId="82" fillId="0" borderId="0" xfId="0" applyNumberFormat="1" applyFont="1"/>
    <xf numFmtId="39" fontId="58" fillId="0" borderId="0" xfId="0" applyNumberFormat="1" applyFont="1"/>
    <xf numFmtId="39" fontId="3" fillId="0" borderId="10" xfId="0" applyNumberFormat="1" applyFont="1" applyBorder="1" applyAlignment="1">
      <alignment horizontal="right"/>
    </xf>
    <xf numFmtId="164" fontId="3" fillId="0" borderId="0" xfId="1" applyFont="1" applyProtection="1"/>
    <xf numFmtId="164" fontId="78" fillId="0" borderId="0" xfId="1" applyFont="1" applyProtection="1"/>
    <xf numFmtId="0" fontId="58" fillId="0" borderId="0" xfId="0" applyFont="1"/>
    <xf numFmtId="164" fontId="58" fillId="0" borderId="0" xfId="1" applyFont="1" applyProtection="1"/>
    <xf numFmtId="37" fontId="68" fillId="2" borderId="1" xfId="0" applyNumberFormat="1" applyFont="1" applyFill="1" applyBorder="1" applyAlignment="1">
      <alignment horizontal="left"/>
    </xf>
    <xf numFmtId="37" fontId="8" fillId="2" borderId="2" xfId="0" applyNumberFormat="1" applyFont="1" applyFill="1" applyBorder="1" applyAlignment="1">
      <alignment horizontal="right"/>
    </xf>
    <xf numFmtId="37" fontId="69" fillId="2" borderId="2" xfId="0" applyNumberFormat="1" applyFont="1" applyFill="1" applyBorder="1" applyAlignment="1">
      <alignment horizontal="center"/>
    </xf>
    <xf numFmtId="37" fontId="70" fillId="0" borderId="0" xfId="0" applyNumberFormat="1" applyFont="1" applyAlignment="1">
      <alignment horizontal="left"/>
    </xf>
    <xf numFmtId="37" fontId="88" fillId="0" borderId="0" xfId="0" applyNumberFormat="1" applyFont="1" applyAlignment="1">
      <alignment horizontal="left"/>
    </xf>
    <xf numFmtId="167" fontId="4" fillId="0" borderId="0" xfId="0" applyNumberFormat="1" applyFont="1" applyAlignment="1">
      <alignment horizontal="right" wrapText="1"/>
    </xf>
    <xf numFmtId="9" fontId="4" fillId="0" borderId="0" xfId="6" applyFont="1" applyFill="1" applyBorder="1" applyAlignment="1" applyProtection="1">
      <alignment horizontal="left"/>
    </xf>
    <xf numFmtId="164" fontId="4" fillId="0" borderId="0" xfId="1" applyFont="1" applyFill="1" applyBorder="1" applyAlignment="1" applyProtection="1">
      <alignment horizontal="left"/>
    </xf>
    <xf numFmtId="37" fontId="71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right" wrapText="1"/>
    </xf>
    <xf numFmtId="37" fontId="82" fillId="0" borderId="0" xfId="0" applyNumberFormat="1" applyFont="1" applyAlignment="1">
      <alignment horizontal="left"/>
    </xf>
    <xf numFmtId="0" fontId="71" fillId="0" borderId="0" xfId="0" applyFont="1" applyAlignment="1">
      <alignment horizontal="left"/>
    </xf>
    <xf numFmtId="37" fontId="71" fillId="0" borderId="0" xfId="0" applyNumberFormat="1" applyFont="1" applyAlignment="1">
      <alignment horizontal="right" wrapText="1"/>
    </xf>
    <xf numFmtId="37" fontId="4" fillId="6" borderId="0" xfId="0" applyNumberFormat="1" applyFont="1" applyFill="1"/>
    <xf numFmtId="37" fontId="89" fillId="0" borderId="0" xfId="0" applyNumberFormat="1" applyFont="1" applyAlignment="1">
      <alignment horizontal="right" wrapText="1"/>
    </xf>
    <xf numFmtId="37" fontId="80" fillId="0" borderId="0" xfId="0" applyNumberFormat="1" applyFont="1" applyAlignment="1">
      <alignment horizontal="right" wrapText="1"/>
    </xf>
    <xf numFmtId="37" fontId="5" fillId="0" borderId="0" xfId="0" applyNumberFormat="1" applyFont="1" applyAlignment="1">
      <alignment horizontal="left"/>
    </xf>
    <xf numFmtId="37" fontId="90" fillId="0" borderId="0" xfId="0" applyNumberFormat="1" applyFont="1" applyAlignment="1">
      <alignment horizontal="left"/>
    </xf>
    <xf numFmtId="37" fontId="91" fillId="0" borderId="0" xfId="0" applyNumberFormat="1" applyFont="1"/>
    <xf numFmtId="37" fontId="17" fillId="0" borderId="0" xfId="0" applyNumberFormat="1" applyFont="1" applyAlignment="1">
      <alignment horizontal="left"/>
    </xf>
    <xf numFmtId="167" fontId="92" fillId="0" borderId="0" xfId="1" applyNumberFormat="1" applyFont="1" applyFill="1" applyBorder="1" applyAlignment="1" applyProtection="1">
      <alignment horizontal="right" wrapText="1"/>
    </xf>
    <xf numFmtId="167" fontId="17" fillId="0" borderId="0" xfId="1" applyNumberFormat="1" applyFont="1" applyFill="1" applyBorder="1" applyAlignment="1" applyProtection="1">
      <alignment horizontal="left"/>
    </xf>
    <xf numFmtId="0" fontId="5" fillId="0" borderId="0" xfId="0" applyFont="1" applyAlignment="1">
      <alignment horizontal="left"/>
    </xf>
    <xf numFmtId="37" fontId="39" fillId="2" borderId="1" xfId="0" applyNumberFormat="1" applyFont="1" applyFill="1" applyBorder="1" applyAlignment="1">
      <alignment horizontal="left"/>
    </xf>
    <xf numFmtId="37" fontId="40" fillId="2" borderId="2" xfId="0" applyNumberFormat="1" applyFont="1" applyFill="1" applyBorder="1" applyAlignment="1">
      <alignment horizontal="center"/>
    </xf>
    <xf numFmtId="37" fontId="41" fillId="0" borderId="0" xfId="0" applyNumberFormat="1" applyFont="1"/>
    <xf numFmtId="37" fontId="88" fillId="0" borderId="0" xfId="0" applyNumberFormat="1" applyFont="1" applyAlignment="1">
      <alignment horizontal="right" wrapText="1"/>
    </xf>
    <xf numFmtId="167" fontId="4" fillId="0" borderId="0" xfId="1" applyNumberFormat="1" applyFont="1" applyAlignment="1" applyProtection="1">
      <alignment horizontal="left"/>
    </xf>
    <xf numFmtId="37" fontId="41" fillId="0" borderId="0" xfId="0" applyNumberFormat="1" applyFont="1" applyAlignment="1">
      <alignment horizontal="left"/>
    </xf>
    <xf numFmtId="37" fontId="13" fillId="0" borderId="0" xfId="0" applyNumberFormat="1" applyFont="1" applyAlignment="1">
      <alignment horizontal="left"/>
    </xf>
    <xf numFmtId="167" fontId="13" fillId="0" borderId="0" xfId="1" applyNumberFormat="1" applyFont="1" applyAlignment="1" applyProtection="1">
      <alignment horizontal="left"/>
    </xf>
    <xf numFmtId="37" fontId="42" fillId="0" borderId="0" xfId="0" applyNumberFormat="1" applyFont="1" applyAlignment="1">
      <alignment horizontal="left"/>
    </xf>
    <xf numFmtId="37" fontId="3" fillId="0" borderId="0" xfId="0" applyNumberFormat="1" applyFont="1" applyAlignment="1">
      <alignment horizontal="left" vertical="top" wrapText="1" indent="1"/>
    </xf>
    <xf numFmtId="37" fontId="43" fillId="0" borderId="0" xfId="0" applyNumberFormat="1" applyFont="1" applyAlignment="1">
      <alignment horizontal="left"/>
    </xf>
    <xf numFmtId="37" fontId="6" fillId="0" borderId="0" xfId="0" applyNumberFormat="1" applyFont="1" applyAlignment="1">
      <alignment horizontal="left"/>
    </xf>
    <xf numFmtId="0" fontId="82" fillId="0" borderId="0" xfId="0" applyFont="1" applyAlignment="1">
      <alignment horizontal="right" wrapText="1"/>
    </xf>
    <xf numFmtId="37" fontId="3" fillId="0" borderId="0" xfId="0" applyNumberFormat="1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78" fillId="0" borderId="0" xfId="0" applyFont="1" applyAlignment="1">
      <alignment horizontal="right" wrapText="1"/>
    </xf>
    <xf numFmtId="167" fontId="78" fillId="0" borderId="0" xfId="1" applyNumberFormat="1" applyFont="1" applyAlignment="1" applyProtection="1">
      <alignment horizontal="left"/>
    </xf>
    <xf numFmtId="37" fontId="1" fillId="0" borderId="0" xfId="0" applyNumberFormat="1" applyFont="1" applyAlignment="1">
      <alignment horizontal="left" vertical="top"/>
    </xf>
    <xf numFmtId="0" fontId="43" fillId="0" borderId="0" xfId="0" applyFont="1" applyAlignment="1">
      <alignment horizontal="left"/>
    </xf>
    <xf numFmtId="37" fontId="43" fillId="0" borderId="0" xfId="0" applyNumberFormat="1" applyFont="1" applyAlignment="1">
      <alignment horizontal="right" wrapText="1"/>
    </xf>
    <xf numFmtId="37" fontId="9" fillId="2" borderId="1" xfId="0" applyNumberFormat="1" applyFont="1" applyFill="1" applyBorder="1" applyAlignment="1">
      <alignment horizontal="left" wrapText="1"/>
    </xf>
    <xf numFmtId="170" fontId="83" fillId="2" borderId="0" xfId="0" applyNumberFormat="1" applyFont="1" applyFill="1" applyAlignment="1">
      <alignment horizontal="right" wrapText="1"/>
    </xf>
    <xf numFmtId="170" fontId="83" fillId="2" borderId="0" xfId="5" applyNumberFormat="1" applyFont="1" applyFill="1" applyAlignment="1">
      <alignment horizontal="right" wrapText="1"/>
    </xf>
    <xf numFmtId="37" fontId="77" fillId="6" borderId="0" xfId="0" applyNumberFormat="1" applyFont="1" applyFill="1" applyAlignment="1">
      <alignment horizontal="right" wrapText="1"/>
    </xf>
    <xf numFmtId="37" fontId="77" fillId="0" borderId="0" xfId="5" applyNumberFormat="1" applyFont="1" applyAlignment="1">
      <alignment horizontal="right" wrapText="1"/>
    </xf>
    <xf numFmtId="37" fontId="4" fillId="0" borderId="0" xfId="5" applyNumberFormat="1" applyFont="1" applyAlignment="1">
      <alignment horizontal="right" wrapText="1"/>
    </xf>
    <xf numFmtId="37" fontId="13" fillId="0" borderId="0" xfId="0" applyNumberFormat="1" applyFont="1"/>
    <xf numFmtId="37" fontId="3" fillId="0" borderId="0" xfId="5" applyNumberFormat="1" applyFont="1" applyAlignment="1">
      <alignment horizontal="right" wrapText="1"/>
    </xf>
    <xf numFmtId="165" fontId="13" fillId="0" borderId="0" xfId="0" applyNumberFormat="1" applyFont="1" applyAlignment="1">
      <alignment horizontal="left"/>
    </xf>
    <xf numFmtId="37" fontId="1" fillId="0" borderId="0" xfId="0" applyNumberFormat="1" applyFont="1" applyAlignment="1">
      <alignment vertical="top"/>
    </xf>
    <xf numFmtId="37" fontId="81" fillId="0" borderId="0" xfId="0" applyNumberFormat="1" applyFont="1" applyAlignment="1">
      <alignment vertical="top"/>
    </xf>
    <xf numFmtId="37" fontId="81" fillId="0" borderId="0" xfId="0" applyNumberFormat="1" applyFont="1" applyAlignment="1">
      <alignment wrapText="1"/>
    </xf>
    <xf numFmtId="0" fontId="22" fillId="0" borderId="0" xfId="0" applyFont="1" applyAlignment="1">
      <alignment horizontal="left" wrapText="1"/>
    </xf>
    <xf numFmtId="37" fontId="5" fillId="0" borderId="0" xfId="0" applyNumberFormat="1" applyFont="1" applyAlignment="1">
      <alignment horizontal="left" wrapText="1"/>
    </xf>
    <xf numFmtId="37" fontId="5" fillId="0" borderId="0" xfId="0" applyNumberFormat="1" applyFont="1" applyAlignment="1">
      <alignment horizontal="right" wrapText="1"/>
    </xf>
    <xf numFmtId="37" fontId="93" fillId="0" borderId="0" xfId="0" applyNumberFormat="1" applyFont="1" applyAlignment="1">
      <alignment horizontal="right" wrapText="1"/>
    </xf>
    <xf numFmtId="37" fontId="12" fillId="2" borderId="0" xfId="4" applyNumberFormat="1" applyFont="1" applyFill="1" applyBorder="1" applyAlignment="1" applyProtection="1"/>
    <xf numFmtId="37" fontId="12" fillId="2" borderId="2" xfId="4" applyNumberFormat="1" applyFont="1" applyFill="1" applyBorder="1" applyAlignment="1" applyProtection="1"/>
    <xf numFmtId="170" fontId="83" fillId="2" borderId="2" xfId="0" applyNumberFormat="1" applyFont="1" applyFill="1" applyBorder="1" applyAlignment="1">
      <alignment horizontal="right" wrapText="1"/>
    </xf>
    <xf numFmtId="37" fontId="94" fillId="8" borderId="0" xfId="0" applyNumberFormat="1" applyFont="1" applyFill="1" applyAlignment="1">
      <alignment horizontal="right" wrapText="1"/>
    </xf>
    <xf numFmtId="37" fontId="84" fillId="0" borderId="0" xfId="0" applyNumberFormat="1" applyFont="1" applyAlignment="1">
      <alignment horizontal="right" wrapText="1"/>
    </xf>
    <xf numFmtId="37" fontId="84" fillId="0" borderId="0" xfId="0" applyNumberFormat="1" applyFont="1" applyAlignment="1">
      <alignment horizontal="left"/>
    </xf>
    <xf numFmtId="167" fontId="94" fillId="8" borderId="0" xfId="1" applyNumberFormat="1" applyFont="1" applyFill="1" applyBorder="1" applyAlignment="1" applyProtection="1">
      <alignment horizontal="right" wrapText="1"/>
    </xf>
    <xf numFmtId="167" fontId="9" fillId="2" borderId="1" xfId="1" applyNumberFormat="1" applyFont="1" applyFill="1" applyBorder="1" applyAlignment="1" applyProtection="1">
      <alignment horizontal="right" wrapText="1"/>
    </xf>
    <xf numFmtId="170" fontId="8" fillId="2" borderId="0" xfId="0" applyNumberFormat="1" applyFont="1" applyFill="1" applyAlignment="1">
      <alignment horizontal="right" wrapText="1"/>
    </xf>
    <xf numFmtId="37" fontId="20" fillId="0" borderId="0" xfId="0" applyNumberFormat="1" applyFont="1" applyAlignment="1">
      <alignment horizontal="right" wrapText="1"/>
    </xf>
    <xf numFmtId="9" fontId="3" fillId="0" borderId="0" xfId="6" applyFont="1" applyAlignment="1" applyProtection="1">
      <alignment horizontal="left"/>
    </xf>
    <xf numFmtId="173" fontId="3" fillId="0" borderId="0" xfId="6" applyNumberFormat="1" applyFont="1" applyAlignment="1" applyProtection="1">
      <alignment horizontal="left"/>
    </xf>
    <xf numFmtId="37" fontId="19" fillId="0" borderId="0" xfId="0" applyNumberFormat="1" applyFont="1" applyAlignment="1">
      <alignment horizontal="right" wrapText="1"/>
    </xf>
    <xf numFmtId="37" fontId="81" fillId="0" borderId="0" xfId="0" applyNumberFormat="1" applyFont="1" applyAlignment="1">
      <alignment horizontal="left" vertical="top"/>
    </xf>
    <xf numFmtId="0" fontId="1" fillId="0" borderId="0" xfId="0" applyFont="1" applyAlignment="1">
      <alignment vertical="center"/>
    </xf>
    <xf numFmtId="167" fontId="5" fillId="0" borderId="0" xfId="1" applyNumberFormat="1" applyFont="1" applyFill="1" applyBorder="1" applyAlignment="1" applyProtection="1">
      <alignment horizontal="right" wrapText="1"/>
    </xf>
    <xf numFmtId="167" fontId="3" fillId="0" borderId="0" xfId="0" applyNumberFormat="1" applyFont="1" applyAlignment="1">
      <alignment horizontal="left"/>
    </xf>
    <xf numFmtId="37" fontId="78" fillId="0" borderId="0" xfId="1" applyNumberFormat="1" applyFont="1" applyFill="1" applyBorder="1" applyAlignment="1" applyProtection="1">
      <alignment horizontal="right" wrapText="1"/>
    </xf>
    <xf numFmtId="37" fontId="1" fillId="0" borderId="0" xfId="0" applyNumberFormat="1" applyFont="1" applyAlignment="1">
      <alignment horizontal="left" wrapText="1"/>
    </xf>
    <xf numFmtId="37" fontId="3" fillId="6" borderId="0" xfId="0" applyNumberFormat="1" applyFont="1" applyFill="1" applyAlignment="1">
      <alignment wrapText="1"/>
    </xf>
    <xf numFmtId="37" fontId="82" fillId="0" borderId="0" xfId="0" applyNumberFormat="1" applyFont="1" applyAlignment="1">
      <alignment wrapText="1"/>
    </xf>
    <xf numFmtId="165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wrapText="1"/>
    </xf>
    <xf numFmtId="165" fontId="13" fillId="0" borderId="0" xfId="0" applyNumberFormat="1" applyFont="1"/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right"/>
    </xf>
    <xf numFmtId="165" fontId="3" fillId="0" borderId="0" xfId="0" applyNumberFormat="1" applyFont="1"/>
    <xf numFmtId="165" fontId="3" fillId="0" borderId="0" xfId="0" applyNumberFormat="1" applyFont="1" applyAlignment="1">
      <alignment vertical="top"/>
    </xf>
    <xf numFmtId="167" fontId="3" fillId="0" borderId="0" xfId="0" applyNumberFormat="1" applyFont="1" applyAlignment="1">
      <alignment horizontal="right"/>
    </xf>
    <xf numFmtId="0" fontId="4" fillId="0" borderId="0" xfId="0" applyFont="1" applyAlignment="1">
      <alignment vertical="top" wrapText="1"/>
    </xf>
    <xf numFmtId="37" fontId="77" fillId="0" borderId="0" xfId="0" applyNumberFormat="1" applyFont="1" applyAlignment="1">
      <alignment wrapText="1"/>
    </xf>
    <xf numFmtId="37" fontId="77" fillId="0" borderId="0" xfId="0" applyNumberFormat="1" applyFont="1"/>
    <xf numFmtId="37" fontId="77" fillId="0" borderId="0" xfId="0" applyNumberFormat="1" applyFont="1" applyAlignment="1">
      <alignment horizontal="left"/>
    </xf>
    <xf numFmtId="37" fontId="1" fillId="0" borderId="0" xfId="0" applyNumberFormat="1" applyFont="1" applyAlignment="1">
      <alignment wrapText="1"/>
    </xf>
    <xf numFmtId="37" fontId="5" fillId="0" borderId="0" xfId="0" applyNumberFormat="1" applyFont="1" applyAlignment="1">
      <alignment horizontal="right"/>
    </xf>
    <xf numFmtId="37" fontId="48" fillId="2" borderId="1" xfId="0" applyNumberFormat="1" applyFont="1" applyFill="1" applyBorder="1" applyAlignment="1">
      <alignment horizontal="left"/>
    </xf>
    <xf numFmtId="37" fontId="50" fillId="2" borderId="2" xfId="0" applyNumberFormat="1" applyFont="1" applyFill="1" applyBorder="1" applyAlignment="1">
      <alignment horizontal="center"/>
    </xf>
    <xf numFmtId="37" fontId="51" fillId="0" borderId="0" xfId="0" applyNumberFormat="1" applyFont="1" applyAlignment="1">
      <alignment horizontal="left"/>
    </xf>
    <xf numFmtId="37" fontId="49" fillId="0" borderId="0" xfId="0" applyNumberFormat="1" applyFont="1" applyAlignment="1">
      <alignment horizontal="left"/>
    </xf>
    <xf numFmtId="0" fontId="3" fillId="0" borderId="0" xfId="0" applyFont="1" applyAlignment="1">
      <alignment vertical="top"/>
    </xf>
    <xf numFmtId="37" fontId="3" fillId="7" borderId="0" xfId="0" applyNumberFormat="1" applyFont="1" applyFill="1" applyAlignment="1">
      <alignment horizontal="left"/>
    </xf>
    <xf numFmtId="0" fontId="3" fillId="7" borderId="0" xfId="0" applyFont="1" applyFill="1" applyAlignment="1">
      <alignment horizontal="left"/>
    </xf>
    <xf numFmtId="170" fontId="83" fillId="7" borderId="0" xfId="0" applyNumberFormat="1" applyFont="1" applyFill="1" applyAlignment="1">
      <alignment horizontal="right" wrapText="1"/>
    </xf>
    <xf numFmtId="37" fontId="49" fillId="7" borderId="0" xfId="0" applyNumberFormat="1" applyFont="1" applyFill="1" applyAlignment="1">
      <alignment horizontal="left"/>
    </xf>
    <xf numFmtId="37" fontId="82" fillId="8" borderId="0" xfId="0" applyNumberFormat="1" applyFont="1" applyFill="1" applyAlignment="1">
      <alignment horizontal="right" wrapText="1"/>
    </xf>
    <xf numFmtId="167" fontId="78" fillId="0" borderId="0" xfId="1" applyNumberFormat="1" applyFont="1" applyFill="1" applyAlignment="1" applyProtection="1">
      <alignment horizontal="right" wrapText="1"/>
    </xf>
    <xf numFmtId="0" fontId="22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37" fontId="49" fillId="0" borderId="0" xfId="0" applyNumberFormat="1" applyFont="1" applyAlignment="1">
      <alignment horizontal="right" wrapText="1"/>
    </xf>
    <xf numFmtId="167" fontId="8" fillId="2" borderId="1" xfId="1" applyNumberFormat="1" applyFont="1" applyFill="1" applyBorder="1" applyAlignment="1" applyProtection="1">
      <alignment horizontal="right" wrapText="1"/>
    </xf>
    <xf numFmtId="37" fontId="15" fillId="6" borderId="0" xfId="0" applyNumberFormat="1" applyFont="1" applyFill="1" applyAlignment="1">
      <alignment horizontal="right" wrapText="1"/>
    </xf>
    <xf numFmtId="37" fontId="15" fillId="0" borderId="0" xfId="0" applyNumberFormat="1" applyFont="1" applyAlignment="1">
      <alignment horizontal="right" wrapText="1"/>
    </xf>
    <xf numFmtId="37" fontId="88" fillId="6" borderId="0" xfId="0" applyNumberFormat="1" applyFont="1" applyFill="1" applyAlignment="1">
      <alignment horizontal="right" wrapText="1"/>
    </xf>
    <xf numFmtId="37" fontId="3" fillId="0" borderId="0" xfId="0" applyNumberFormat="1" applyFont="1" applyAlignment="1">
      <alignment vertical="top"/>
    </xf>
    <xf numFmtId="167" fontId="89" fillId="0" borderId="0" xfId="1" applyNumberFormat="1" applyFont="1" applyFill="1" applyBorder="1" applyAlignment="1" applyProtection="1">
      <alignment horizontal="right" wrapText="1"/>
    </xf>
    <xf numFmtId="37" fontId="44" fillId="2" borderId="1" xfId="0" applyNumberFormat="1" applyFont="1" applyFill="1" applyBorder="1" applyAlignment="1">
      <alignment horizontal="left"/>
    </xf>
    <xf numFmtId="37" fontId="45" fillId="2" borderId="2" xfId="0" applyNumberFormat="1" applyFont="1" applyFill="1" applyBorder="1" applyAlignment="1">
      <alignment horizontal="center"/>
    </xf>
    <xf numFmtId="37" fontId="46" fillId="0" borderId="0" xfId="0" applyNumberFormat="1" applyFont="1"/>
    <xf numFmtId="37" fontId="47" fillId="0" borderId="0" xfId="0" applyNumberFormat="1" applyFont="1" applyAlignment="1">
      <alignment horizontal="left"/>
    </xf>
    <xf numFmtId="37" fontId="46" fillId="0" borderId="0" xfId="0" applyNumberFormat="1" applyFont="1" applyAlignment="1">
      <alignment horizontal="left"/>
    </xf>
    <xf numFmtId="169" fontId="95" fillId="0" borderId="0" xfId="1" applyNumberFormat="1" applyFont="1" applyFill="1" applyBorder="1" applyAlignment="1" applyProtection="1">
      <alignment horizontal="right" wrapText="1"/>
    </xf>
    <xf numFmtId="37" fontId="47" fillId="0" borderId="0" xfId="0" applyNumberFormat="1" applyFont="1"/>
    <xf numFmtId="0" fontId="47" fillId="0" borderId="0" xfId="0" applyFont="1" applyAlignment="1">
      <alignment horizontal="left"/>
    </xf>
    <xf numFmtId="37" fontId="47" fillId="0" borderId="0" xfId="0" applyNumberFormat="1" applyFont="1" applyAlignment="1">
      <alignment horizontal="right" wrapText="1"/>
    </xf>
    <xf numFmtId="167" fontId="47" fillId="0" borderId="0" xfId="1" applyNumberFormat="1" applyFont="1" applyFill="1" applyBorder="1" applyAlignment="1" applyProtection="1">
      <alignment horizontal="right" wrapText="1"/>
    </xf>
    <xf numFmtId="167" fontId="96" fillId="6" borderId="0" xfId="1" applyNumberFormat="1" applyFont="1" applyFill="1" applyAlignment="1" applyProtection="1">
      <alignment horizontal="right" wrapText="1"/>
    </xf>
    <xf numFmtId="37" fontId="97" fillId="6" borderId="0" xfId="0" applyNumberFormat="1" applyFont="1" applyFill="1" applyAlignment="1">
      <alignment horizontal="right" wrapText="1"/>
    </xf>
    <xf numFmtId="37" fontId="80" fillId="0" borderId="0" xfId="0" applyNumberFormat="1" applyFont="1" applyAlignment="1">
      <alignment vertical="top"/>
    </xf>
    <xf numFmtId="37" fontId="89" fillId="0" borderId="0" xfId="0" applyNumberFormat="1" applyFont="1" applyAlignment="1">
      <alignment vertical="top"/>
    </xf>
    <xf numFmtId="167" fontId="78" fillId="0" borderId="0" xfId="0" applyNumberFormat="1" applyFont="1" applyAlignment="1">
      <alignment horizontal="left"/>
    </xf>
    <xf numFmtId="167" fontId="78" fillId="0" borderId="0" xfId="0" applyNumberFormat="1" applyFont="1"/>
    <xf numFmtId="164" fontId="3" fillId="0" borderId="0" xfId="1" applyFont="1" applyFill="1" applyBorder="1" applyAlignment="1" applyProtection="1"/>
    <xf numFmtId="164" fontId="78" fillId="0" borderId="0" xfId="1" applyFont="1" applyFill="1" applyBorder="1" applyAlignment="1" applyProtection="1"/>
    <xf numFmtId="164" fontId="3" fillId="0" borderId="0" xfId="1" applyFont="1" applyAlignment="1" applyProtection="1">
      <alignment horizontal="left"/>
    </xf>
    <xf numFmtId="37" fontId="22" fillId="0" borderId="0" xfId="0" applyNumberFormat="1" applyFont="1" applyAlignment="1">
      <alignment horizontal="left"/>
    </xf>
    <xf numFmtId="37" fontId="4" fillId="0" borderId="0" xfId="0" applyNumberFormat="1" applyFont="1" applyAlignment="1">
      <alignment vertical="top"/>
    </xf>
    <xf numFmtId="164" fontId="82" fillId="0" borderId="0" xfId="1" applyFont="1" applyFill="1" applyBorder="1" applyAlignment="1" applyProtection="1"/>
    <xf numFmtId="0" fontId="4" fillId="0" borderId="0" xfId="0" applyFont="1" applyAlignment="1">
      <alignment vertical="top"/>
    </xf>
    <xf numFmtId="167" fontId="77" fillId="0" borderId="0" xfId="0" applyNumberFormat="1" applyFont="1"/>
    <xf numFmtId="37" fontId="3" fillId="0" borderId="0" xfId="1" applyNumberFormat="1" applyFont="1" applyFill="1" applyBorder="1" applyAlignment="1" applyProtection="1">
      <alignment horizontal="left"/>
    </xf>
    <xf numFmtId="1" fontId="3" fillId="0" borderId="0" xfId="1" applyNumberFormat="1" applyFont="1" applyAlignment="1" applyProtection="1">
      <alignment horizontal="right" wrapText="1"/>
    </xf>
    <xf numFmtId="3" fontId="98" fillId="0" borderId="0" xfId="0" applyNumberFormat="1" applyFont="1" applyAlignment="1">
      <alignment horizontal="right" vertical="center" wrapText="1" indent="2"/>
    </xf>
    <xf numFmtId="3" fontId="99" fillId="0" borderId="0" xfId="0" applyNumberFormat="1" applyFont="1" applyAlignment="1">
      <alignment horizontal="right" vertical="center" wrapText="1" indent="2"/>
    </xf>
    <xf numFmtId="3" fontId="72" fillId="0" borderId="0" xfId="0" applyNumberFormat="1" applyFont="1" applyAlignment="1">
      <alignment horizontal="right" vertical="center" wrapText="1" indent="2"/>
    </xf>
    <xf numFmtId="37" fontId="88" fillId="6" borderId="0" xfId="0" applyNumberFormat="1" applyFont="1" applyFill="1"/>
    <xf numFmtId="3" fontId="99" fillId="0" borderId="0" xfId="0" applyNumberFormat="1" applyFont="1" applyAlignment="1">
      <alignment horizontal="right" vertical="center" indent="2"/>
    </xf>
    <xf numFmtId="0" fontId="99" fillId="0" borderId="0" xfId="0" applyFont="1" applyAlignment="1">
      <alignment horizontal="right" vertical="center" indent="2"/>
    </xf>
    <xf numFmtId="3" fontId="22" fillId="0" borderId="0" xfId="0" applyNumberFormat="1" applyFont="1" applyAlignment="1">
      <alignment horizontal="right" vertical="center" indent="2"/>
    </xf>
    <xf numFmtId="0" fontId="22" fillId="0" borderId="0" xfId="0" applyFont="1" applyAlignment="1">
      <alignment horizontal="right" vertical="center" indent="2"/>
    </xf>
    <xf numFmtId="37" fontId="100" fillId="6" borderId="0" xfId="0" applyNumberFormat="1" applyFont="1" applyFill="1" applyAlignment="1">
      <alignment horizontal="right" wrapText="1"/>
    </xf>
    <xf numFmtId="167" fontId="88" fillId="0" borderId="0" xfId="0" applyNumberFormat="1" applyFont="1" applyAlignment="1">
      <alignment horizontal="right" wrapText="1"/>
    </xf>
    <xf numFmtId="37" fontId="78" fillId="8" borderId="0" xfId="0" applyNumberFormat="1" applyFont="1" applyFill="1" applyAlignment="1">
      <alignment horizontal="right" wrapText="1"/>
    </xf>
    <xf numFmtId="3" fontId="72" fillId="0" borderId="0" xfId="0" applyNumberFormat="1" applyFont="1" applyAlignment="1">
      <alignment horizontal="right" vertical="center" indent="2"/>
    </xf>
    <xf numFmtId="37" fontId="0" fillId="0" borderId="0" xfId="0" applyNumberFormat="1" applyAlignment="1">
      <alignment horizontal="left" vertical="top"/>
    </xf>
    <xf numFmtId="3" fontId="101" fillId="0" borderId="0" xfId="0" applyNumberFormat="1" applyFont="1" applyAlignment="1">
      <alignment horizontal="right" vertical="center" indent="2"/>
    </xf>
    <xf numFmtId="0" fontId="11" fillId="7" borderId="1" xfId="0" applyFont="1" applyFill="1" applyBorder="1" applyAlignment="1">
      <alignment horizontal="left"/>
    </xf>
    <xf numFmtId="37" fontId="9" fillId="7" borderId="1" xfId="0" applyNumberFormat="1" applyFont="1" applyFill="1" applyBorder="1" applyAlignment="1">
      <alignment horizontal="left"/>
    </xf>
    <xf numFmtId="37" fontId="77" fillId="7" borderId="1" xfId="0" applyNumberFormat="1" applyFont="1" applyFill="1" applyBorder="1" applyAlignment="1">
      <alignment horizontal="left"/>
    </xf>
    <xf numFmtId="37" fontId="102" fillId="7" borderId="1" xfId="0" applyNumberFormat="1" applyFont="1" applyFill="1" applyBorder="1" applyAlignment="1">
      <alignment horizontal="left"/>
    </xf>
    <xf numFmtId="167" fontId="102" fillId="7" borderId="1" xfId="1" applyNumberFormat="1" applyFont="1" applyFill="1" applyBorder="1" applyAlignment="1" applyProtection="1">
      <alignment horizontal="left"/>
    </xf>
    <xf numFmtId="37" fontId="102" fillId="7" borderId="1" xfId="1" applyNumberFormat="1" applyFont="1" applyFill="1" applyBorder="1" applyAlignment="1" applyProtection="1">
      <alignment horizontal="left"/>
    </xf>
    <xf numFmtId="167" fontId="78" fillId="7" borderId="1" xfId="1" applyNumberFormat="1" applyFont="1" applyFill="1" applyBorder="1" applyAlignment="1" applyProtection="1">
      <alignment horizontal="right"/>
    </xf>
    <xf numFmtId="37" fontId="77" fillId="7" borderId="0" xfId="0" applyNumberFormat="1" applyFont="1" applyFill="1" applyAlignment="1">
      <alignment horizontal="center"/>
    </xf>
    <xf numFmtId="167" fontId="77" fillId="7" borderId="0" xfId="1" applyNumberFormat="1" applyFont="1" applyFill="1" applyBorder="1" applyAlignment="1" applyProtection="1">
      <alignment horizontal="center"/>
    </xf>
    <xf numFmtId="37" fontId="77" fillId="7" borderId="0" xfId="1" applyNumberFormat="1" applyFont="1" applyFill="1" applyBorder="1" applyAlignment="1" applyProtection="1">
      <alignment horizontal="center"/>
    </xf>
    <xf numFmtId="37" fontId="8" fillId="7" borderId="2" xfId="0" applyNumberFormat="1" applyFont="1" applyFill="1" applyBorder="1" applyAlignment="1">
      <alignment horizontal="center"/>
    </xf>
    <xf numFmtId="167" fontId="78" fillId="0" borderId="0" xfId="1" applyNumberFormat="1" applyFont="1" applyBorder="1" applyProtection="1"/>
    <xf numFmtId="37" fontId="78" fillId="0" borderId="0" xfId="1" applyNumberFormat="1" applyFont="1" applyBorder="1" applyProtection="1"/>
    <xf numFmtId="0" fontId="4" fillId="0" borderId="5" xfId="0" applyFont="1" applyBorder="1" applyAlignment="1">
      <alignment vertical="top" wrapText="1"/>
    </xf>
    <xf numFmtId="37" fontId="4" fillId="0" borderId="5" xfId="0" applyNumberFormat="1" applyFont="1" applyBorder="1" applyAlignment="1">
      <alignment horizontal="center" vertical="top"/>
    </xf>
    <xf numFmtId="167" fontId="4" fillId="0" borderId="5" xfId="1" applyNumberFormat="1" applyFont="1" applyBorder="1" applyAlignment="1" applyProtection="1">
      <alignment horizontal="right" vertical="top" wrapText="1"/>
    </xf>
    <xf numFmtId="0" fontId="4" fillId="0" borderId="6" xfId="0" applyFont="1" applyBorder="1" applyAlignment="1">
      <alignment vertical="top" wrapText="1"/>
    </xf>
    <xf numFmtId="1" fontId="4" fillId="0" borderId="6" xfId="0" quotePrefix="1" applyNumberFormat="1" applyFont="1" applyBorder="1" applyAlignment="1">
      <alignment horizontal="center"/>
    </xf>
    <xf numFmtId="167" fontId="4" fillId="0" borderId="6" xfId="1" applyNumberFormat="1" applyFont="1" applyBorder="1" applyAlignment="1" applyProtection="1">
      <alignment horizontal="right" wrapText="1"/>
    </xf>
    <xf numFmtId="0" fontId="3" fillId="0" borderId="0" xfId="0" applyFont="1" applyAlignment="1">
      <alignment vertical="top" wrapText="1"/>
    </xf>
    <xf numFmtId="37" fontId="77" fillId="0" borderId="0" xfId="0" applyNumberFormat="1" applyFont="1" applyAlignment="1">
      <alignment horizontal="center" vertical="top" wrapText="1"/>
    </xf>
    <xf numFmtId="37" fontId="78" fillId="0" borderId="0" xfId="0" applyNumberFormat="1" applyFont="1" applyAlignment="1">
      <alignment horizontal="center" vertical="top" wrapText="1"/>
    </xf>
    <xf numFmtId="167" fontId="82" fillId="0" borderId="0" xfId="1" applyNumberFormat="1" applyFont="1" applyAlignment="1" applyProtection="1">
      <alignment horizontal="right" vertical="top" wrapText="1"/>
    </xf>
    <xf numFmtId="167" fontId="77" fillId="0" borderId="0" xfId="1" applyNumberFormat="1" applyFont="1" applyAlignment="1" applyProtection="1">
      <alignment horizontal="center" vertical="top" wrapText="1"/>
    </xf>
    <xf numFmtId="0" fontId="4" fillId="0" borderId="0" xfId="0" applyFont="1" applyAlignment="1">
      <alignment wrapText="1"/>
    </xf>
    <xf numFmtId="37" fontId="77" fillId="0" borderId="0" xfId="0" applyNumberFormat="1" applyFont="1" applyAlignment="1">
      <alignment horizontal="right" vertical="top" wrapText="1"/>
    </xf>
    <xf numFmtId="37" fontId="78" fillId="0" borderId="0" xfId="0" applyNumberFormat="1" applyFont="1" applyAlignment="1">
      <alignment horizontal="right" vertical="top" wrapText="1"/>
    </xf>
    <xf numFmtId="0" fontId="4" fillId="0" borderId="3" xfId="0" applyFont="1" applyBorder="1" applyAlignment="1">
      <alignment wrapText="1"/>
    </xf>
    <xf numFmtId="167" fontId="3" fillId="0" borderId="3" xfId="0" applyNumberFormat="1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167" fontId="3" fillId="0" borderId="1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167" fontId="3" fillId="0" borderId="4" xfId="0" applyNumberFormat="1" applyFont="1" applyBorder="1" applyAlignment="1">
      <alignment horizontal="right" wrapText="1"/>
    </xf>
    <xf numFmtId="0" fontId="6" fillId="0" borderId="4" xfId="0" applyFont="1" applyBorder="1" applyAlignment="1">
      <alignment vertical="top" wrapText="1"/>
    </xf>
    <xf numFmtId="0" fontId="103" fillId="7" borderId="0" xfId="0" applyFont="1" applyFill="1"/>
    <xf numFmtId="37" fontId="86" fillId="7" borderId="0" xfId="0" applyNumberFormat="1" applyFont="1" applyFill="1" applyAlignment="1">
      <alignment horizontal="right"/>
    </xf>
    <xf numFmtId="0" fontId="75" fillId="7" borderId="0" xfId="0" applyFont="1" applyFill="1"/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 wrapText="1"/>
    </xf>
    <xf numFmtId="0" fontId="17" fillId="0" borderId="0" xfId="0" applyFont="1" applyAlignment="1">
      <alignment horizontal="left" wrapText="1" indent="1"/>
    </xf>
    <xf numFmtId="0" fontId="3" fillId="0" borderId="2" xfId="0" applyFont="1" applyBorder="1" applyAlignment="1">
      <alignment horizontal="left" wrapText="1"/>
    </xf>
    <xf numFmtId="37" fontId="77" fillId="0" borderId="0" xfId="1" applyNumberFormat="1" applyFont="1" applyBorder="1" applyAlignment="1" applyProtection="1">
      <alignment wrapText="1"/>
    </xf>
    <xf numFmtId="37" fontId="78" fillId="0" borderId="0" xfId="1" applyNumberFormat="1" applyFont="1" applyBorder="1" applyAlignment="1" applyProtection="1">
      <alignment wrapText="1"/>
    </xf>
    <xf numFmtId="37" fontId="82" fillId="0" borderId="0" xfId="1" applyNumberFormat="1" applyFont="1" applyFill="1" applyBorder="1" applyAlignment="1" applyProtection="1">
      <alignment horizontal="right" wrapText="1"/>
    </xf>
    <xf numFmtId="0" fontId="78" fillId="0" borderId="0" xfId="0" applyFont="1"/>
    <xf numFmtId="167" fontId="77" fillId="0" borderId="0" xfId="1" applyNumberFormat="1" applyFont="1" applyAlignment="1" applyProtection="1">
      <alignment horizontal="right"/>
    </xf>
    <xf numFmtId="167" fontId="104" fillId="0" borderId="0" xfId="1" applyNumberFormat="1" applyFont="1" applyAlignment="1" applyProtection="1">
      <alignment horizontal="right"/>
    </xf>
    <xf numFmtId="167" fontId="81" fillId="0" borderId="0" xfId="1" applyNumberFormat="1" applyFont="1" applyAlignment="1" applyProtection="1">
      <alignment horizontal="right"/>
    </xf>
    <xf numFmtId="37" fontId="104" fillId="0" borderId="0" xfId="0" applyNumberFormat="1" applyFont="1" applyAlignment="1">
      <alignment horizontal="right"/>
    </xf>
    <xf numFmtId="37" fontId="81" fillId="0" borderId="0" xfId="0" applyNumberFormat="1" applyFont="1" applyAlignment="1">
      <alignment horizontal="right"/>
    </xf>
    <xf numFmtId="37" fontId="81" fillId="0" borderId="0" xfId="1" applyNumberFormat="1" applyFont="1" applyAlignment="1" applyProtection="1">
      <alignment horizontal="right"/>
    </xf>
    <xf numFmtId="37" fontId="104" fillId="0" borderId="0" xfId="0" applyNumberFormat="1" applyFont="1"/>
    <xf numFmtId="167" fontId="81" fillId="0" borderId="0" xfId="1" applyNumberFormat="1" applyFont="1" applyProtection="1"/>
    <xf numFmtId="0" fontId="103" fillId="2" borderId="1" xfId="0" applyFont="1" applyFill="1" applyBorder="1" applyAlignment="1">
      <alignment horizontal="left"/>
    </xf>
    <xf numFmtId="37" fontId="3" fillId="2" borderId="1" xfId="0" applyNumberFormat="1" applyFont="1" applyFill="1" applyBorder="1" applyAlignment="1">
      <alignment horizontal="left"/>
    </xf>
    <xf numFmtId="37" fontId="3" fillId="2" borderId="1" xfId="0" applyNumberFormat="1" applyFont="1" applyFill="1" applyBorder="1" applyAlignment="1">
      <alignment horizontal="right"/>
    </xf>
    <xf numFmtId="37" fontId="26" fillId="2" borderId="0" xfId="4" applyNumberFormat="1" applyFont="1" applyFill="1" applyBorder="1" applyAlignment="1" applyProtection="1">
      <alignment horizontal="left"/>
    </xf>
    <xf numFmtId="37" fontId="4" fillId="2" borderId="2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Continuous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centerContinuous" vertical="top"/>
    </xf>
    <xf numFmtId="168" fontId="3" fillId="0" borderId="0" xfId="0" applyNumberFormat="1" applyFont="1"/>
    <xf numFmtId="0" fontId="4" fillId="0" borderId="0" xfId="0" applyFont="1" applyAlignment="1">
      <alignment horizontal="center" wrapText="1"/>
    </xf>
    <xf numFmtId="16" fontId="4" fillId="0" borderId="0" xfId="0" quotePrefix="1" applyNumberFormat="1" applyFont="1" applyAlignment="1">
      <alignment horizontal="right" wrapText="1"/>
    </xf>
    <xf numFmtId="16" fontId="6" fillId="0" borderId="0" xfId="0" applyNumberFormat="1" applyFont="1" applyAlignment="1">
      <alignment horizontal="right" wrapText="1"/>
    </xf>
    <xf numFmtId="16" fontId="4" fillId="0" borderId="0" xfId="0" applyNumberFormat="1" applyFont="1" applyAlignment="1">
      <alignment horizontal="right" wrapText="1"/>
    </xf>
    <xf numFmtId="168" fontId="0" fillId="0" borderId="0" xfId="0" applyNumberFormat="1"/>
    <xf numFmtId="49" fontId="3" fillId="0" borderId="0" xfId="0" applyNumberFormat="1" applyFont="1"/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right" wrapText="1"/>
    </xf>
    <xf numFmtId="49" fontId="0" fillId="0" borderId="0" xfId="0" applyNumberFormat="1"/>
    <xf numFmtId="0" fontId="3" fillId="0" borderId="0" xfId="0" applyFont="1" applyAlignment="1">
      <alignment horizontal="center" wrapText="1"/>
    </xf>
    <xf numFmtId="0" fontId="88" fillId="0" borderId="0" xfId="0" applyFont="1" applyAlignment="1">
      <alignment horizontal="right" wrapText="1"/>
    </xf>
    <xf numFmtId="0" fontId="105" fillId="0" borderId="0" xfId="0" applyFont="1" applyAlignment="1">
      <alignment horizontal="right" wrapText="1"/>
    </xf>
    <xf numFmtId="167" fontId="80" fillId="0" borderId="0" xfId="0" applyNumberFormat="1" applyFont="1" applyAlignment="1">
      <alignment horizontal="right"/>
    </xf>
    <xf numFmtId="3" fontId="3" fillId="0" borderId="0" xfId="0" applyNumberFormat="1" applyFont="1"/>
    <xf numFmtId="3" fontId="99" fillId="0" borderId="0" xfId="0" applyNumberFormat="1" applyFont="1" applyAlignment="1">
      <alignment horizontal="right" vertical="center" wrapText="1"/>
    </xf>
    <xf numFmtId="0" fontId="106" fillId="0" borderId="0" xfId="0" applyFont="1" applyAlignment="1">
      <alignment horizontal="center" wrapText="1"/>
    </xf>
    <xf numFmtId="167" fontId="78" fillId="0" borderId="0" xfId="0" applyNumberFormat="1" applyFont="1" applyAlignment="1">
      <alignment horizontal="right"/>
    </xf>
    <xf numFmtId="0" fontId="99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wrapText="1"/>
    </xf>
    <xf numFmtId="167" fontId="3" fillId="0" borderId="2" xfId="0" applyNumberFormat="1" applyFont="1" applyBorder="1" applyAlignment="1">
      <alignment horizontal="right"/>
    </xf>
    <xf numFmtId="0" fontId="107" fillId="0" borderId="6" xfId="0" applyFont="1" applyBorder="1" applyAlignment="1">
      <alignment horizontal="right" wrapText="1"/>
    </xf>
    <xf numFmtId="167" fontId="3" fillId="0" borderId="4" xfId="0" applyNumberFormat="1" applyFont="1" applyBorder="1" applyAlignment="1">
      <alignment horizontal="right"/>
    </xf>
    <xf numFmtId="167" fontId="80" fillId="0" borderId="4" xfId="0" applyNumberFormat="1" applyFont="1" applyBorder="1" applyAlignment="1">
      <alignment horizontal="right"/>
    </xf>
    <xf numFmtId="167" fontId="3" fillId="0" borderId="6" xfId="0" applyNumberFormat="1" applyFont="1" applyBorder="1" applyAlignment="1">
      <alignment horizontal="right"/>
    </xf>
    <xf numFmtId="0" fontId="4" fillId="0" borderId="0" xfId="0" applyFont="1" applyAlignment="1">
      <alignment horizontal="center" vertical="top" wrapText="1"/>
    </xf>
    <xf numFmtId="167" fontId="82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/>
    </xf>
    <xf numFmtId="167" fontId="82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justify" wrapText="1"/>
    </xf>
    <xf numFmtId="0" fontId="107" fillId="0" borderId="2" xfId="0" applyFont="1" applyBorder="1" applyAlignment="1">
      <alignment wrapText="1"/>
    </xf>
    <xf numFmtId="167" fontId="3" fillId="0" borderId="3" xfId="0" applyNumberFormat="1" applyFont="1" applyBorder="1" applyAlignment="1">
      <alignment horizontal="right"/>
    </xf>
    <xf numFmtId="0" fontId="106" fillId="0" borderId="6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167" fontId="82" fillId="0" borderId="0" xfId="0" applyNumberFormat="1" applyFont="1" applyAlignment="1">
      <alignment horizontal="right"/>
    </xf>
    <xf numFmtId="0" fontId="106" fillId="0" borderId="2" xfId="0" applyFont="1" applyBorder="1" applyAlignment="1">
      <alignment horizontal="center" wrapText="1"/>
    </xf>
    <xf numFmtId="0" fontId="106" fillId="0" borderId="4" xfId="0" applyFont="1" applyBorder="1" applyAlignment="1">
      <alignment wrapText="1"/>
    </xf>
    <xf numFmtId="0" fontId="18" fillId="0" borderId="2" xfId="0" applyFont="1" applyBorder="1" applyAlignment="1">
      <alignment horizontal="center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0" fontId="108" fillId="0" borderId="0" xfId="0" applyFont="1" applyAlignment="1">
      <alignment horizontal="right" vertical="center" wrapText="1"/>
    </xf>
    <xf numFmtId="164" fontId="4" fillId="0" borderId="0" xfId="0" applyNumberFormat="1" applyFont="1" applyAlignment="1">
      <alignment horizontal="right" wrapText="1"/>
    </xf>
    <xf numFmtId="0" fontId="18" fillId="0" borderId="6" xfId="0" applyFont="1" applyBorder="1" applyAlignment="1">
      <alignment horizontal="left" wrapText="1" indent="2"/>
    </xf>
    <xf numFmtId="0" fontId="18" fillId="0" borderId="6" xfId="0" applyFont="1" applyBorder="1" applyAlignment="1">
      <alignment horizontal="center" wrapText="1"/>
    </xf>
    <xf numFmtId="0" fontId="77" fillId="0" borderId="6" xfId="0" applyFont="1" applyBorder="1" applyAlignment="1">
      <alignment horizontal="center" wrapText="1"/>
    </xf>
    <xf numFmtId="0" fontId="89" fillId="0" borderId="6" xfId="0" applyFont="1" applyBorder="1" applyAlignment="1">
      <alignment horizontal="center" wrapText="1"/>
    </xf>
    <xf numFmtId="0" fontId="109" fillId="0" borderId="6" xfId="0" applyFont="1" applyBorder="1" applyAlignment="1">
      <alignment horizontal="center" wrapText="1"/>
    </xf>
    <xf numFmtId="0" fontId="3" fillId="0" borderId="6" xfId="0" applyFont="1" applyBorder="1" applyAlignment="1">
      <alignment horizontal="right" wrapText="1"/>
    </xf>
    <xf numFmtId="0" fontId="109" fillId="0" borderId="6" xfId="0" applyFont="1" applyBorder="1" applyAlignment="1">
      <alignment horizontal="right" wrapText="1"/>
    </xf>
    <xf numFmtId="0" fontId="109" fillId="0" borderId="0" xfId="0" applyFont="1"/>
    <xf numFmtId="0" fontId="77" fillId="0" borderId="0" xfId="0" applyFont="1"/>
    <xf numFmtId="0" fontId="72" fillId="0" borderId="0" xfId="0" applyFont="1" applyAlignment="1">
      <alignment horizontal="right" vertical="center" wrapText="1"/>
    </xf>
    <xf numFmtId="0" fontId="82" fillId="0" borderId="0" xfId="0" applyFont="1"/>
    <xf numFmtId="0" fontId="25" fillId="0" borderId="0" xfId="0" applyFont="1"/>
    <xf numFmtId="167" fontId="3" fillId="0" borderId="0" xfId="1" applyNumberFormat="1" applyFont="1" applyAlignment="1">
      <alignment horizontal="right" wrapText="1"/>
    </xf>
    <xf numFmtId="37" fontId="61" fillId="2" borderId="1" xfId="0" applyNumberFormat="1" applyFont="1" applyFill="1" applyBorder="1" applyAlignment="1">
      <alignment horizontal="left"/>
    </xf>
    <xf numFmtId="37" fontId="62" fillId="2" borderId="2" xfId="0" applyNumberFormat="1" applyFont="1" applyFill="1" applyBorder="1" applyAlignment="1">
      <alignment horizontal="center"/>
    </xf>
    <xf numFmtId="37" fontId="63" fillId="0" borderId="0" xfId="0" applyNumberFormat="1" applyFont="1" applyAlignment="1">
      <alignment horizontal="left"/>
    </xf>
    <xf numFmtId="37" fontId="64" fillId="0" borderId="0" xfId="0" applyNumberFormat="1" applyFont="1" applyAlignment="1">
      <alignment horizontal="left"/>
    </xf>
    <xf numFmtId="39" fontId="82" fillId="0" borderId="0" xfId="0" applyNumberFormat="1" applyFont="1" applyAlignment="1">
      <alignment horizontal="right" wrapText="1"/>
    </xf>
    <xf numFmtId="39" fontId="78" fillId="0" borderId="0" xfId="0" applyNumberFormat="1" applyFont="1" applyAlignment="1">
      <alignment horizontal="right" wrapText="1"/>
    </xf>
    <xf numFmtId="37" fontId="63" fillId="0" borderId="0" xfId="0" applyNumberFormat="1" applyFont="1"/>
    <xf numFmtId="37" fontId="63" fillId="0" borderId="0" xfId="0" applyNumberFormat="1" applyFont="1" applyAlignment="1">
      <alignment horizontal="right" wrapText="1"/>
    </xf>
    <xf numFmtId="37" fontId="34" fillId="2" borderId="1" xfId="0" applyNumberFormat="1" applyFont="1" applyFill="1" applyBorder="1" applyAlignment="1">
      <alignment horizontal="left"/>
    </xf>
    <xf numFmtId="37" fontId="36" fillId="2" borderId="0" xfId="0" applyNumberFormat="1" applyFont="1" applyFill="1" applyAlignment="1">
      <alignment horizontal="center"/>
    </xf>
    <xf numFmtId="37" fontId="3" fillId="0" borderId="0" xfId="0" applyNumberFormat="1" applyFont="1" applyAlignment="1">
      <alignment horizontal="left" wrapText="1" indent="1"/>
    </xf>
    <xf numFmtId="37" fontId="35" fillId="0" borderId="0" xfId="0" applyNumberFormat="1" applyFont="1" applyAlignment="1">
      <alignment horizontal="left" wrapText="1"/>
    </xf>
    <xf numFmtId="167" fontId="3" fillId="0" borderId="12" xfId="0" applyNumberFormat="1" applyFont="1" applyBorder="1" applyAlignment="1">
      <alignment horizontal="right" wrapText="1"/>
    </xf>
    <xf numFmtId="0" fontId="17" fillId="0" borderId="0" xfId="0" applyFont="1"/>
    <xf numFmtId="167" fontId="3" fillId="0" borderId="13" xfId="0" applyNumberFormat="1" applyFont="1" applyBorder="1" applyAlignment="1">
      <alignment horizontal="right" wrapText="1"/>
    </xf>
    <xf numFmtId="37" fontId="3" fillId="0" borderId="13" xfId="0" applyNumberFormat="1" applyFont="1" applyBorder="1" applyAlignment="1">
      <alignment horizontal="left" wrapText="1"/>
    </xf>
    <xf numFmtId="37" fontId="94" fillId="0" borderId="0" xfId="0" applyNumberFormat="1" applyFont="1" applyAlignment="1">
      <alignment horizontal="right" wrapText="1"/>
    </xf>
    <xf numFmtId="3" fontId="3" fillId="0" borderId="7" xfId="0" applyNumberFormat="1" applyFont="1" applyBorder="1" applyAlignment="1">
      <alignment horizontal="right" wrapText="1"/>
    </xf>
    <xf numFmtId="37" fontId="3" fillId="0" borderId="7" xfId="0" applyNumberFormat="1" applyFont="1" applyBorder="1" applyAlignment="1">
      <alignment horizontal="right" wrapText="1"/>
    </xf>
    <xf numFmtId="37" fontId="17" fillId="0" borderId="0" xfId="0" applyNumberFormat="1" applyFont="1" applyAlignment="1">
      <alignment horizontal="left" wrapText="1" indent="1"/>
    </xf>
    <xf numFmtId="37" fontId="17" fillId="0" borderId="0" xfId="0" applyNumberFormat="1" applyFont="1" applyAlignment="1">
      <alignment wrapText="1"/>
    </xf>
    <xf numFmtId="3" fontId="17" fillId="0" borderId="10" xfId="0" applyNumberFormat="1" applyFont="1" applyBorder="1" applyAlignment="1">
      <alignment horizontal="right" wrapText="1"/>
    </xf>
    <xf numFmtId="1" fontId="17" fillId="0" borderId="10" xfId="1" applyNumberFormat="1" applyFont="1" applyFill="1" applyBorder="1" applyAlignment="1" applyProtection="1">
      <alignment horizontal="right" wrapText="1"/>
    </xf>
    <xf numFmtId="167" fontId="17" fillId="0" borderId="17" xfId="1" applyNumberFormat="1" applyFont="1" applyBorder="1" applyAlignment="1" applyProtection="1">
      <alignment horizontal="right" wrapText="1"/>
    </xf>
    <xf numFmtId="167" fontId="17" fillId="0" borderId="10" xfId="1" applyNumberFormat="1" applyFont="1" applyBorder="1" applyAlignment="1" applyProtection="1">
      <alignment horizontal="right" wrapText="1"/>
    </xf>
    <xf numFmtId="37" fontId="38" fillId="0" borderId="0" xfId="0" applyNumberFormat="1" applyFont="1" applyAlignment="1">
      <alignment horizontal="left" wrapText="1"/>
    </xf>
    <xf numFmtId="3" fontId="3" fillId="0" borderId="0" xfId="0" applyNumberFormat="1" applyFont="1" applyAlignment="1">
      <alignment horizontal="right" wrapText="1"/>
    </xf>
    <xf numFmtId="39" fontId="3" fillId="0" borderId="0" xfId="0" applyNumberFormat="1" applyFont="1" applyAlignment="1">
      <alignment horizontal="left" wrapText="1"/>
    </xf>
    <xf numFmtId="39" fontId="3" fillId="0" borderId="0" xfId="0" applyNumberFormat="1" applyFont="1" applyAlignment="1">
      <alignment wrapText="1"/>
    </xf>
    <xf numFmtId="39" fontId="35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left" wrapText="1"/>
    </xf>
    <xf numFmtId="165" fontId="3" fillId="0" borderId="0" xfId="0" applyNumberFormat="1" applyFont="1" applyAlignment="1">
      <alignment horizontal="right" wrapText="1"/>
    </xf>
    <xf numFmtId="165" fontId="35" fillId="0" borderId="0" xfId="0" applyNumberFormat="1" applyFont="1" applyAlignment="1">
      <alignment horizontal="left" wrapText="1"/>
    </xf>
    <xf numFmtId="172" fontId="3" fillId="0" borderId="0" xfId="0" applyNumberFormat="1" applyFont="1" applyAlignment="1">
      <alignment horizontal="right" wrapText="1"/>
    </xf>
    <xf numFmtId="39" fontId="3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left" vertical="top" wrapText="1"/>
    </xf>
    <xf numFmtId="37" fontId="0" fillId="0" borderId="0" xfId="0" applyNumberFormat="1"/>
    <xf numFmtId="37" fontId="0" fillId="0" borderId="0" xfId="0" applyNumberFormat="1" applyAlignment="1">
      <alignment horizontal="left"/>
    </xf>
    <xf numFmtId="0" fontId="35" fillId="0" borderId="0" xfId="0" applyFont="1" applyAlignment="1">
      <alignment horizontal="left"/>
    </xf>
    <xf numFmtId="37" fontId="35" fillId="0" borderId="0" xfId="0" applyNumberFormat="1" applyFont="1" applyAlignment="1">
      <alignment horizontal="right" wrapText="1"/>
    </xf>
    <xf numFmtId="37" fontId="82" fillId="5" borderId="0" xfId="0" applyNumberFormat="1" applyFont="1" applyFill="1" applyAlignment="1" applyProtection="1">
      <alignment horizontal="right" wrapText="1"/>
      <protection locked="0"/>
    </xf>
    <xf numFmtId="167" fontId="96" fillId="6" borderId="0" xfId="1" applyNumberFormat="1" applyFont="1" applyFill="1" applyAlignment="1" applyProtection="1">
      <alignment horizontal="right" wrapText="1"/>
      <protection locked="0"/>
    </xf>
    <xf numFmtId="0" fontId="3" fillId="0" borderId="0" xfId="0" applyFont="1" applyAlignment="1">
      <alignment horizontal="left" vertical="top" wrapText="1"/>
    </xf>
    <xf numFmtId="37" fontId="35" fillId="0" borderId="0" xfId="0" applyNumberFormat="1" applyFont="1" applyAlignment="1" applyProtection="1">
      <alignment horizontal="right" wrapText="1"/>
      <protection locked="0"/>
    </xf>
    <xf numFmtId="167" fontId="3" fillId="8" borderId="0" xfId="0" applyNumberFormat="1" applyFont="1" applyFill="1" applyAlignment="1">
      <alignment horizontal="right" wrapText="1"/>
    </xf>
    <xf numFmtId="37" fontId="80" fillId="0" borderId="0" xfId="0" applyNumberFormat="1" applyFont="1" applyAlignment="1">
      <alignment horizontal="left"/>
    </xf>
    <xf numFmtId="37" fontId="89" fillId="0" borderId="0" xfId="0" applyNumberFormat="1" applyFont="1" applyAlignment="1">
      <alignment horizontal="left"/>
    </xf>
    <xf numFmtId="37" fontId="9" fillId="4" borderId="1" xfId="0" applyNumberFormat="1" applyFont="1" applyFill="1" applyBorder="1" applyAlignment="1">
      <alignment horizontal="right" wrapText="1"/>
    </xf>
    <xf numFmtId="0" fontId="16" fillId="6" borderId="0" xfId="0" applyFont="1" applyFill="1" applyAlignment="1">
      <alignment horizontal="right" wrapText="1"/>
    </xf>
    <xf numFmtId="0" fontId="16" fillId="0" borderId="0" xfId="0" applyFont="1" applyAlignment="1">
      <alignment horizontal="right" wrapText="1"/>
    </xf>
    <xf numFmtId="0" fontId="14" fillId="6" borderId="0" xfId="0" applyFont="1" applyFill="1" applyAlignment="1">
      <alignment horizontal="right" wrapText="1"/>
    </xf>
    <xf numFmtId="0" fontId="14" fillId="0" borderId="0" xfId="0" applyFont="1" applyAlignment="1">
      <alignment horizontal="right" wrapText="1"/>
    </xf>
    <xf numFmtId="0" fontId="5" fillId="0" borderId="0" xfId="0" applyFont="1"/>
    <xf numFmtId="164" fontId="3" fillId="0" borderId="0" xfId="0" applyNumberFormat="1" applyFont="1"/>
    <xf numFmtId="174" fontId="3" fillId="0" borderId="0" xfId="0" applyNumberFormat="1" applyFont="1"/>
    <xf numFmtId="167" fontId="14" fillId="0" borderId="0" xfId="0" applyNumberFormat="1" applyFont="1" applyAlignment="1">
      <alignment horizontal="right" wrapText="1"/>
    </xf>
    <xf numFmtId="176" fontId="3" fillId="0" borderId="0" xfId="0" applyNumberFormat="1" applyFont="1"/>
    <xf numFmtId="175" fontId="3" fillId="0" borderId="0" xfId="0" applyNumberFormat="1" applyFont="1"/>
    <xf numFmtId="0" fontId="87" fillId="0" borderId="0" xfId="0" applyFont="1" applyAlignment="1">
      <alignment horizontal="right" wrapText="1"/>
    </xf>
    <xf numFmtId="37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/>
    </xf>
    <xf numFmtId="0" fontId="21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37" fontId="0" fillId="0" borderId="0" xfId="0" applyNumberFormat="1" applyAlignment="1">
      <alignment horizontal="right" wrapText="1"/>
    </xf>
    <xf numFmtId="0" fontId="32" fillId="3" borderId="0" xfId="4" applyFont="1" applyFill="1" applyAlignment="1" applyProtection="1">
      <alignment horizontal="left"/>
    </xf>
    <xf numFmtId="37" fontId="12" fillId="2" borderId="0" xfId="4" applyNumberFormat="1" applyFont="1" applyFill="1" applyBorder="1" applyAlignment="1" applyProtection="1">
      <alignment horizontal="left"/>
    </xf>
    <xf numFmtId="37" fontId="12" fillId="2" borderId="2" xfId="4" applyNumberFormat="1" applyFont="1" applyFill="1" applyBorder="1" applyAlignment="1" applyProtection="1">
      <alignment horizontal="left"/>
    </xf>
    <xf numFmtId="0" fontId="3" fillId="0" borderId="0" xfId="0" applyFont="1" applyAlignment="1">
      <alignment horizontal="left" vertical="top" wrapText="1"/>
    </xf>
    <xf numFmtId="37" fontId="12" fillId="7" borderId="0" xfId="4" applyNumberFormat="1" applyFont="1" applyFill="1" applyBorder="1" applyAlignment="1" applyProtection="1">
      <alignment horizontal="left"/>
    </xf>
    <xf numFmtId="37" fontId="110" fillId="2" borderId="0" xfId="4" applyNumberFormat="1" applyFont="1" applyFill="1" applyBorder="1" applyAlignment="1" applyProtection="1">
      <alignment horizontal="left"/>
    </xf>
    <xf numFmtId="0" fontId="6" fillId="0" borderId="5" xfId="0" applyFont="1" applyBorder="1" applyAlignment="1">
      <alignment horizontal="left" wrapText="1" indent="1"/>
    </xf>
    <xf numFmtId="0" fontId="6" fillId="0" borderId="6" xfId="0" applyFont="1" applyBorder="1" applyAlignment="1">
      <alignment horizontal="left" wrapText="1" indent="1"/>
    </xf>
  </cellXfs>
  <cellStyles count="8">
    <cellStyle name="Comma" xfId="1" builtinId="3"/>
    <cellStyle name="Comma 2" xfId="2" xr:uid="{E688BFE1-0D9A-4D0F-AD25-A3CC99656252}"/>
    <cellStyle name="Comma 2 2" xfId="3" xr:uid="{76A91D56-173F-4CC2-95C3-06D153E9721F}"/>
    <cellStyle name="Hyperlink" xfId="4" builtinId="8"/>
    <cellStyle name="Normal" xfId="0" builtinId="0"/>
    <cellStyle name="Normal 2" xfId="5" xr:uid="{05C896E1-5DDE-4E5E-86D3-423B6CDA4F6B}"/>
    <cellStyle name="Percent" xfId="6" builtinId="5"/>
    <cellStyle name="Percent 2" xfId="7" xr:uid="{50E44FB6-3D7B-43FD-B851-F3ECE98CA7C2}"/>
  </cellStyles>
  <dxfs count="0"/>
  <tableStyles count="1" defaultTableStyle="TableStyleMedium9" defaultPivotStyle="PivotStyleLight16">
    <tableStyle name="Invisible" pivot="0" table="0" count="0" xr9:uid="{576271C5-834F-4269-89C3-BBD9AE1F87A8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BE050A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BE050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6329-F799-42C4-B585-9BC9F702AFF6}">
  <sheetPr>
    <tabColor indexed="25"/>
    <pageSetUpPr fitToPage="1"/>
  </sheetPr>
  <dimension ref="A1:M59"/>
  <sheetViews>
    <sheetView zoomScale="85" zoomScaleNormal="85" workbookViewId="0">
      <pane ySplit="2" topLeftCell="A3" activePane="bottomLeft" state="frozen"/>
      <selection activeCell="F2" sqref="F2"/>
      <selection pane="bottomLeft"/>
    </sheetView>
  </sheetViews>
  <sheetFormatPr defaultColWidth="9.42578125" defaultRowHeight="12.75" x14ac:dyDescent="0.2"/>
  <cols>
    <col min="1" max="1" width="15.42578125" style="12" customWidth="1"/>
    <col min="2" max="2" width="3.42578125" style="18" customWidth="1"/>
    <col min="3" max="3" width="68.42578125" style="12" customWidth="1"/>
    <col min="4" max="10" width="5.42578125" style="12" customWidth="1"/>
    <col min="11" max="12" width="8.42578125" style="12" customWidth="1"/>
    <col min="13" max="16384" width="9.42578125" style="12"/>
  </cols>
  <sheetData>
    <row r="1" spans="1:13" ht="20.25" x14ac:dyDescent="0.3">
      <c r="A1" s="38"/>
      <c r="B1" s="13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20.25" x14ac:dyDescent="0.3">
      <c r="A2" s="38"/>
      <c r="B2" s="14" t="s">
        <v>435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5" customFormat="1" ht="15" x14ac:dyDescent="0.25">
      <c r="A3" s="39"/>
      <c r="B3" s="40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3" s="15" customFormat="1" ht="15" x14ac:dyDescent="0.25">
      <c r="A4" s="39"/>
      <c r="B4" s="40"/>
      <c r="C4" s="39"/>
      <c r="D4" s="39"/>
      <c r="E4" s="39"/>
      <c r="F4" s="39"/>
      <c r="G4" s="39"/>
      <c r="H4" s="39"/>
      <c r="I4" s="39"/>
      <c r="J4" s="39"/>
      <c r="K4" s="41" t="s">
        <v>1</v>
      </c>
      <c r="L4" s="39"/>
      <c r="M4" s="39"/>
    </row>
    <row r="5" spans="1:13" s="15" customFormat="1" ht="14.25" x14ac:dyDescent="0.2">
      <c r="A5" s="39"/>
      <c r="B5" s="728" t="s">
        <v>2</v>
      </c>
      <c r="C5" s="728"/>
      <c r="D5" s="728"/>
      <c r="E5" s="728"/>
      <c r="F5" s="728"/>
      <c r="G5" s="728"/>
      <c r="H5" s="728"/>
      <c r="I5" s="728"/>
      <c r="J5" s="728"/>
      <c r="K5" s="16">
        <v>1</v>
      </c>
      <c r="L5" s="42"/>
      <c r="M5" s="42"/>
    </row>
    <row r="6" spans="1:13" s="15" customFormat="1" ht="14.25" x14ac:dyDescent="0.2">
      <c r="A6" s="39"/>
      <c r="B6" s="728" t="s">
        <v>3</v>
      </c>
      <c r="C6" s="728"/>
      <c r="D6" s="728"/>
      <c r="E6" s="728"/>
      <c r="F6" s="728"/>
      <c r="G6" s="728"/>
      <c r="H6" s="728"/>
      <c r="I6" s="728"/>
      <c r="J6" s="728"/>
      <c r="K6" s="16">
        <v>2</v>
      </c>
      <c r="L6" s="42"/>
      <c r="M6" s="42"/>
    </row>
    <row r="7" spans="1:13" s="15" customFormat="1" ht="11.25" customHeight="1" x14ac:dyDescent="0.25">
      <c r="A7" s="39"/>
      <c r="B7" s="43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1:13" s="15" customFormat="1" ht="15" x14ac:dyDescent="0.25">
      <c r="A8" s="39"/>
      <c r="B8" s="44" t="s">
        <v>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spans="1:13" s="15" customFormat="1" ht="15" x14ac:dyDescent="0.2">
      <c r="A9" s="17"/>
      <c r="B9" s="39"/>
      <c r="C9" s="16" t="s">
        <v>5</v>
      </c>
      <c r="D9" s="39"/>
      <c r="E9" s="39"/>
      <c r="F9" s="39"/>
      <c r="G9" s="39"/>
      <c r="H9" s="39"/>
      <c r="I9" s="39"/>
      <c r="J9" s="39"/>
      <c r="K9" s="16">
        <v>3</v>
      </c>
      <c r="L9" s="39"/>
      <c r="M9" s="39"/>
    </row>
    <row r="10" spans="1:13" s="15" customFormat="1" ht="14.25" x14ac:dyDescent="0.2">
      <c r="A10" s="39"/>
      <c r="B10" s="39"/>
      <c r="C10" s="16" t="s">
        <v>6</v>
      </c>
      <c r="D10" s="39"/>
      <c r="E10" s="39"/>
      <c r="F10" s="39"/>
      <c r="G10" s="39"/>
      <c r="H10" s="39"/>
      <c r="I10" s="39"/>
      <c r="J10" s="39"/>
      <c r="K10" s="16">
        <v>4</v>
      </c>
      <c r="L10" s="39"/>
      <c r="M10" s="39"/>
    </row>
    <row r="11" spans="1:13" s="15" customFormat="1" ht="14.25" x14ac:dyDescent="0.2">
      <c r="A11" s="39"/>
      <c r="B11" s="39"/>
      <c r="C11" s="16" t="s">
        <v>7</v>
      </c>
      <c r="D11" s="39"/>
      <c r="E11" s="39"/>
      <c r="F11" s="39"/>
      <c r="G11" s="39"/>
      <c r="H11" s="39"/>
      <c r="I11" s="39"/>
      <c r="J11" s="39"/>
      <c r="K11" s="16">
        <v>5</v>
      </c>
      <c r="L11" s="39"/>
      <c r="M11" s="39"/>
    </row>
    <row r="12" spans="1:13" s="15" customFormat="1" ht="14.25" x14ac:dyDescent="0.2">
      <c r="A12" s="39"/>
      <c r="B12" s="39"/>
      <c r="C12" s="16" t="s">
        <v>8</v>
      </c>
      <c r="D12" s="39"/>
      <c r="E12" s="39"/>
      <c r="F12" s="39"/>
      <c r="G12" s="39"/>
      <c r="H12" s="39"/>
      <c r="I12" s="39"/>
      <c r="J12" s="39"/>
      <c r="K12" s="16">
        <v>6</v>
      </c>
      <c r="L12" s="39"/>
      <c r="M12" s="39"/>
    </row>
    <row r="13" spans="1:13" s="15" customFormat="1" ht="14.25" x14ac:dyDescent="0.2">
      <c r="A13" s="39"/>
      <c r="B13" s="39"/>
      <c r="C13" s="16" t="s">
        <v>9</v>
      </c>
      <c r="D13" s="39"/>
      <c r="E13" s="39"/>
      <c r="F13" s="39"/>
      <c r="G13" s="39"/>
      <c r="H13" s="39"/>
      <c r="I13" s="39"/>
      <c r="J13" s="39"/>
      <c r="K13" s="16">
        <v>7</v>
      </c>
      <c r="L13" s="39"/>
      <c r="M13" s="39"/>
    </row>
    <row r="14" spans="1:13" s="39" customFormat="1" ht="14.25" x14ac:dyDescent="0.2">
      <c r="C14" s="16" t="s">
        <v>10</v>
      </c>
      <c r="K14" s="16">
        <v>8</v>
      </c>
    </row>
    <row r="15" spans="1:13" s="15" customFormat="1" ht="14.25" x14ac:dyDescent="0.2">
      <c r="A15" s="39"/>
      <c r="B15" s="39"/>
      <c r="C15" s="16" t="s">
        <v>11</v>
      </c>
      <c r="D15" s="39"/>
      <c r="E15" s="39"/>
      <c r="F15" s="39"/>
      <c r="G15" s="39"/>
      <c r="H15" s="39"/>
      <c r="I15" s="39"/>
      <c r="J15" s="39"/>
      <c r="K15" s="16">
        <v>9</v>
      </c>
      <c r="L15" s="39"/>
      <c r="M15" s="39"/>
    </row>
    <row r="16" spans="1:13" s="15" customFormat="1" ht="14.25" x14ac:dyDescent="0.2">
      <c r="A16" s="39"/>
      <c r="B16" s="39"/>
      <c r="C16" s="16" t="s">
        <v>12</v>
      </c>
      <c r="D16" s="39"/>
      <c r="E16" s="39"/>
      <c r="F16" s="39"/>
      <c r="G16" s="39"/>
      <c r="H16" s="39"/>
      <c r="I16" s="39"/>
      <c r="J16" s="39"/>
      <c r="K16" s="71">
        <v>10</v>
      </c>
      <c r="L16" s="39"/>
      <c r="M16" s="39"/>
    </row>
    <row r="17" spans="2:11" s="15" customFormat="1" ht="14.25" x14ac:dyDescent="0.2">
      <c r="B17" s="39"/>
      <c r="C17" s="16" t="s">
        <v>13</v>
      </c>
      <c r="D17" s="39"/>
      <c r="E17" s="39"/>
      <c r="F17" s="39"/>
      <c r="G17" s="39"/>
      <c r="H17" s="39"/>
      <c r="I17" s="39"/>
      <c r="J17" s="39"/>
      <c r="K17" s="71">
        <v>11</v>
      </c>
    </row>
    <row r="18" spans="2:11" s="15" customFormat="1" ht="14.25" x14ac:dyDescent="0.2">
      <c r="B18" s="39"/>
      <c r="C18" s="16" t="s">
        <v>14</v>
      </c>
      <c r="D18" s="39"/>
      <c r="E18" s="39"/>
      <c r="F18" s="39"/>
      <c r="G18" s="39"/>
      <c r="H18" s="39"/>
      <c r="I18" s="39"/>
      <c r="J18" s="39"/>
      <c r="K18" s="71">
        <v>12</v>
      </c>
    </row>
    <row r="19" spans="2:11" s="15" customFormat="1" ht="14.25" x14ac:dyDescent="0.2">
      <c r="B19" s="39"/>
      <c r="C19" s="16" t="s">
        <v>15</v>
      </c>
      <c r="D19" s="39"/>
      <c r="E19" s="39"/>
      <c r="F19" s="39"/>
      <c r="G19" s="39"/>
      <c r="H19" s="39"/>
      <c r="I19" s="39"/>
      <c r="J19" s="39"/>
      <c r="K19" s="71">
        <v>13</v>
      </c>
    </row>
    <row r="20" spans="2:11" s="15" customFormat="1" ht="14.25" x14ac:dyDescent="0.2">
      <c r="B20" s="39"/>
      <c r="C20" s="16" t="s">
        <v>16</v>
      </c>
      <c r="D20" s="39"/>
      <c r="E20" s="39"/>
      <c r="F20" s="39"/>
      <c r="G20" s="39"/>
      <c r="H20" s="39"/>
      <c r="I20" s="39"/>
      <c r="J20" s="39"/>
      <c r="K20" s="71">
        <v>14</v>
      </c>
    </row>
    <row r="21" spans="2:11" s="15" customFormat="1" ht="14.25" x14ac:dyDescent="0.2">
      <c r="B21" s="39"/>
      <c r="C21" s="39"/>
      <c r="D21" s="39"/>
      <c r="E21" s="39"/>
      <c r="F21" s="39"/>
      <c r="G21" s="39"/>
      <c r="H21" s="39"/>
      <c r="I21" s="39"/>
      <c r="J21" s="39"/>
      <c r="K21" s="39"/>
    </row>
    <row r="22" spans="2:11" s="15" customFormat="1" ht="15" x14ac:dyDescent="0.25">
      <c r="B22" s="45" t="s">
        <v>17</v>
      </c>
      <c r="C22" s="39"/>
      <c r="D22" s="39"/>
      <c r="E22" s="39"/>
      <c r="F22" s="39"/>
      <c r="G22" s="39"/>
      <c r="H22" s="39"/>
      <c r="I22" s="39"/>
      <c r="J22" s="39"/>
      <c r="K22" s="39"/>
    </row>
    <row r="23" spans="2:11" s="15" customFormat="1" ht="15" x14ac:dyDescent="0.25">
      <c r="B23" s="45"/>
      <c r="C23" s="16" t="s">
        <v>18</v>
      </c>
      <c r="D23" s="39"/>
      <c r="E23" s="39"/>
      <c r="F23" s="39"/>
      <c r="G23" s="39"/>
      <c r="H23" s="39"/>
      <c r="I23" s="39"/>
      <c r="J23" s="39"/>
      <c r="K23" s="71">
        <v>15</v>
      </c>
    </row>
    <row r="24" spans="2:11" s="15" customFormat="1" ht="14.25" x14ac:dyDescent="0.2">
      <c r="B24" s="39"/>
      <c r="C24" s="46" t="s">
        <v>19</v>
      </c>
      <c r="D24" s="39"/>
      <c r="E24" s="39"/>
      <c r="F24" s="39"/>
      <c r="G24" s="39"/>
      <c r="H24" s="39"/>
      <c r="I24" s="39"/>
      <c r="J24" s="39"/>
      <c r="K24" s="39"/>
    </row>
    <row r="25" spans="2:11" s="15" customFormat="1" ht="15" x14ac:dyDescent="0.25">
      <c r="B25" s="45"/>
      <c r="C25" s="16" t="s">
        <v>20</v>
      </c>
      <c r="D25" s="39"/>
      <c r="E25" s="39"/>
      <c r="F25" s="39"/>
      <c r="G25" s="39"/>
      <c r="H25" s="39"/>
      <c r="I25" s="39"/>
      <c r="J25" s="39"/>
      <c r="K25" s="71">
        <v>16</v>
      </c>
    </row>
    <row r="26" spans="2:11" s="15" customFormat="1" ht="15" x14ac:dyDescent="0.25">
      <c r="B26" s="45"/>
      <c r="C26" s="16" t="s">
        <v>21</v>
      </c>
      <c r="D26" s="39"/>
      <c r="E26" s="39"/>
      <c r="F26" s="39"/>
      <c r="G26" s="39"/>
      <c r="H26" s="39"/>
      <c r="I26" s="39"/>
      <c r="J26" s="39"/>
      <c r="K26" s="71">
        <v>17</v>
      </c>
    </row>
    <row r="27" spans="2:11" s="39" customFormat="1" ht="15" x14ac:dyDescent="0.25">
      <c r="B27" s="45"/>
      <c r="C27" s="16" t="s">
        <v>22</v>
      </c>
      <c r="K27" s="71">
        <v>18</v>
      </c>
    </row>
    <row r="28" spans="2:11" s="15" customFormat="1" ht="15" x14ac:dyDescent="0.25">
      <c r="B28" s="45"/>
      <c r="C28" s="16" t="s">
        <v>23</v>
      </c>
      <c r="D28" s="39"/>
      <c r="E28" s="39"/>
      <c r="F28" s="39"/>
      <c r="G28" s="39"/>
      <c r="H28" s="39"/>
      <c r="I28" s="39"/>
      <c r="J28" s="39"/>
      <c r="K28" s="71">
        <v>19</v>
      </c>
    </row>
    <row r="29" spans="2:11" s="15" customFormat="1" ht="15" x14ac:dyDescent="0.25">
      <c r="B29" s="45"/>
      <c r="C29" s="46" t="s">
        <v>24</v>
      </c>
      <c r="D29" s="39"/>
      <c r="E29" s="39"/>
      <c r="F29" s="39"/>
      <c r="G29" s="39"/>
      <c r="H29" s="39"/>
      <c r="I29" s="39"/>
      <c r="J29" s="39"/>
      <c r="K29" s="39"/>
    </row>
    <row r="30" spans="2:11" s="15" customFormat="1" ht="15" x14ac:dyDescent="0.25">
      <c r="B30" s="45"/>
      <c r="C30" s="16" t="s">
        <v>25</v>
      </c>
      <c r="D30" s="39"/>
      <c r="E30" s="39"/>
      <c r="F30" s="39"/>
      <c r="G30" s="39"/>
      <c r="H30" s="39"/>
      <c r="I30" s="39"/>
      <c r="J30" s="39"/>
      <c r="K30" s="71">
        <v>20</v>
      </c>
    </row>
    <row r="31" spans="2:11" s="15" customFormat="1" ht="15" x14ac:dyDescent="0.25">
      <c r="B31" s="45"/>
      <c r="C31" s="16" t="s">
        <v>26</v>
      </c>
      <c r="D31" s="39"/>
      <c r="E31" s="39"/>
      <c r="F31" s="39"/>
      <c r="G31" s="39"/>
      <c r="H31" s="39"/>
      <c r="I31" s="39"/>
      <c r="J31" s="39"/>
      <c r="K31" s="71">
        <v>21</v>
      </c>
    </row>
    <row r="32" spans="2:11" s="15" customFormat="1" ht="15" x14ac:dyDescent="0.25">
      <c r="B32" s="45"/>
      <c r="C32" s="16" t="s">
        <v>27</v>
      </c>
      <c r="D32" s="39"/>
      <c r="E32" s="39"/>
      <c r="F32" s="39"/>
      <c r="G32" s="39"/>
      <c r="H32" s="39"/>
      <c r="I32" s="39"/>
      <c r="J32" s="39"/>
      <c r="K32" s="71">
        <v>22</v>
      </c>
    </row>
    <row r="33" spans="1:11" s="15" customFormat="1" ht="15" x14ac:dyDescent="0.25">
      <c r="A33" s="39"/>
      <c r="B33" s="45"/>
      <c r="C33" s="16" t="s">
        <v>28</v>
      </c>
      <c r="D33" s="39"/>
      <c r="E33" s="39"/>
      <c r="F33" s="39"/>
      <c r="G33" s="39"/>
      <c r="H33" s="39"/>
      <c r="I33" s="39"/>
      <c r="J33" s="39"/>
      <c r="K33" s="71">
        <v>23</v>
      </c>
    </row>
    <row r="34" spans="1:11" s="15" customFormat="1" ht="15" x14ac:dyDescent="0.25">
      <c r="A34" s="39"/>
      <c r="B34" s="45"/>
      <c r="C34" s="16" t="s">
        <v>29</v>
      </c>
      <c r="D34" s="39"/>
      <c r="E34" s="39"/>
      <c r="F34" s="39"/>
      <c r="G34" s="39"/>
      <c r="H34" s="39"/>
      <c r="I34" s="39"/>
      <c r="J34" s="39"/>
      <c r="K34" s="71">
        <v>24</v>
      </c>
    </row>
    <row r="35" spans="1:11" s="15" customFormat="1" ht="15" x14ac:dyDescent="0.25">
      <c r="A35" s="39"/>
      <c r="B35" s="45"/>
      <c r="C35" s="39"/>
      <c r="D35" s="39"/>
      <c r="E35" s="39"/>
      <c r="F35" s="39"/>
      <c r="G35" s="39"/>
      <c r="H35" s="39"/>
      <c r="I35" s="39"/>
      <c r="J35" s="39"/>
      <c r="K35" s="39"/>
    </row>
    <row r="36" spans="1:11" s="15" customFormat="1" ht="14.25" x14ac:dyDescent="0.2">
      <c r="A36" s="39"/>
      <c r="B36" s="728" t="s">
        <v>30</v>
      </c>
      <c r="C36" s="728"/>
      <c r="D36" s="728"/>
      <c r="E36" s="728"/>
      <c r="F36" s="728"/>
      <c r="G36" s="728"/>
      <c r="H36" s="728"/>
      <c r="I36" s="728"/>
      <c r="J36" s="728"/>
      <c r="K36" s="71">
        <v>25</v>
      </c>
    </row>
    <row r="37" spans="1:11" s="15" customFormat="1" ht="15" x14ac:dyDescent="0.2">
      <c r="A37" s="17"/>
      <c r="B37" s="728" t="s">
        <v>31</v>
      </c>
      <c r="C37" s="728"/>
      <c r="D37" s="728"/>
      <c r="E37" s="728"/>
      <c r="F37" s="728"/>
      <c r="G37" s="728"/>
      <c r="H37" s="728"/>
      <c r="I37" s="728"/>
      <c r="J37" s="728"/>
      <c r="K37" s="71">
        <v>26</v>
      </c>
    </row>
    <row r="38" spans="1:11" s="15" customFormat="1" ht="14.25" x14ac:dyDescent="0.2">
      <c r="A38" s="39"/>
      <c r="B38" s="728" t="s">
        <v>32</v>
      </c>
      <c r="C38" s="728"/>
      <c r="D38" s="728"/>
      <c r="E38" s="728"/>
      <c r="F38" s="728"/>
      <c r="G38" s="728"/>
      <c r="H38" s="728"/>
      <c r="I38" s="728"/>
      <c r="J38" s="728"/>
      <c r="K38" s="71">
        <v>27</v>
      </c>
    </row>
    <row r="39" spans="1:11" s="15" customFormat="1" ht="14.25" x14ac:dyDescent="0.2">
      <c r="A39" s="39"/>
      <c r="B39" s="728" t="s">
        <v>33</v>
      </c>
      <c r="C39" s="728"/>
      <c r="D39" s="728"/>
      <c r="E39" s="728"/>
      <c r="F39" s="728"/>
      <c r="G39" s="728"/>
      <c r="H39" s="728"/>
      <c r="I39" s="728"/>
      <c r="J39" s="728"/>
      <c r="K39" s="71">
        <v>28</v>
      </c>
    </row>
    <row r="40" spans="1:11" s="15" customFormat="1" ht="14.25" x14ac:dyDescent="0.2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</row>
    <row r="41" spans="1:11" s="15" customFormat="1" ht="14.25" x14ac:dyDescent="0.2">
      <c r="A41" s="39"/>
      <c r="B41" s="47"/>
      <c r="C41" s="39"/>
      <c r="D41" s="39"/>
      <c r="E41" s="39"/>
      <c r="F41" s="39"/>
      <c r="G41" s="39"/>
      <c r="H41" s="39"/>
      <c r="I41" s="39"/>
      <c r="J41" s="39"/>
      <c r="K41" s="39"/>
    </row>
    <row r="42" spans="1:11" s="15" customFormat="1" ht="14.25" x14ac:dyDescent="0.2">
      <c r="A42" s="39"/>
      <c r="B42" s="47"/>
      <c r="C42" s="39"/>
      <c r="D42" s="39"/>
      <c r="E42" s="39"/>
      <c r="F42" s="39"/>
      <c r="G42" s="39"/>
      <c r="H42" s="39"/>
      <c r="I42" s="39"/>
      <c r="J42" s="39"/>
      <c r="K42" s="39"/>
    </row>
    <row r="43" spans="1:11" s="15" customFormat="1" ht="14.25" x14ac:dyDescent="0.2">
      <c r="A43" s="39"/>
      <c r="B43" s="47"/>
      <c r="C43" s="39"/>
      <c r="D43" s="39"/>
      <c r="E43" s="39"/>
      <c r="F43" s="39"/>
      <c r="G43" s="39"/>
      <c r="H43" s="39"/>
      <c r="I43" s="39"/>
      <c r="J43" s="39"/>
      <c r="K43" s="39"/>
    </row>
    <row r="44" spans="1:11" s="15" customFormat="1" ht="14.25" x14ac:dyDescent="0.2">
      <c r="A44" s="39"/>
      <c r="B44" s="47"/>
      <c r="C44" s="39"/>
      <c r="D44" s="39"/>
      <c r="E44" s="39"/>
      <c r="F44" s="39"/>
      <c r="G44" s="39"/>
      <c r="H44" s="39"/>
      <c r="I44" s="39"/>
      <c r="J44" s="39"/>
      <c r="K44" s="39"/>
    </row>
    <row r="45" spans="1:11" s="15" customFormat="1" ht="14.25" x14ac:dyDescent="0.2">
      <c r="A45" s="39"/>
      <c r="B45" s="47"/>
      <c r="C45" s="39"/>
      <c r="D45" s="39"/>
      <c r="E45" s="39"/>
      <c r="F45" s="39"/>
      <c r="G45" s="39"/>
      <c r="H45" s="39"/>
      <c r="I45" s="39"/>
      <c r="J45" s="39"/>
      <c r="K45" s="39"/>
    </row>
    <row r="46" spans="1:11" s="15" customFormat="1" ht="14.25" x14ac:dyDescent="0.2">
      <c r="A46" s="39"/>
      <c r="B46" s="47"/>
      <c r="C46" s="39"/>
      <c r="D46" s="39"/>
      <c r="E46" s="39"/>
      <c r="F46" s="39"/>
      <c r="G46" s="39"/>
      <c r="H46" s="39"/>
      <c r="I46" s="39"/>
      <c r="J46" s="39"/>
      <c r="K46" s="39"/>
    </row>
    <row r="47" spans="1:11" s="15" customFormat="1" ht="14.25" x14ac:dyDescent="0.2">
      <c r="A47" s="39"/>
      <c r="B47" s="47"/>
      <c r="C47" s="39"/>
      <c r="D47" s="39"/>
      <c r="E47" s="39"/>
      <c r="F47" s="39"/>
      <c r="G47" s="39"/>
      <c r="H47" s="39"/>
      <c r="I47" s="39"/>
      <c r="J47" s="39"/>
      <c r="K47" s="39"/>
    </row>
    <row r="48" spans="1:11" s="15" customFormat="1" ht="14.25" x14ac:dyDescent="0.2">
      <c r="A48" s="39"/>
      <c r="B48" s="47"/>
      <c r="C48" s="39"/>
      <c r="D48" s="39"/>
      <c r="E48" s="39"/>
      <c r="F48" s="39"/>
      <c r="G48" s="39"/>
      <c r="H48" s="39"/>
      <c r="I48" s="39"/>
      <c r="J48" s="39"/>
      <c r="K48" s="39"/>
    </row>
    <row r="49" spans="2:11" s="15" customFormat="1" ht="14.25" x14ac:dyDescent="0.2">
      <c r="B49" s="47"/>
      <c r="C49" s="39"/>
      <c r="D49" s="39"/>
      <c r="E49" s="39"/>
      <c r="F49" s="39"/>
      <c r="G49" s="39"/>
      <c r="H49" s="39"/>
      <c r="I49" s="39"/>
      <c r="J49" s="39"/>
      <c r="K49" s="39"/>
    </row>
    <row r="50" spans="2:11" s="15" customFormat="1" ht="14.25" x14ac:dyDescent="0.2">
      <c r="B50" s="47"/>
      <c r="C50" s="39"/>
      <c r="D50" s="39"/>
      <c r="E50" s="39"/>
      <c r="F50" s="39"/>
      <c r="G50" s="39"/>
      <c r="H50" s="39"/>
      <c r="I50" s="39"/>
      <c r="J50" s="39"/>
      <c r="K50" s="39"/>
    </row>
    <row r="51" spans="2:11" s="15" customFormat="1" ht="14.25" x14ac:dyDescent="0.2">
      <c r="B51" s="47"/>
      <c r="C51" s="39"/>
      <c r="D51" s="39"/>
      <c r="E51" s="39"/>
      <c r="F51" s="39"/>
      <c r="G51" s="39"/>
      <c r="H51" s="39"/>
      <c r="I51" s="39"/>
      <c r="J51" s="39"/>
      <c r="K51" s="39"/>
    </row>
    <row r="52" spans="2:11" s="15" customFormat="1" ht="14.25" x14ac:dyDescent="0.2">
      <c r="B52" s="47"/>
      <c r="C52" s="39"/>
      <c r="D52" s="39"/>
      <c r="E52" s="39"/>
      <c r="F52" s="39"/>
      <c r="G52" s="39"/>
      <c r="H52" s="39"/>
      <c r="I52" s="39"/>
      <c r="J52" s="39"/>
      <c r="K52" s="39"/>
    </row>
    <row r="53" spans="2:11" s="15" customFormat="1" ht="14.25" x14ac:dyDescent="0.2">
      <c r="B53" s="47"/>
      <c r="C53" s="39"/>
      <c r="D53" s="39"/>
      <c r="E53" s="39"/>
      <c r="F53" s="39"/>
      <c r="G53" s="39"/>
      <c r="H53" s="39"/>
      <c r="I53" s="39"/>
      <c r="J53" s="39"/>
      <c r="K53" s="39"/>
    </row>
    <row r="54" spans="2:11" s="15" customFormat="1" ht="14.25" x14ac:dyDescent="0.2">
      <c r="B54" s="47"/>
      <c r="C54" s="39"/>
      <c r="D54" s="39"/>
      <c r="E54" s="39"/>
      <c r="F54" s="39"/>
      <c r="G54" s="39"/>
      <c r="H54" s="39"/>
      <c r="I54" s="39"/>
      <c r="J54" s="39"/>
      <c r="K54" s="39"/>
    </row>
    <row r="55" spans="2:11" s="15" customFormat="1" ht="14.25" x14ac:dyDescent="0.2">
      <c r="B55" s="47"/>
      <c r="C55" s="39"/>
      <c r="D55" s="39"/>
      <c r="E55" s="39"/>
      <c r="F55" s="39"/>
      <c r="G55" s="39"/>
      <c r="H55" s="39"/>
      <c r="I55" s="39"/>
      <c r="J55" s="39"/>
      <c r="K55" s="39"/>
    </row>
    <row r="56" spans="2:11" s="15" customFormat="1" ht="14.25" x14ac:dyDescent="0.2">
      <c r="B56" s="47"/>
      <c r="C56" s="39"/>
      <c r="D56" s="39"/>
      <c r="E56" s="39"/>
      <c r="F56" s="39"/>
      <c r="G56" s="39"/>
      <c r="H56" s="39"/>
      <c r="I56" s="39"/>
      <c r="J56" s="39"/>
      <c r="K56" s="39"/>
    </row>
    <row r="57" spans="2:11" s="15" customFormat="1" ht="14.25" x14ac:dyDescent="0.2">
      <c r="B57" s="47"/>
      <c r="C57" s="39"/>
      <c r="D57" s="39"/>
      <c r="E57" s="39"/>
      <c r="F57" s="39"/>
      <c r="G57" s="39"/>
      <c r="H57" s="39"/>
      <c r="I57" s="39"/>
      <c r="J57" s="39"/>
      <c r="K57" s="39"/>
    </row>
    <row r="58" spans="2:11" s="15" customFormat="1" ht="14.25" x14ac:dyDescent="0.2">
      <c r="B58" s="47"/>
      <c r="C58" s="39"/>
      <c r="D58" s="39"/>
      <c r="E58" s="39"/>
      <c r="F58" s="39"/>
      <c r="G58" s="39"/>
      <c r="H58" s="39"/>
      <c r="I58" s="39"/>
      <c r="J58" s="39"/>
      <c r="K58" s="39"/>
    </row>
    <row r="59" spans="2:11" s="15" customFormat="1" ht="14.25" x14ac:dyDescent="0.2">
      <c r="B59" s="47"/>
      <c r="C59" s="39"/>
      <c r="D59" s="39"/>
      <c r="E59" s="39"/>
      <c r="F59" s="39"/>
      <c r="G59" s="39"/>
      <c r="H59" s="39"/>
      <c r="I59" s="39"/>
      <c r="J59" s="39"/>
      <c r="K59" s="39"/>
    </row>
  </sheetData>
  <mergeCells count="6">
    <mergeCell ref="B38:J38"/>
    <mergeCell ref="B39:J39"/>
    <mergeCell ref="B5:J5"/>
    <mergeCell ref="B6:J6"/>
    <mergeCell ref="B36:J36"/>
    <mergeCell ref="B37:J37"/>
  </mergeCells>
  <phoneticPr fontId="2" type="noConversion"/>
  <hyperlinks>
    <hyperlink ref="B5" location="'1.Highlights'!A1" display="Performance highlights" xr:uid="{D3D511A6-87FA-4F3F-B508-C5574392EAB7}"/>
    <hyperlink ref="K5" location="'1.Highlights'!A1" display="'1.Highlights'!A1" xr:uid="{FB0B4AAF-B29C-49D8-9687-FF391CA3BBCB}"/>
    <hyperlink ref="B6:J6" location="'2.PerShare'!A1" display="Ordinary share data" xr:uid="{0C3D8AA2-E9CF-4108-9C29-EB6F07A5C799}"/>
    <hyperlink ref="K6" location="'2.PerShare'!A1" display="'2.PerShare'!A1" xr:uid="{62BC3F19-DEAF-408F-AE90-406E0DB9236C}"/>
    <hyperlink ref="C9" location="'3.NetInterest'!A1" display="Net interest income, average balances and rates" xr:uid="{A1905B01-C3D9-4A4A-9965-6FE12B77BF25}"/>
    <hyperlink ref="C10" location="'4.NonInterest'!A1" display="Non-interest income" xr:uid="{6303209D-FBC5-41C4-9CAD-6856309B15C6}"/>
    <hyperlink ref="C11" location="'5.Expenses'!A1" display="Expenses" xr:uid="{DA36104A-084E-41D2-9348-BA07583B1A4F}"/>
    <hyperlink ref="C12" location="'6.Allowances'!A1" display="Allowances for credit and other losses" xr:uid="{E6CED430-7ACE-4CEC-B343-8DBEC8FE66FB}"/>
    <hyperlink ref="C13" location="'7.Loans'!A1" display="Customer Loans" xr:uid="{1BB953B6-572C-4A9A-99F6-92A9FB85998C}"/>
    <hyperlink ref="C14" location="'8.FVOCI'!A1" display="Assets at fair value through other comprehensive income (FVOCI)" xr:uid="{32A6EF98-574E-4CCB-92BA-2185A8862E59}"/>
    <hyperlink ref="C15" location="'9.Deposits'!A1" display="Customer Deposits" xr:uid="{45799732-9417-43E5-AEB0-D7F156EA171D}"/>
    <hyperlink ref="C17" location="'11.NPL,Coverage ratios'!Print_Area" display="Non-performing loan and coverage ratios" xr:uid="{6B87535D-0140-48B8-8CE3-0C69BD3B5B90}"/>
    <hyperlink ref="C20" location="'14.Capital'!A1" display="Capital adequacy" xr:uid="{17C2A872-C8C6-4740-BEC6-CC1E52FB77C5}"/>
    <hyperlink ref="K9" location="'3.NetInterest'!A1" display="'3.NetInterest'!A1" xr:uid="{C0F2EE4E-DF57-4713-A223-3F3BB0ED551A}"/>
    <hyperlink ref="K10" location="'4.NonInterest'!A1" display="'4.NonInterest'!A1" xr:uid="{4F419597-76E1-46D1-9C3E-C14A4A4FC4BF}"/>
    <hyperlink ref="K11" location="'5.Expenses'!A1" display="'5.Expenses'!A1" xr:uid="{78AAC4E0-F131-4213-9DBB-7AE4A026F27F}"/>
    <hyperlink ref="K12" location="'6.Allowances'!A1" display="'6.Allowances'!A1" xr:uid="{9C3E4702-239D-402E-A822-9378D253DDE9}"/>
    <hyperlink ref="K13" location="'7.Loans'!A1" display="'7.Loans'!A1" xr:uid="{581F5B6B-8A07-447B-ABBA-417852068963}"/>
    <hyperlink ref="K14" location="'8.FVOCI'!A1" display="'8.FVOCI'!A1" xr:uid="{3F4A038E-A39F-4FFA-AB63-ECEFBF7E5882}"/>
    <hyperlink ref="K15" location="'9.Deposits'!A1" display="'9.Deposits'!A1" xr:uid="{57D30130-26B1-4E5A-9D93-A7E47F7E8DC2}"/>
    <hyperlink ref="K17" location="'11.NPL,Coverage ratios'!A1" display="'11.NPL,Coverage ratios'!A1" xr:uid="{0100EE4B-DFED-4913-A24E-0F8413F765A9}"/>
    <hyperlink ref="K20" location="'14.Capital'!A1" display="'14.Capital'!A1" xr:uid="{F2FDC6D4-02D0-4912-BE99-89E789E6A57F}"/>
    <hyperlink ref="C23" location="'15.Mix'!Print_Area" display="Business and geographical mix" xr:uid="{EB71734E-00A2-418E-BBE2-05B50A22780A}"/>
    <hyperlink ref="K23" location="'15.Mix'!A1" display="'15.Mix'!A1" xr:uid="{237B60B6-4E04-45D1-B44D-23BD1A5D7C74}"/>
    <hyperlink ref="C18" location="'12.NPA'!Print_Area" display="Non-performing assets" xr:uid="{CD7488FA-8AC2-4641-8D4F-82769B1F34BB}"/>
    <hyperlink ref="K18" location="'12.NPA'!A1" display="'12.NPA'!A1" xr:uid="{AC5F546A-6908-4DA0-B637-AC7EE468C701}"/>
    <hyperlink ref="C19" location="'13.CumulativeAllowances'!Print_Area" display="Cumulative loss allowances" xr:uid="{757BDAC4-0598-43E7-9A8D-6B78F652E80F}"/>
    <hyperlink ref="K19" location="'13.CumulativeAllowances'!A1" display="'13.CumulativeAllowances'!A1" xr:uid="{66932676-952C-46BE-988B-602550E23391}"/>
    <hyperlink ref="C25" location="'16.Consumer'!Print_Area" display="Consumer Banking/ Wealth Management" xr:uid="{95E1C6EB-A4FF-483F-A3A6-1CD24C6EC3B6}"/>
    <hyperlink ref="K25" location="'16.Consumer'!A1" display="'16.Consumer'!A1" xr:uid="{5371C4E8-12CA-465C-BED1-505A768C4C58}"/>
    <hyperlink ref="C26" location="'17.Institutional'!Print_Area" display="Institutional Banking" xr:uid="{E0C51B11-D584-494F-9BA3-1456DAD6822F}"/>
    <hyperlink ref="K26" location="'17.Institutional'!A1" display="'17.Institutional'!A1" xr:uid="{D3760080-D767-430A-A86D-6D8B7B4E3C97}"/>
    <hyperlink ref="C27" location="'18.Markets'!Print_Area" display="Markets Trading" xr:uid="{91BB2D11-3D0A-4722-BC5B-0215A9129741}"/>
    <hyperlink ref="K27" location="'18.Markets'!A1" display="'18.Markets'!A1" xr:uid="{C190D2D0-3EA8-4323-900E-00F92FC64100}"/>
    <hyperlink ref="C28" location="'19.Others'!Print_Area" display="Others" xr:uid="{90E74D10-F994-4B97-9E75-3C511942C0CB}"/>
    <hyperlink ref="K28" location="'19.Others'!A1" display="'19.Others'!A1" xr:uid="{266D887C-ED8F-4E16-88E4-D4523D5C775B}"/>
    <hyperlink ref="C30" location="'20.S''pore'!Print_Area" display="Singapore" xr:uid="{18E4A148-A485-40B6-97B2-0E3B2AB769CF}"/>
    <hyperlink ref="C31" location="'21.HK'!Print_Area" display="Hong Kong" xr:uid="{1B43F956-CAC6-44B1-BBFF-F68BA7476498}"/>
    <hyperlink ref="C32" location="'22.GreaterChina'!Print_Area" display="Rest of Greater China" xr:uid="{CC3B399D-B426-4FD3-989B-63A714A8CD2A}"/>
    <hyperlink ref="C33" location="'23.SSEA'!Print_Area" display="South and South-East Asia" xr:uid="{74A94829-B08A-403D-8F2B-36A6C3E4CE34}"/>
    <hyperlink ref="C34" location="'24.ROW'!Print_Area" display="Rest of World" xr:uid="{0BEE9017-C1AF-462D-A61C-F1F67E0F4FF5}"/>
    <hyperlink ref="K30" location="'20.S''pore'!A1" display="'20.S''pore'!A1" xr:uid="{79D1EF96-2495-43B7-9B7E-39DA456F91ED}"/>
    <hyperlink ref="K31" location="'21.HK'!A1" display="'21.HK'!A1" xr:uid="{635F6C02-0895-4CA0-9D0B-024EA95979C5}"/>
    <hyperlink ref="K32" location="'22.GreaterChina'!A1" display="'22.GreaterChina'!A1" xr:uid="{4DD01ED4-CE5F-4CE4-B4B2-57EED23042FE}"/>
    <hyperlink ref="K33" location="'23.SSEA'!A1" display="'23.SSEA'!A1" xr:uid="{C46A7904-6346-41DA-89BF-F6E3E2B4999F}"/>
    <hyperlink ref="K34" location="'24.ROW'!A1" display="'24.ROW'!A1" xr:uid="{986AC95A-9DA3-4DE9-968E-9F1932CBC90F}"/>
    <hyperlink ref="B37" location="'25.BalSheet (new)'!Print_Area" display="Consolidated balance sheet (new presentation)" xr:uid="{93DF0F00-F4D6-431D-AE64-9FF677E1A9D8}"/>
    <hyperlink ref="B38" location="'27.CashFlow'!A1" display="Unaudited consolidated cash flow statement" xr:uid="{BFA3B15F-202B-4045-B549-8D86EDC608C7}"/>
    <hyperlink ref="K36" location="'25.P&amp;L and OCI'!A1" display="'25.P&amp;L and OCI'!A1" xr:uid="{3D1E6037-50E7-4B17-BAEF-28BD637C321F}"/>
    <hyperlink ref="K37" location="'26.BalSheet'!A1" display="'26.BalSheet'!A1" xr:uid="{D4434FD1-ABAE-4746-8789-8BEF9123E06D}"/>
    <hyperlink ref="K38" location="'27.CashFlow'!A1" display="'27.CashFlow'!A1" xr:uid="{4D249A86-5056-4B15-B077-42BF22AE24AD}"/>
    <hyperlink ref="K39" location="'28.Legend'!A1" display="'28.Legend'!A1" xr:uid="{9BD6041D-51AF-4DD1-84F1-6955EFA296ED}"/>
    <hyperlink ref="B37:J37" location="'26.BalSheet'!Print_Area" display="Consolidated balance sheets" xr:uid="{F81EE907-F66B-4C2A-88D4-DC2EDBF7F7E4}"/>
    <hyperlink ref="B38:J38" location="'27.CashFlow'!Print_Area" display="Consolidated cash flow statement" xr:uid="{BB8B8252-2E40-4A31-B657-EA9C534ABFE0}"/>
    <hyperlink ref="C16" location="'10. Debts issued'!A1" display="Debts issued" xr:uid="{9E0D0D38-7245-4868-A351-DFE4D61E8B97}"/>
    <hyperlink ref="B39:J39" location="'28.Legend'!A1" display="Legend of terms used" xr:uid="{691E72C7-CD1B-4361-AE68-B2806E96D730}"/>
    <hyperlink ref="K16" location="'10. Debts issued'!A1" display="'10. Debts issued'!A1" xr:uid="{38876FCA-5F78-43E9-99A0-E9490D2DE503}"/>
    <hyperlink ref="B36" location="'25.P&amp;L'!A1" display="Unaudited consolidated income statement" xr:uid="{CC00CA34-F80A-4C18-8359-39F4D705F9AD}"/>
    <hyperlink ref="B36:J36" location="'25.P&amp;L and OCI'!A1" display="Consolidated income statement and statement of comprehensive income" xr:uid="{8F91F77C-21F4-41CE-B83F-FE058D8BA33F}"/>
  </hyperlinks>
  <pageMargins left="0.74803149606299213" right="0.74803149606299213" top="0.6692913385826772" bottom="0.98425196850393704" header="0.51181102362204722" footer="0.51181102362204722"/>
  <pageSetup scale="8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0242-243C-4AC3-A774-979835E04853}">
  <sheetPr>
    <tabColor indexed="43"/>
    <pageSetUpPr fitToPage="1"/>
  </sheetPr>
  <dimension ref="A1:W74"/>
  <sheetViews>
    <sheetView showGridLines="0" tabSelected="1" zoomScale="85" zoomScaleNormal="85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2.42578125" style="290" customWidth="1"/>
    <col min="2" max="2" width="51.42578125" style="700" customWidth="1"/>
    <col min="3" max="3" width="1.42578125" style="700" customWidth="1"/>
    <col min="4" max="11" width="9.5703125" style="701" customWidth="1"/>
    <col min="12" max="12" width="2.85546875" style="701" customWidth="1"/>
    <col min="13" max="14" width="9.5703125" style="701" customWidth="1"/>
    <col min="15" max="17" width="9.5703125" style="290" customWidth="1"/>
    <col min="18" max="18" width="2.85546875" style="290" customWidth="1"/>
    <col min="19" max="16384" width="9.42578125" style="290"/>
  </cols>
  <sheetData>
    <row r="1" spans="1:18" s="670" customFormat="1" ht="20.25" x14ac:dyDescent="0.3">
      <c r="A1" s="3" t="s">
        <v>2</v>
      </c>
      <c r="B1" s="4"/>
      <c r="C1" s="4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4"/>
      <c r="P1" s="4"/>
      <c r="Q1" s="4"/>
      <c r="R1" s="4"/>
    </row>
    <row r="2" spans="1:18" s="671" customFormat="1" ht="50.25" customHeight="1" x14ac:dyDescent="0.25">
      <c r="A2" s="729" t="s">
        <v>34</v>
      </c>
      <c r="B2" s="729"/>
      <c r="C2" s="729"/>
      <c r="D2" s="284" t="s">
        <v>35</v>
      </c>
      <c r="E2" s="284" t="s">
        <v>36</v>
      </c>
      <c r="F2" s="284" t="s">
        <v>437</v>
      </c>
      <c r="G2" s="284" t="s">
        <v>438</v>
      </c>
      <c r="H2" s="284" t="s">
        <v>445</v>
      </c>
      <c r="I2" s="284" t="s">
        <v>446</v>
      </c>
      <c r="J2" s="284" t="s">
        <v>447</v>
      </c>
      <c r="K2" s="284" t="s">
        <v>448</v>
      </c>
      <c r="L2" s="284"/>
      <c r="M2" s="284" t="s">
        <v>449</v>
      </c>
      <c r="N2" s="284" t="s">
        <v>450</v>
      </c>
      <c r="O2" s="284" t="s">
        <v>37</v>
      </c>
      <c r="P2" s="284" t="s">
        <v>451</v>
      </c>
      <c r="Q2" s="284" t="s">
        <v>452</v>
      </c>
      <c r="R2" s="285"/>
    </row>
    <row r="3" spans="1:18" ht="6.75" customHeight="1" x14ac:dyDescent="0.2">
      <c r="A3" s="286"/>
      <c r="B3" s="287"/>
      <c r="C3" s="288"/>
      <c r="D3" s="8"/>
      <c r="E3" s="8"/>
      <c r="F3" s="8"/>
      <c r="G3" s="8"/>
      <c r="H3" s="8"/>
      <c r="I3" s="97"/>
      <c r="J3" s="8"/>
      <c r="K3" s="8"/>
      <c r="L3" s="8"/>
      <c r="M3" s="98"/>
      <c r="N3" s="8"/>
      <c r="O3" s="286"/>
      <c r="P3" s="286"/>
      <c r="Q3" s="286"/>
      <c r="R3" s="286"/>
    </row>
    <row r="4" spans="1:18" ht="15" x14ac:dyDescent="0.25">
      <c r="A4" s="291" t="s">
        <v>38</v>
      </c>
      <c r="B4" s="286"/>
      <c r="C4" s="286"/>
      <c r="D4" s="292"/>
      <c r="E4" s="292"/>
      <c r="F4" s="292"/>
      <c r="G4" s="292"/>
      <c r="H4" s="292"/>
      <c r="I4" s="702"/>
      <c r="J4" s="293"/>
      <c r="K4" s="293"/>
      <c r="L4" s="8"/>
      <c r="M4" s="99"/>
      <c r="N4" s="292"/>
      <c r="O4" s="286"/>
      <c r="P4" s="286"/>
      <c r="Q4" s="286"/>
      <c r="R4" s="286"/>
    </row>
    <row r="5" spans="1:18" ht="15" x14ac:dyDescent="0.25">
      <c r="A5" s="291"/>
      <c r="B5" s="294" t="s">
        <v>39</v>
      </c>
      <c r="C5" s="286"/>
      <c r="D5" s="295">
        <v>5542</v>
      </c>
      <c r="E5" s="295">
        <v>5314</v>
      </c>
      <c r="F5" s="295">
        <v>5493</v>
      </c>
      <c r="G5" s="295">
        <v>5177</v>
      </c>
      <c r="H5" s="295">
        <v>5559</v>
      </c>
      <c r="I5" s="100">
        <v>5624</v>
      </c>
      <c r="J5" s="296">
        <v>1.1692750494693316</v>
      </c>
      <c r="K5" s="296">
        <v>5.8336469702672256</v>
      </c>
      <c r="L5" s="8"/>
      <c r="M5" s="101">
        <v>11183</v>
      </c>
      <c r="N5" s="295">
        <v>10670</v>
      </c>
      <c r="O5" s="295">
        <v>10856</v>
      </c>
      <c r="P5" s="296">
        <v>3.0121591746499643</v>
      </c>
      <c r="Q5" s="296">
        <v>4.8078725398313038</v>
      </c>
      <c r="R5" s="286"/>
    </row>
    <row r="6" spans="1:18" s="673" customFormat="1" x14ac:dyDescent="0.2">
      <c r="A6" s="298"/>
      <c r="B6" s="672" t="s">
        <v>40</v>
      </c>
      <c r="C6" s="288"/>
      <c r="D6" s="129">
        <v>3719</v>
      </c>
      <c r="E6" s="129">
        <v>3625</v>
      </c>
      <c r="F6" s="129">
        <v>3558</v>
      </c>
      <c r="G6" s="129">
        <v>3592</v>
      </c>
      <c r="H6" s="129">
        <v>3475</v>
      </c>
      <c r="I6" s="102">
        <v>3483</v>
      </c>
      <c r="J6" s="299">
        <v>0.23021582733813162</v>
      </c>
      <c r="K6" s="300">
        <v>-3.9172413793103433</v>
      </c>
      <c r="L6" s="204"/>
      <c r="M6" s="103">
        <v>6958</v>
      </c>
      <c r="N6" s="129">
        <v>7150</v>
      </c>
      <c r="O6" s="129">
        <v>7344</v>
      </c>
      <c r="P6" s="299">
        <v>-5.2559912854030504</v>
      </c>
      <c r="Q6" s="300">
        <v>-2.6853146853146881</v>
      </c>
      <c r="R6" s="298"/>
    </row>
    <row r="7" spans="1:18" s="673" customFormat="1" x14ac:dyDescent="0.2">
      <c r="A7" s="298"/>
      <c r="B7" s="672" t="s">
        <v>41</v>
      </c>
      <c r="C7" s="288"/>
      <c r="D7" s="130">
        <v>1275</v>
      </c>
      <c r="E7" s="130">
        <v>1167</v>
      </c>
      <c r="F7" s="130">
        <v>1357</v>
      </c>
      <c r="G7" s="130">
        <v>1099</v>
      </c>
      <c r="H7" s="130">
        <v>1482</v>
      </c>
      <c r="I7" s="104">
        <v>1460</v>
      </c>
      <c r="J7" s="296">
        <v>-1.4844804318488558</v>
      </c>
      <c r="K7" s="301">
        <v>25.107112253641816</v>
      </c>
      <c r="L7" s="302"/>
      <c r="M7" s="105">
        <v>2942</v>
      </c>
      <c r="N7" s="130">
        <v>2456</v>
      </c>
      <c r="O7" s="130">
        <v>2442</v>
      </c>
      <c r="P7" s="296">
        <v>20.475020475020479</v>
      </c>
      <c r="Q7" s="301">
        <v>19.788273615635177</v>
      </c>
      <c r="R7" s="298"/>
    </row>
    <row r="8" spans="1:18" s="673" customFormat="1" x14ac:dyDescent="0.2">
      <c r="A8" s="298"/>
      <c r="B8" s="672" t="s">
        <v>42</v>
      </c>
      <c r="C8" s="303"/>
      <c r="D8" s="131">
        <v>548</v>
      </c>
      <c r="E8" s="131">
        <v>522</v>
      </c>
      <c r="F8" s="131">
        <v>578</v>
      </c>
      <c r="G8" s="131">
        <v>486</v>
      </c>
      <c r="H8" s="131">
        <v>602</v>
      </c>
      <c r="I8" s="106">
        <v>681</v>
      </c>
      <c r="J8" s="304">
        <v>13.122923588039859</v>
      </c>
      <c r="K8" s="305">
        <v>30.459770114942518</v>
      </c>
      <c r="L8" s="302"/>
      <c r="M8" s="107">
        <v>1283</v>
      </c>
      <c r="N8" s="131">
        <v>1064</v>
      </c>
      <c r="O8" s="131">
        <v>1070</v>
      </c>
      <c r="P8" s="304">
        <v>19.906542056074763</v>
      </c>
      <c r="Q8" s="305">
        <v>20.582706766917291</v>
      </c>
      <c r="R8" s="298"/>
    </row>
    <row r="9" spans="1:18" s="673" customFormat="1" ht="15" x14ac:dyDescent="0.25">
      <c r="A9" s="298"/>
      <c r="B9" s="306" t="s">
        <v>43</v>
      </c>
      <c r="C9" s="303"/>
      <c r="D9" s="132">
        <v>363</v>
      </c>
      <c r="E9" s="132">
        <v>418</v>
      </c>
      <c r="F9" s="132">
        <v>439</v>
      </c>
      <c r="G9" s="132">
        <v>154</v>
      </c>
      <c r="H9" s="132">
        <v>389</v>
      </c>
      <c r="I9" s="100">
        <v>469</v>
      </c>
      <c r="J9" s="296">
        <v>20.565552699228796</v>
      </c>
      <c r="K9" s="296">
        <v>12.200956937799035</v>
      </c>
      <c r="L9" s="302"/>
      <c r="M9" s="108">
        <v>858</v>
      </c>
      <c r="N9" s="138">
        <v>593</v>
      </c>
      <c r="O9" s="132">
        <v>781</v>
      </c>
      <c r="P9" s="674">
        <v>9.8591549295774747</v>
      </c>
      <c r="Q9" s="674">
        <v>44.68802698145025</v>
      </c>
      <c r="R9" s="298"/>
    </row>
    <row r="10" spans="1:18" s="673" customFormat="1" x14ac:dyDescent="0.2">
      <c r="A10" s="298"/>
      <c r="B10" s="672" t="s">
        <v>40</v>
      </c>
      <c r="C10" s="303"/>
      <c r="D10" s="129">
        <v>-38</v>
      </c>
      <c r="E10" s="129">
        <v>23</v>
      </c>
      <c r="F10" s="129">
        <v>20</v>
      </c>
      <c r="G10" s="129">
        <v>1</v>
      </c>
      <c r="H10" s="129">
        <v>19</v>
      </c>
      <c r="I10" s="102">
        <v>98</v>
      </c>
      <c r="J10" s="299" t="s">
        <v>494</v>
      </c>
      <c r="K10" s="300" t="s">
        <v>494</v>
      </c>
      <c r="L10" s="302"/>
      <c r="M10" s="103">
        <v>117</v>
      </c>
      <c r="N10" s="129">
        <v>21</v>
      </c>
      <c r="O10" s="129">
        <v>-15</v>
      </c>
      <c r="P10" s="299" t="s">
        <v>151</v>
      </c>
      <c r="Q10" s="300" t="s">
        <v>494</v>
      </c>
      <c r="R10" s="298"/>
    </row>
    <row r="11" spans="1:18" s="673" customFormat="1" x14ac:dyDescent="0.2">
      <c r="A11" s="298"/>
      <c r="B11" s="672" t="s">
        <v>6</v>
      </c>
      <c r="C11" s="303"/>
      <c r="D11" s="131">
        <v>401</v>
      </c>
      <c r="E11" s="131">
        <v>395</v>
      </c>
      <c r="F11" s="131">
        <v>419</v>
      </c>
      <c r="G11" s="131">
        <v>153</v>
      </c>
      <c r="H11" s="131">
        <v>370</v>
      </c>
      <c r="I11" s="106">
        <v>371</v>
      </c>
      <c r="J11" s="304">
        <v>0.27027027027026751</v>
      </c>
      <c r="K11" s="305">
        <v>-6.0759493670886062</v>
      </c>
      <c r="L11" s="302"/>
      <c r="M11" s="107">
        <v>741</v>
      </c>
      <c r="N11" s="131">
        <v>572</v>
      </c>
      <c r="O11" s="131">
        <v>796</v>
      </c>
      <c r="P11" s="304">
        <v>-6.9095477386934672</v>
      </c>
      <c r="Q11" s="305">
        <v>29.54545454545454</v>
      </c>
      <c r="R11" s="298"/>
    </row>
    <row r="12" spans="1:18" s="673" customFormat="1" ht="15" x14ac:dyDescent="0.25">
      <c r="A12" s="298"/>
      <c r="B12" s="307" t="s">
        <v>44</v>
      </c>
      <c r="C12" s="288"/>
      <c r="D12" s="132">
        <v>5905</v>
      </c>
      <c r="E12" s="132">
        <v>5732</v>
      </c>
      <c r="F12" s="132">
        <v>5932</v>
      </c>
      <c r="G12" s="132">
        <v>5331</v>
      </c>
      <c r="H12" s="132">
        <v>5948</v>
      </c>
      <c r="I12" s="109">
        <v>6093</v>
      </c>
      <c r="J12" s="296">
        <v>2.4377942165433764</v>
      </c>
      <c r="K12" s="296">
        <v>6.2979762735519973</v>
      </c>
      <c r="L12" s="302"/>
      <c r="M12" s="110">
        <v>12041</v>
      </c>
      <c r="N12" s="132">
        <v>11263</v>
      </c>
      <c r="O12" s="132">
        <v>11637</v>
      </c>
      <c r="P12" s="296">
        <v>3.4716851422187833</v>
      </c>
      <c r="Q12" s="296">
        <v>6.9075734706561365</v>
      </c>
      <c r="R12" s="298"/>
    </row>
    <row r="13" spans="1:18" s="673" customFormat="1" ht="15" x14ac:dyDescent="0.25">
      <c r="A13" s="298"/>
      <c r="B13" s="675" t="s">
        <v>436</v>
      </c>
      <c r="C13" s="288"/>
      <c r="D13" s="132">
        <v>3681</v>
      </c>
      <c r="E13" s="132">
        <v>3648</v>
      </c>
      <c r="F13" s="132">
        <v>3578</v>
      </c>
      <c r="G13" s="132">
        <v>3593</v>
      </c>
      <c r="H13" s="132">
        <v>3494</v>
      </c>
      <c r="I13" s="109">
        <v>3581</v>
      </c>
      <c r="J13" s="296">
        <v>2.4899828277046288</v>
      </c>
      <c r="K13" s="296">
        <v>-1.8366228070175405</v>
      </c>
      <c r="L13" s="302"/>
      <c r="M13" s="110">
        <v>7075</v>
      </c>
      <c r="N13" s="132">
        <v>7171</v>
      </c>
      <c r="O13" s="132">
        <v>7329</v>
      </c>
      <c r="P13" s="296">
        <v>-3.4656842679765321</v>
      </c>
      <c r="Q13" s="296">
        <v>-1.3387254218379607</v>
      </c>
      <c r="R13" s="298"/>
    </row>
    <row r="14" spans="1:18" s="673" customFormat="1" x14ac:dyDescent="0.2">
      <c r="A14" s="298"/>
      <c r="B14" s="303" t="s">
        <v>7</v>
      </c>
      <c r="C14" s="303"/>
      <c r="D14" s="130">
        <v>2214</v>
      </c>
      <c r="E14" s="130">
        <v>2270</v>
      </c>
      <c r="F14" s="130">
        <v>2393</v>
      </c>
      <c r="G14" s="130">
        <v>2372</v>
      </c>
      <c r="H14" s="130">
        <v>2302</v>
      </c>
      <c r="I14" s="111">
        <v>2347</v>
      </c>
      <c r="J14" s="296">
        <v>1.9548218940052209</v>
      </c>
      <c r="K14" s="296">
        <v>3.3920704845814997</v>
      </c>
      <c r="L14" s="302"/>
      <c r="M14" s="112">
        <v>4649</v>
      </c>
      <c r="N14" s="130">
        <v>4765</v>
      </c>
      <c r="O14" s="130">
        <v>4484</v>
      </c>
      <c r="P14" s="296">
        <v>3.6797502230151657</v>
      </c>
      <c r="Q14" s="296">
        <v>-2.434417628541452</v>
      </c>
      <c r="R14" s="298"/>
    </row>
    <row r="15" spans="1:18" s="673" customFormat="1" ht="15" x14ac:dyDescent="0.25">
      <c r="A15" s="298"/>
      <c r="B15" s="307" t="s">
        <v>45</v>
      </c>
      <c r="C15" s="288"/>
      <c r="D15" s="132">
        <v>3691</v>
      </c>
      <c r="E15" s="132">
        <v>3462</v>
      </c>
      <c r="F15" s="132">
        <v>3539</v>
      </c>
      <c r="G15" s="132">
        <v>2959</v>
      </c>
      <c r="H15" s="132">
        <v>3646</v>
      </c>
      <c r="I15" s="109">
        <v>3746</v>
      </c>
      <c r="J15" s="296">
        <v>2.7427317608337942</v>
      </c>
      <c r="K15" s="296">
        <v>8.2033506643558685</v>
      </c>
      <c r="L15" s="302"/>
      <c r="M15" s="110">
        <v>7392</v>
      </c>
      <c r="N15" s="132">
        <v>6498</v>
      </c>
      <c r="O15" s="132">
        <v>7153</v>
      </c>
      <c r="P15" s="296">
        <v>3.3412554173074316</v>
      </c>
      <c r="Q15" s="296">
        <v>13.758079409048939</v>
      </c>
      <c r="R15" s="298"/>
    </row>
    <row r="16" spans="1:18" s="673" customFormat="1" ht="15" x14ac:dyDescent="0.25">
      <c r="A16" s="298"/>
      <c r="B16" s="307" t="s">
        <v>46</v>
      </c>
      <c r="C16" s="288"/>
      <c r="D16" s="132">
        <v>6</v>
      </c>
      <c r="E16" s="132">
        <v>6</v>
      </c>
      <c r="F16" s="132">
        <v>6</v>
      </c>
      <c r="G16" s="132">
        <v>5</v>
      </c>
      <c r="H16" s="132">
        <v>6</v>
      </c>
      <c r="I16" s="109">
        <v>5</v>
      </c>
      <c r="J16" s="296">
        <v>-16.666666666666664</v>
      </c>
      <c r="K16" s="296">
        <v>-16.666666666666664</v>
      </c>
      <c r="L16" s="302"/>
      <c r="M16" s="113">
        <v>11</v>
      </c>
      <c r="N16" s="139">
        <v>11</v>
      </c>
      <c r="O16" s="132">
        <v>12</v>
      </c>
      <c r="P16" s="296">
        <v>-8.3333333333333375</v>
      </c>
      <c r="Q16" s="296">
        <v>0</v>
      </c>
      <c r="R16" s="298"/>
    </row>
    <row r="17" spans="1:19" s="673" customFormat="1" x14ac:dyDescent="0.2">
      <c r="A17" s="298"/>
      <c r="B17" s="303" t="s">
        <v>8</v>
      </c>
      <c r="C17" s="303"/>
      <c r="D17" s="130">
        <v>325</v>
      </c>
      <c r="E17" s="130">
        <v>133</v>
      </c>
      <c r="F17" s="130">
        <v>124</v>
      </c>
      <c r="G17" s="130">
        <v>209</v>
      </c>
      <c r="H17" s="130">
        <v>190</v>
      </c>
      <c r="I17" s="104">
        <v>113</v>
      </c>
      <c r="J17" s="296">
        <v>-40.526315789473685</v>
      </c>
      <c r="K17" s="296">
        <v>-15.037593984962406</v>
      </c>
      <c r="L17" s="302"/>
      <c r="M17" s="112">
        <v>303</v>
      </c>
      <c r="N17" s="130">
        <v>333</v>
      </c>
      <c r="O17" s="130">
        <v>458</v>
      </c>
      <c r="P17" s="296">
        <v>-33.842794759825324</v>
      </c>
      <c r="Q17" s="296">
        <v>-9.0090090090090058</v>
      </c>
      <c r="R17" s="298"/>
    </row>
    <row r="18" spans="1:19" s="673" customFormat="1" x14ac:dyDescent="0.2">
      <c r="A18" s="298"/>
      <c r="B18" s="672" t="s">
        <v>47</v>
      </c>
      <c r="C18" s="303"/>
      <c r="D18" s="129">
        <v>120</v>
      </c>
      <c r="E18" s="129">
        <v>150</v>
      </c>
      <c r="F18" s="129">
        <v>169</v>
      </c>
      <c r="G18" s="129">
        <v>415</v>
      </c>
      <c r="H18" s="129">
        <v>157</v>
      </c>
      <c r="I18" s="102">
        <v>188</v>
      </c>
      <c r="J18" s="299">
        <v>19.7452229299363</v>
      </c>
      <c r="K18" s="300">
        <v>25.333333333333343</v>
      </c>
      <c r="L18" s="302"/>
      <c r="M18" s="103">
        <v>345</v>
      </c>
      <c r="N18" s="129">
        <v>584</v>
      </c>
      <c r="O18" s="129">
        <v>270</v>
      </c>
      <c r="P18" s="299">
        <v>27.777777777777768</v>
      </c>
      <c r="Q18" s="300">
        <v>-40.924657534246577</v>
      </c>
      <c r="R18" s="298"/>
      <c r="S18" s="298"/>
    </row>
    <row r="19" spans="1:19" s="673" customFormat="1" ht="16.5" customHeight="1" x14ac:dyDescent="0.2">
      <c r="A19" s="298"/>
      <c r="B19" s="672" t="s">
        <v>48</v>
      </c>
      <c r="C19" s="303"/>
      <c r="D19" s="131">
        <v>205</v>
      </c>
      <c r="E19" s="131">
        <v>-17</v>
      </c>
      <c r="F19" s="131">
        <v>-45</v>
      </c>
      <c r="G19" s="131">
        <v>-206</v>
      </c>
      <c r="H19" s="131">
        <v>33</v>
      </c>
      <c r="I19" s="106">
        <v>-75</v>
      </c>
      <c r="J19" s="304" t="s">
        <v>151</v>
      </c>
      <c r="K19" s="305" t="s">
        <v>495</v>
      </c>
      <c r="L19" s="302"/>
      <c r="M19" s="107">
        <v>-42</v>
      </c>
      <c r="N19" s="131">
        <v>-251</v>
      </c>
      <c r="O19" s="131">
        <v>188</v>
      </c>
      <c r="P19" s="304" t="s">
        <v>151</v>
      </c>
      <c r="Q19" s="305">
        <v>83.266932270916342</v>
      </c>
      <c r="R19" s="298"/>
      <c r="S19" s="298"/>
    </row>
    <row r="20" spans="1:19" s="673" customFormat="1" ht="16.5" customHeight="1" x14ac:dyDescent="0.2">
      <c r="A20" s="298"/>
      <c r="B20" s="303" t="s">
        <v>49</v>
      </c>
      <c r="C20" s="303"/>
      <c r="D20" s="130">
        <v>77</v>
      </c>
      <c r="E20" s="130">
        <v>65</v>
      </c>
      <c r="F20" s="130">
        <v>67</v>
      </c>
      <c r="G20" s="130">
        <v>53</v>
      </c>
      <c r="H20" s="130">
        <v>62</v>
      </c>
      <c r="I20" s="111">
        <v>76</v>
      </c>
      <c r="J20" s="296">
        <v>22.580645161290324</v>
      </c>
      <c r="K20" s="296">
        <v>16.92307692307693</v>
      </c>
      <c r="L20" s="302"/>
      <c r="M20" s="112">
        <v>138</v>
      </c>
      <c r="N20" s="130">
        <v>120</v>
      </c>
      <c r="O20" s="130">
        <v>142</v>
      </c>
      <c r="P20" s="296">
        <v>-2.8169014084507005</v>
      </c>
      <c r="Q20" s="296">
        <v>14.999999999999991</v>
      </c>
      <c r="R20" s="298"/>
      <c r="S20" s="298"/>
    </row>
    <row r="21" spans="1:19" s="673" customFormat="1" ht="15" x14ac:dyDescent="0.25">
      <c r="A21" s="298"/>
      <c r="B21" s="307" t="s">
        <v>50</v>
      </c>
      <c r="C21" s="303"/>
      <c r="D21" s="132">
        <v>3437</v>
      </c>
      <c r="E21" s="132">
        <v>3388</v>
      </c>
      <c r="F21" s="132">
        <v>3476</v>
      </c>
      <c r="G21" s="132">
        <v>2798</v>
      </c>
      <c r="H21" s="132">
        <v>3512</v>
      </c>
      <c r="I21" s="109">
        <v>3704</v>
      </c>
      <c r="J21" s="296">
        <v>5.4669703872437303</v>
      </c>
      <c r="K21" s="296">
        <v>9.3270365997638827</v>
      </c>
      <c r="L21" s="302"/>
      <c r="M21" s="110">
        <v>7216</v>
      </c>
      <c r="N21" s="132">
        <v>6274</v>
      </c>
      <c r="O21" s="132">
        <v>6825</v>
      </c>
      <c r="P21" s="296">
        <v>5.7289377289377219</v>
      </c>
      <c r="Q21" s="296">
        <v>15.014344915524379</v>
      </c>
      <c r="R21" s="298"/>
      <c r="S21" s="298"/>
    </row>
    <row r="22" spans="1:19" s="673" customFormat="1" ht="15" x14ac:dyDescent="0.25">
      <c r="A22" s="298"/>
      <c r="B22" s="307" t="s">
        <v>51</v>
      </c>
      <c r="C22" s="303"/>
      <c r="D22" s="132">
        <v>2897</v>
      </c>
      <c r="E22" s="132">
        <v>2824</v>
      </c>
      <c r="F22" s="132">
        <v>2954</v>
      </c>
      <c r="G22" s="132">
        <v>2358</v>
      </c>
      <c r="H22" s="132">
        <v>2930</v>
      </c>
      <c r="I22" s="100">
        <v>3079</v>
      </c>
      <c r="J22" s="296">
        <v>5.0853242320819003</v>
      </c>
      <c r="K22" s="296">
        <v>9.0297450424929195</v>
      </c>
      <c r="L22" s="204"/>
      <c r="M22" s="110">
        <v>6009</v>
      </c>
      <c r="N22" s="132">
        <v>5312</v>
      </c>
      <c r="O22" s="132">
        <v>5721</v>
      </c>
      <c r="P22" s="296">
        <v>5.0340849501835372</v>
      </c>
      <c r="Q22" s="296">
        <v>13.121234939759031</v>
      </c>
      <c r="R22" s="298"/>
      <c r="S22" s="298"/>
    </row>
    <row r="23" spans="1:19" s="673" customFormat="1" ht="14.85" customHeight="1" x14ac:dyDescent="0.2">
      <c r="A23" s="298"/>
      <c r="B23" s="303" t="s">
        <v>52</v>
      </c>
      <c r="C23" s="303"/>
      <c r="D23" s="133">
        <v>0</v>
      </c>
      <c r="E23" s="133">
        <v>0</v>
      </c>
      <c r="F23" s="133">
        <v>0</v>
      </c>
      <c r="G23" s="133">
        <v>-100</v>
      </c>
      <c r="H23" s="133">
        <v>0</v>
      </c>
      <c r="I23" s="115">
        <v>0</v>
      </c>
      <c r="J23" s="676">
        <v>0</v>
      </c>
      <c r="K23" s="676">
        <v>0</v>
      </c>
      <c r="L23" s="309"/>
      <c r="M23" s="116">
        <v>0</v>
      </c>
      <c r="N23" s="133">
        <v>-100</v>
      </c>
      <c r="O23" s="140">
        <v>0</v>
      </c>
      <c r="P23" s="676">
        <v>0</v>
      </c>
      <c r="Q23" s="676" t="s">
        <v>151</v>
      </c>
      <c r="R23" s="677"/>
      <c r="S23" s="298"/>
    </row>
    <row r="24" spans="1:19" s="673" customFormat="1" ht="15" x14ac:dyDescent="0.25">
      <c r="A24" s="298"/>
      <c r="B24" s="307" t="s">
        <v>53</v>
      </c>
      <c r="C24" s="303"/>
      <c r="D24" s="134">
        <v>2897</v>
      </c>
      <c r="E24" s="134">
        <v>2824</v>
      </c>
      <c r="F24" s="134">
        <v>2954</v>
      </c>
      <c r="G24" s="134">
        <v>2258</v>
      </c>
      <c r="H24" s="134">
        <v>2930</v>
      </c>
      <c r="I24" s="100">
        <v>3079</v>
      </c>
      <c r="J24" s="296">
        <v>5.0853242320819003</v>
      </c>
      <c r="K24" s="296">
        <v>9.0297450424929195</v>
      </c>
      <c r="L24" s="204"/>
      <c r="M24" s="110">
        <v>6009</v>
      </c>
      <c r="N24" s="132">
        <v>5212</v>
      </c>
      <c r="O24" s="132">
        <v>5721</v>
      </c>
      <c r="P24" s="296">
        <v>5.0340849501835372</v>
      </c>
      <c r="Q24" s="296">
        <v>15.291634689178824</v>
      </c>
      <c r="R24" s="298"/>
      <c r="S24" s="298"/>
    </row>
    <row r="25" spans="1:19" x14ac:dyDescent="0.2">
      <c r="A25" s="286"/>
      <c r="B25" s="286"/>
      <c r="C25" s="286"/>
      <c r="D25" s="678"/>
      <c r="E25" s="678"/>
      <c r="F25" s="678"/>
      <c r="G25" s="678"/>
      <c r="H25" s="8"/>
      <c r="I25" s="121"/>
      <c r="J25" s="293"/>
      <c r="K25" s="293"/>
      <c r="L25" s="292"/>
      <c r="M25" s="122"/>
      <c r="N25" s="292"/>
      <c r="O25" s="282"/>
      <c r="P25" s="310"/>
      <c r="Q25" s="310"/>
      <c r="R25" s="286"/>
      <c r="S25" s="286"/>
    </row>
    <row r="26" spans="1:19" ht="15" x14ac:dyDescent="0.25">
      <c r="A26" s="291" t="s">
        <v>54</v>
      </c>
      <c r="B26" s="286"/>
      <c r="C26" s="286"/>
      <c r="D26" s="678"/>
      <c r="E26" s="678"/>
      <c r="F26" s="678"/>
      <c r="G26" s="678"/>
      <c r="H26" s="293"/>
      <c r="I26" s="121"/>
      <c r="J26" s="293"/>
      <c r="K26" s="293"/>
      <c r="L26" s="292"/>
      <c r="M26" s="122"/>
      <c r="N26" s="292"/>
      <c r="O26" s="282"/>
      <c r="P26" s="310"/>
      <c r="Q26" s="310"/>
      <c r="R26" s="286"/>
      <c r="S26" s="286"/>
    </row>
    <row r="27" spans="1:19" s="673" customFormat="1" x14ac:dyDescent="0.2">
      <c r="A27" s="298"/>
      <c r="B27" s="303" t="s">
        <v>9</v>
      </c>
      <c r="C27" s="303"/>
      <c r="D27" s="679">
        <v>435295</v>
      </c>
      <c r="E27" s="679">
        <v>433046</v>
      </c>
      <c r="F27" s="679">
        <v>437027</v>
      </c>
      <c r="G27" s="679">
        <v>445011</v>
      </c>
      <c r="H27" s="679">
        <v>453180</v>
      </c>
      <c r="I27" s="117">
        <v>469380</v>
      </c>
      <c r="J27" s="141">
        <v>3.5747385144975441</v>
      </c>
      <c r="K27" s="142">
        <v>8.3903326667374767</v>
      </c>
      <c r="L27" s="8"/>
      <c r="M27" s="118">
        <v>469380</v>
      </c>
      <c r="N27" s="679">
        <v>445011</v>
      </c>
      <c r="O27" s="680">
        <v>433046</v>
      </c>
      <c r="P27" s="141">
        <v>8.3903326667374767</v>
      </c>
      <c r="Q27" s="142">
        <v>5.4760444123853169</v>
      </c>
      <c r="R27" s="298"/>
      <c r="S27" s="311"/>
    </row>
    <row r="28" spans="1:19" s="687" customFormat="1" x14ac:dyDescent="0.2">
      <c r="A28" s="312"/>
      <c r="B28" s="681" t="s">
        <v>55</v>
      </c>
      <c r="C28" s="682"/>
      <c r="D28" s="683"/>
      <c r="E28" s="683"/>
      <c r="F28" s="683"/>
      <c r="G28" s="683"/>
      <c r="H28" s="683"/>
      <c r="I28" s="119"/>
      <c r="J28" s="684">
        <v>3</v>
      </c>
      <c r="K28" s="685">
        <v>8</v>
      </c>
      <c r="L28" s="313"/>
      <c r="M28" s="120"/>
      <c r="N28" s="683"/>
      <c r="O28" s="314"/>
      <c r="P28" s="686">
        <v>8</v>
      </c>
      <c r="Q28" s="685">
        <v>5</v>
      </c>
      <c r="R28" s="312"/>
      <c r="S28" s="312"/>
    </row>
    <row r="29" spans="1:19" s="673" customFormat="1" x14ac:dyDescent="0.2">
      <c r="A29" s="298"/>
      <c r="B29" s="303" t="s">
        <v>56</v>
      </c>
      <c r="C29" s="303"/>
      <c r="D29" s="688">
        <v>840823</v>
      </c>
      <c r="E29" s="688">
        <v>841896</v>
      </c>
      <c r="F29" s="688">
        <v>881622</v>
      </c>
      <c r="G29" s="688">
        <v>897488</v>
      </c>
      <c r="H29" s="688">
        <v>935365</v>
      </c>
      <c r="I29" s="121">
        <v>965597</v>
      </c>
      <c r="J29" s="143">
        <v>3.2321072522491168</v>
      </c>
      <c r="K29" s="143">
        <v>14.693144996531649</v>
      </c>
      <c r="L29" s="8"/>
      <c r="M29" s="122">
        <v>965597</v>
      </c>
      <c r="N29" s="688">
        <v>897488</v>
      </c>
      <c r="O29" s="8">
        <v>841896</v>
      </c>
      <c r="P29" s="143">
        <v>14.693144996531649</v>
      </c>
      <c r="Q29" s="143">
        <v>7.5888479845970025</v>
      </c>
      <c r="R29" s="298"/>
      <c r="S29" s="298"/>
    </row>
    <row r="30" spans="1:19" s="673" customFormat="1" x14ac:dyDescent="0.2">
      <c r="A30" s="298"/>
      <c r="B30" s="681" t="s">
        <v>57</v>
      </c>
      <c r="C30" s="303"/>
      <c r="D30" s="688">
        <v>4861</v>
      </c>
      <c r="E30" s="688">
        <v>4686</v>
      </c>
      <c r="F30" s="688">
        <v>4627</v>
      </c>
      <c r="G30" s="688">
        <v>4843</v>
      </c>
      <c r="H30" s="688">
        <v>4720</v>
      </c>
      <c r="I30" s="121">
        <v>4764</v>
      </c>
      <c r="J30" s="143">
        <v>0.93220338983051043</v>
      </c>
      <c r="K30" s="143">
        <v>1.6645326504481472</v>
      </c>
      <c r="L30" s="8"/>
      <c r="M30" s="122">
        <v>4764</v>
      </c>
      <c r="N30" s="688">
        <v>4843</v>
      </c>
      <c r="O30" s="8">
        <v>4686</v>
      </c>
      <c r="P30" s="143">
        <v>1.6645326504481472</v>
      </c>
      <c r="Q30" s="143">
        <v>-1.6312203179847162</v>
      </c>
      <c r="R30" s="298"/>
      <c r="S30" s="298"/>
    </row>
    <row r="31" spans="1:19" s="687" customFormat="1" x14ac:dyDescent="0.2">
      <c r="A31" s="312"/>
      <c r="B31" s="303" t="s">
        <v>11</v>
      </c>
      <c r="C31" s="303"/>
      <c r="D31" s="679">
        <v>575663</v>
      </c>
      <c r="E31" s="679">
        <v>573965</v>
      </c>
      <c r="F31" s="679">
        <v>596073</v>
      </c>
      <c r="G31" s="679">
        <v>610023</v>
      </c>
      <c r="H31" s="679">
        <v>629868</v>
      </c>
      <c r="I31" s="117">
        <v>638203</v>
      </c>
      <c r="J31" s="141">
        <v>1.3232931344345111</v>
      </c>
      <c r="K31" s="142">
        <v>11.191971635901155</v>
      </c>
      <c r="L31" s="8"/>
      <c r="M31" s="118">
        <v>638203</v>
      </c>
      <c r="N31" s="679">
        <v>610023</v>
      </c>
      <c r="O31" s="680">
        <v>573965</v>
      </c>
      <c r="P31" s="141">
        <v>11.191971635901155</v>
      </c>
      <c r="Q31" s="142">
        <v>4.6194979533558556</v>
      </c>
      <c r="R31" s="312"/>
      <c r="S31" s="312"/>
    </row>
    <row r="32" spans="1:19" s="687" customFormat="1" x14ac:dyDescent="0.2">
      <c r="A32" s="312"/>
      <c r="B32" s="681" t="s">
        <v>55</v>
      </c>
      <c r="C32" s="682"/>
      <c r="D32" s="683"/>
      <c r="E32" s="683"/>
      <c r="F32" s="683"/>
      <c r="G32" s="683"/>
      <c r="H32" s="683"/>
      <c r="I32" s="119"/>
      <c r="J32" s="684">
        <v>1</v>
      </c>
      <c r="K32" s="685">
        <v>11</v>
      </c>
      <c r="L32" s="313"/>
      <c r="M32" s="120"/>
      <c r="N32" s="683"/>
      <c r="O32" s="314"/>
      <c r="P32" s="686">
        <v>11</v>
      </c>
      <c r="Q32" s="685">
        <v>4</v>
      </c>
      <c r="R32" s="312"/>
      <c r="S32" s="312"/>
    </row>
    <row r="33" spans="1:23" s="673" customFormat="1" x14ac:dyDescent="0.2">
      <c r="A33" s="298"/>
      <c r="B33" s="303" t="s">
        <v>58</v>
      </c>
      <c r="C33" s="303"/>
      <c r="D33" s="688">
        <v>772080</v>
      </c>
      <c r="E33" s="688">
        <v>773286</v>
      </c>
      <c r="F33" s="688">
        <v>812729</v>
      </c>
      <c r="G33" s="688">
        <v>828572</v>
      </c>
      <c r="H33" s="688">
        <v>866004</v>
      </c>
      <c r="I33" s="121">
        <v>895380</v>
      </c>
      <c r="J33" s="143">
        <v>3.3921321379577929</v>
      </c>
      <c r="K33" s="143">
        <v>15.788983636067378</v>
      </c>
      <c r="L33" s="8"/>
      <c r="M33" s="122">
        <v>895380</v>
      </c>
      <c r="N33" s="688">
        <v>828572</v>
      </c>
      <c r="O33" s="8">
        <v>773286</v>
      </c>
      <c r="P33" s="143">
        <v>15.788983636067378</v>
      </c>
      <c r="Q33" s="143">
        <v>8.0630289220490212</v>
      </c>
      <c r="R33" s="298"/>
      <c r="S33" s="298"/>
      <c r="T33" s="298"/>
      <c r="U33" s="298"/>
      <c r="V33" s="298"/>
      <c r="W33" s="298"/>
    </row>
    <row r="34" spans="1:23" s="673" customFormat="1" x14ac:dyDescent="0.2">
      <c r="A34" s="298"/>
      <c r="B34" s="303" t="s">
        <v>59</v>
      </c>
      <c r="C34" s="303"/>
      <c r="D34" s="688">
        <v>68697</v>
      </c>
      <c r="E34" s="688">
        <v>68564</v>
      </c>
      <c r="F34" s="688">
        <v>68845</v>
      </c>
      <c r="G34" s="688">
        <v>68867</v>
      </c>
      <c r="H34" s="688">
        <v>69311</v>
      </c>
      <c r="I34" s="121">
        <v>70166</v>
      </c>
      <c r="J34" s="143">
        <v>1.233570428936237</v>
      </c>
      <c r="K34" s="143">
        <v>2.3365031211714626</v>
      </c>
      <c r="L34" s="8"/>
      <c r="M34" s="122">
        <v>70166</v>
      </c>
      <c r="N34" s="688">
        <v>68867</v>
      </c>
      <c r="O34" s="8">
        <v>68564</v>
      </c>
      <c r="P34" s="143">
        <v>2.3365031211714626</v>
      </c>
      <c r="Q34" s="143">
        <v>1.8862445002686412</v>
      </c>
      <c r="R34" s="298"/>
      <c r="S34" s="298"/>
      <c r="T34" s="298"/>
      <c r="U34" s="298"/>
      <c r="V34" s="298"/>
      <c r="W34" s="298"/>
    </row>
    <row r="35" spans="1:23" x14ac:dyDescent="0.2">
      <c r="A35" s="286"/>
      <c r="B35" s="286"/>
      <c r="C35" s="286"/>
      <c r="D35" s="8"/>
      <c r="E35" s="8"/>
      <c r="F35" s="8"/>
      <c r="G35" s="8"/>
      <c r="H35" s="8"/>
      <c r="I35" s="97"/>
      <c r="J35" s="293"/>
      <c r="K35" s="293"/>
      <c r="L35" s="8"/>
      <c r="M35" s="98"/>
      <c r="N35" s="8"/>
      <c r="O35" s="286"/>
      <c r="P35" s="315"/>
      <c r="Q35" s="315"/>
      <c r="R35" s="286"/>
      <c r="S35" s="286"/>
      <c r="T35" s="286"/>
      <c r="U35" s="286"/>
      <c r="V35" s="286"/>
      <c r="W35" s="286"/>
    </row>
    <row r="36" spans="1:23" ht="17.25" x14ac:dyDescent="0.25">
      <c r="A36" s="316" t="s">
        <v>60</v>
      </c>
      <c r="B36" s="286"/>
      <c r="C36" s="286"/>
      <c r="D36" s="135"/>
      <c r="E36" s="135"/>
      <c r="F36" s="135"/>
      <c r="G36" s="135"/>
      <c r="H36" s="135"/>
      <c r="I36" s="170"/>
      <c r="J36" s="293"/>
      <c r="K36" s="293"/>
      <c r="L36" s="8"/>
      <c r="M36" s="147"/>
      <c r="N36" s="135"/>
      <c r="O36" s="286"/>
      <c r="P36" s="315"/>
      <c r="Q36" s="315"/>
      <c r="R36" s="286"/>
      <c r="S36" s="286"/>
      <c r="T36" s="286"/>
      <c r="U36" s="286"/>
      <c r="V36" s="286"/>
      <c r="W36" s="286"/>
    </row>
    <row r="37" spans="1:23" s="691" customFormat="1" ht="14.1" customHeight="1" x14ac:dyDescent="0.2">
      <c r="A37" s="689"/>
      <c r="B37" s="690" t="s">
        <v>61</v>
      </c>
      <c r="C37" s="317"/>
      <c r="D37" s="318">
        <v>2.12</v>
      </c>
      <c r="E37" s="318">
        <v>2.0499999999999998</v>
      </c>
      <c r="F37" s="318">
        <v>1.96</v>
      </c>
      <c r="G37" s="318">
        <v>1.93</v>
      </c>
      <c r="H37" s="318">
        <v>1.89</v>
      </c>
      <c r="I37" s="123">
        <v>1.87</v>
      </c>
      <c r="J37" s="144">
        <v>-1.9999999999999796E-2</v>
      </c>
      <c r="K37" s="144">
        <v>-0.17999999999999972</v>
      </c>
      <c r="L37" s="318"/>
      <c r="M37" s="124">
        <v>1.88</v>
      </c>
      <c r="N37" s="318">
        <v>1.94</v>
      </c>
      <c r="O37" s="318">
        <v>2.08</v>
      </c>
      <c r="P37" s="144">
        <v>-0.20000000000000018</v>
      </c>
      <c r="Q37" s="135">
        <v>-6.0000000000000053E-2</v>
      </c>
      <c r="R37" s="689"/>
      <c r="S37" s="689"/>
      <c r="T37" s="689"/>
      <c r="U37" s="689"/>
      <c r="V37" s="689"/>
      <c r="W37" s="689"/>
    </row>
    <row r="38" spans="1:23" s="694" customFormat="1" ht="14.1" customHeight="1" x14ac:dyDescent="0.2">
      <c r="A38" s="692"/>
      <c r="B38" s="319" t="s">
        <v>62</v>
      </c>
      <c r="C38" s="319"/>
      <c r="D38" s="318">
        <v>2.68</v>
      </c>
      <c r="E38" s="318">
        <v>2.5499999999999998</v>
      </c>
      <c r="F38" s="318">
        <v>2.4</v>
      </c>
      <c r="G38" s="318">
        <v>2.34</v>
      </c>
      <c r="H38" s="318">
        <v>2.29</v>
      </c>
      <c r="I38" s="123">
        <v>2.21</v>
      </c>
      <c r="J38" s="144">
        <v>-8.0000000000000071E-2</v>
      </c>
      <c r="K38" s="144">
        <v>-0.33999999999999986</v>
      </c>
      <c r="L38" s="693"/>
      <c r="M38" s="124">
        <v>2.25</v>
      </c>
      <c r="N38" s="318">
        <v>2.37</v>
      </c>
      <c r="O38" s="318">
        <v>2.61</v>
      </c>
      <c r="P38" s="144">
        <v>-0.35999999999999988</v>
      </c>
      <c r="Q38" s="144">
        <v>-0.12000000000000011</v>
      </c>
      <c r="R38" s="692"/>
      <c r="S38" s="692"/>
      <c r="T38" s="689"/>
      <c r="U38" s="689"/>
      <c r="V38" s="689"/>
      <c r="W38" s="689"/>
    </row>
    <row r="39" spans="1:23" s="691" customFormat="1" ht="14.1" customHeight="1" x14ac:dyDescent="0.2">
      <c r="A39" s="689"/>
      <c r="B39" s="690" t="s">
        <v>63</v>
      </c>
      <c r="C39" s="690"/>
      <c r="D39" s="693">
        <v>37.5</v>
      </c>
      <c r="E39" s="693">
        <v>39.6</v>
      </c>
      <c r="F39" s="693">
        <v>40.299999999999997</v>
      </c>
      <c r="G39" s="693">
        <v>44.5</v>
      </c>
      <c r="H39" s="693">
        <v>38.700000000000003</v>
      </c>
      <c r="I39" s="125">
        <v>38.5</v>
      </c>
      <c r="J39" s="145">
        <v>-0.20000000000000284</v>
      </c>
      <c r="K39" s="145">
        <v>-1.1000000000000014</v>
      </c>
      <c r="L39" s="318"/>
      <c r="M39" s="126">
        <v>38.6</v>
      </c>
      <c r="N39" s="695">
        <v>42.3</v>
      </c>
      <c r="O39" s="695">
        <v>38.5</v>
      </c>
      <c r="P39" s="145">
        <v>0.10000000000000142</v>
      </c>
      <c r="Q39" s="145">
        <v>-3.6999999999999957</v>
      </c>
      <c r="R39" s="689"/>
      <c r="S39" s="689"/>
      <c r="T39" s="689"/>
      <c r="U39" s="689"/>
      <c r="V39" s="689"/>
      <c r="W39" s="689"/>
    </row>
    <row r="40" spans="1:23" s="694" customFormat="1" ht="14.1" customHeight="1" x14ac:dyDescent="0.2">
      <c r="A40" s="692"/>
      <c r="B40" s="319" t="s">
        <v>64</v>
      </c>
      <c r="C40" s="319"/>
      <c r="D40" s="318">
        <v>1.42</v>
      </c>
      <c r="E40" s="318">
        <v>1.35</v>
      </c>
      <c r="F40" s="318">
        <v>1.36</v>
      </c>
      <c r="G40" s="318">
        <v>1.06</v>
      </c>
      <c r="H40" s="318">
        <v>1.31</v>
      </c>
      <c r="I40" s="123">
        <v>1.31</v>
      </c>
      <c r="J40" s="144">
        <v>0</v>
      </c>
      <c r="K40" s="144">
        <v>-4.0000000000000036E-2</v>
      </c>
      <c r="L40" s="318"/>
      <c r="M40" s="124">
        <v>1.31</v>
      </c>
      <c r="N40" s="318">
        <v>1.21</v>
      </c>
      <c r="O40" s="318">
        <v>1.38</v>
      </c>
      <c r="P40" s="144">
        <v>-6.999999999999984E-2</v>
      </c>
      <c r="Q40" s="144">
        <v>0.10000000000000009</v>
      </c>
      <c r="R40" s="692"/>
      <c r="S40" s="692"/>
      <c r="T40" s="689"/>
      <c r="U40" s="689"/>
      <c r="V40" s="689"/>
      <c r="W40" s="689"/>
    </row>
    <row r="41" spans="1:23" s="692" customFormat="1" ht="14.1" customHeight="1" x14ac:dyDescent="0.2">
      <c r="B41" s="319" t="s">
        <v>65</v>
      </c>
      <c r="C41" s="319"/>
      <c r="D41" s="693">
        <v>17.3</v>
      </c>
      <c r="E41" s="693">
        <v>16.7</v>
      </c>
      <c r="F41" s="693">
        <v>17.100000000000001</v>
      </c>
      <c r="G41" s="693">
        <v>13.5</v>
      </c>
      <c r="H41" s="693">
        <v>17</v>
      </c>
      <c r="I41" s="125">
        <v>17.899999999999999</v>
      </c>
      <c r="J41" s="145">
        <v>0.89999999999999858</v>
      </c>
      <c r="K41" s="145">
        <v>1.1999999999999993</v>
      </c>
      <c r="L41" s="693"/>
      <c r="M41" s="126">
        <v>17.5</v>
      </c>
      <c r="N41" s="693">
        <v>15.3</v>
      </c>
      <c r="O41" s="693">
        <v>17</v>
      </c>
      <c r="P41" s="145">
        <v>0.5</v>
      </c>
      <c r="Q41" s="145">
        <v>2.1999999999999993</v>
      </c>
      <c r="T41" s="689"/>
      <c r="U41" s="689"/>
      <c r="V41" s="689"/>
      <c r="W41" s="689"/>
    </row>
    <row r="42" spans="1:23" s="692" customFormat="1" ht="14.1" customHeight="1" x14ac:dyDescent="0.2">
      <c r="B42" s="319" t="s">
        <v>418</v>
      </c>
      <c r="C42" s="319"/>
      <c r="D42" s="693">
        <v>19.100000000000001</v>
      </c>
      <c r="E42" s="693">
        <v>18.5</v>
      </c>
      <c r="F42" s="693">
        <v>18.899999999999999</v>
      </c>
      <c r="G42" s="693">
        <v>14.9</v>
      </c>
      <c r="H42" s="693">
        <v>18.7</v>
      </c>
      <c r="I42" s="125">
        <v>19.600000000000001</v>
      </c>
      <c r="J42" s="145">
        <v>0.90000000000000213</v>
      </c>
      <c r="K42" s="145">
        <v>1.1000000000000014</v>
      </c>
      <c r="L42" s="693"/>
      <c r="M42" s="126">
        <v>19.2</v>
      </c>
      <c r="N42" s="693">
        <v>16.899999999999999</v>
      </c>
      <c r="O42" s="693">
        <v>18.8</v>
      </c>
      <c r="P42" s="145">
        <v>0.39999999999999858</v>
      </c>
      <c r="Q42" s="145">
        <v>2.3000000000000007</v>
      </c>
      <c r="T42" s="689"/>
      <c r="U42" s="689"/>
      <c r="V42" s="689"/>
      <c r="W42" s="689"/>
    </row>
    <row r="43" spans="1:23" s="692" customFormat="1" ht="14.1" customHeight="1" x14ac:dyDescent="0.2">
      <c r="B43" s="319" t="s">
        <v>66</v>
      </c>
      <c r="C43" s="319"/>
      <c r="D43" s="695">
        <v>1.1000000000000001</v>
      </c>
      <c r="E43" s="695">
        <v>1</v>
      </c>
      <c r="F43" s="695">
        <v>1</v>
      </c>
      <c r="G43" s="695">
        <v>1</v>
      </c>
      <c r="H43" s="695">
        <v>1</v>
      </c>
      <c r="I43" s="127">
        <v>1</v>
      </c>
      <c r="J43" s="145">
        <v>0</v>
      </c>
      <c r="K43" s="145">
        <v>0</v>
      </c>
      <c r="L43" s="693"/>
      <c r="M43" s="128">
        <v>1</v>
      </c>
      <c r="N43" s="695">
        <v>1</v>
      </c>
      <c r="O43" s="695">
        <v>1</v>
      </c>
      <c r="P43" s="145">
        <v>0</v>
      </c>
      <c r="Q43" s="145">
        <v>0</v>
      </c>
      <c r="T43" s="689"/>
      <c r="U43" s="689"/>
      <c r="V43" s="689"/>
      <c r="W43" s="689"/>
    </row>
    <row r="44" spans="1:23" s="692" customFormat="1" ht="14.1" customHeight="1" x14ac:dyDescent="0.2">
      <c r="B44" s="319" t="s">
        <v>67</v>
      </c>
      <c r="C44" s="319"/>
      <c r="D44" s="8">
        <v>137</v>
      </c>
      <c r="E44" s="8">
        <v>137</v>
      </c>
      <c r="F44" s="8">
        <v>139</v>
      </c>
      <c r="G44" s="8">
        <v>130</v>
      </c>
      <c r="H44" s="8">
        <v>131</v>
      </c>
      <c r="I44" s="97">
        <v>130</v>
      </c>
      <c r="J44" s="143">
        <v>-1</v>
      </c>
      <c r="K44" s="143">
        <v>-7</v>
      </c>
      <c r="L44" s="693"/>
      <c r="M44" s="98">
        <v>130</v>
      </c>
      <c r="N44" s="8">
        <v>130</v>
      </c>
      <c r="O44" s="8">
        <v>137</v>
      </c>
      <c r="P44" s="143">
        <v>-7</v>
      </c>
      <c r="Q44" s="143">
        <v>0</v>
      </c>
      <c r="T44" s="689"/>
      <c r="U44" s="689"/>
      <c r="V44" s="689"/>
      <c r="W44" s="689"/>
    </row>
    <row r="45" spans="1:23" s="298" customFormat="1" ht="14.1" customHeight="1" x14ac:dyDescent="0.2">
      <c r="B45" s="319" t="s">
        <v>68</v>
      </c>
      <c r="C45" s="303"/>
      <c r="D45" s="8">
        <v>230</v>
      </c>
      <c r="E45" s="8">
        <v>236</v>
      </c>
      <c r="F45" s="8">
        <v>229</v>
      </c>
      <c r="G45" s="8">
        <v>197</v>
      </c>
      <c r="H45" s="8">
        <v>200</v>
      </c>
      <c r="I45" s="97">
        <v>196</v>
      </c>
      <c r="J45" s="143">
        <v>-4</v>
      </c>
      <c r="K45" s="143">
        <v>-40</v>
      </c>
      <c r="L45" s="163"/>
      <c r="M45" s="98">
        <v>196</v>
      </c>
      <c r="N45" s="8">
        <v>197</v>
      </c>
      <c r="O45" s="8">
        <v>236</v>
      </c>
      <c r="P45" s="143">
        <v>-40</v>
      </c>
      <c r="Q45" s="143">
        <v>-1</v>
      </c>
      <c r="T45" s="689"/>
      <c r="U45" s="689"/>
      <c r="V45" s="689"/>
      <c r="W45" s="689"/>
    </row>
    <row r="46" spans="1:23" s="673" customFormat="1" ht="14.1" customHeight="1" x14ac:dyDescent="0.2">
      <c r="A46" s="298"/>
      <c r="B46" s="303" t="s">
        <v>69</v>
      </c>
      <c r="C46" s="303"/>
      <c r="D46" s="8">
        <v>10</v>
      </c>
      <c r="E46" s="8">
        <v>15</v>
      </c>
      <c r="F46" s="8">
        <v>15</v>
      </c>
      <c r="G46" s="8">
        <v>36</v>
      </c>
      <c r="H46" s="8">
        <v>14</v>
      </c>
      <c r="I46" s="97">
        <v>16</v>
      </c>
      <c r="J46" s="143">
        <v>2</v>
      </c>
      <c r="K46" s="143">
        <v>1</v>
      </c>
      <c r="L46" s="320"/>
      <c r="M46" s="98">
        <v>15</v>
      </c>
      <c r="N46" s="8">
        <v>26</v>
      </c>
      <c r="O46" s="8">
        <v>12</v>
      </c>
      <c r="P46" s="143">
        <v>3</v>
      </c>
      <c r="Q46" s="143">
        <v>-11</v>
      </c>
      <c r="R46" s="298"/>
      <c r="S46" s="298"/>
      <c r="T46" s="689"/>
      <c r="U46" s="689"/>
      <c r="V46" s="689"/>
      <c r="W46" s="689"/>
    </row>
    <row r="47" spans="1:23" ht="14.1" customHeight="1" x14ac:dyDescent="0.2">
      <c r="A47" s="286"/>
      <c r="B47" s="321" t="s">
        <v>439</v>
      </c>
      <c r="C47" s="321"/>
      <c r="D47" s="693">
        <v>17.399999999999999</v>
      </c>
      <c r="E47" s="693">
        <v>17</v>
      </c>
      <c r="F47" s="693">
        <v>16.899999999999999</v>
      </c>
      <c r="G47" s="693">
        <v>17</v>
      </c>
      <c r="H47" s="693">
        <v>16.899999999999999</v>
      </c>
      <c r="I47" s="127">
        <v>16.600000000000001</v>
      </c>
      <c r="J47" s="145">
        <v>-0.29999999999999716</v>
      </c>
      <c r="K47" s="145">
        <v>-0.39999999999999858</v>
      </c>
      <c r="L47" s="320"/>
      <c r="M47" s="128">
        <v>16.600000000000001</v>
      </c>
      <c r="N47" s="695">
        <v>17</v>
      </c>
      <c r="O47" s="695">
        <v>17</v>
      </c>
      <c r="P47" s="145">
        <v>-0.39999999999999858</v>
      </c>
      <c r="Q47" s="145">
        <v>-0.39999999999999858</v>
      </c>
      <c r="R47" s="286"/>
      <c r="S47" s="286"/>
      <c r="T47" s="689"/>
      <c r="U47" s="689"/>
      <c r="V47" s="689"/>
      <c r="W47" s="689"/>
    </row>
    <row r="48" spans="1:23" ht="14.1" customHeight="1" x14ac:dyDescent="0.2">
      <c r="A48" s="286"/>
      <c r="B48" s="321" t="s">
        <v>440</v>
      </c>
      <c r="C48" s="321"/>
      <c r="D48" s="693">
        <v>15.2</v>
      </c>
      <c r="E48" s="693">
        <v>15.1</v>
      </c>
      <c r="F48" s="693">
        <v>15.1</v>
      </c>
      <c r="G48" s="693">
        <v>15</v>
      </c>
      <c r="H48" s="693">
        <v>14.8</v>
      </c>
      <c r="I48" s="127">
        <v>14.6</v>
      </c>
      <c r="J48" s="145">
        <v>-0.20000000000000107</v>
      </c>
      <c r="K48" s="145">
        <v>-0.5</v>
      </c>
      <c r="L48" s="320"/>
      <c r="M48" s="128">
        <v>14.6</v>
      </c>
      <c r="N48" s="695">
        <v>15</v>
      </c>
      <c r="O48" s="695">
        <v>15.1</v>
      </c>
      <c r="P48" s="145">
        <v>-0.5</v>
      </c>
      <c r="Q48" s="145">
        <v>-0.40000000000000036</v>
      </c>
      <c r="R48" s="286"/>
      <c r="S48" s="286"/>
      <c r="T48" s="689"/>
      <c r="U48" s="689"/>
      <c r="V48" s="689"/>
      <c r="W48" s="689"/>
    </row>
    <row r="49" spans="1:23" x14ac:dyDescent="0.2">
      <c r="A49" s="286"/>
      <c r="B49" s="321"/>
      <c r="C49" s="321"/>
      <c r="D49" s="8"/>
      <c r="E49" s="8"/>
      <c r="F49" s="8"/>
      <c r="G49" s="8"/>
      <c r="H49" s="293"/>
      <c r="I49" s="97"/>
      <c r="J49" s="322"/>
      <c r="K49" s="322"/>
      <c r="L49" s="320"/>
      <c r="M49" s="98"/>
      <c r="N49" s="292"/>
      <c r="O49" s="286"/>
      <c r="P49" s="322"/>
      <c r="Q49" s="322"/>
      <c r="R49" s="286"/>
      <c r="S49" s="286"/>
      <c r="T49" s="689"/>
      <c r="U49" s="689"/>
      <c r="V49" s="286"/>
      <c r="W49" s="286"/>
    </row>
    <row r="50" spans="1:23" ht="17.25" x14ac:dyDescent="0.25">
      <c r="A50" s="286"/>
      <c r="B50" s="316" t="s">
        <v>492</v>
      </c>
      <c r="C50" s="294"/>
      <c r="D50" s="8"/>
      <c r="E50" s="8"/>
      <c r="F50" s="8"/>
      <c r="G50" s="8"/>
      <c r="H50" s="293"/>
      <c r="I50" s="97"/>
      <c r="J50" s="322"/>
      <c r="K50" s="322"/>
      <c r="L50" s="320"/>
      <c r="M50" s="98"/>
      <c r="N50" s="292"/>
      <c r="O50" s="286"/>
      <c r="P50" s="322"/>
      <c r="Q50" s="322"/>
      <c r="R50" s="286"/>
      <c r="S50" s="286"/>
      <c r="T50" s="689"/>
      <c r="U50" s="689"/>
      <c r="V50" s="286"/>
      <c r="W50" s="286"/>
    </row>
    <row r="51" spans="1:23" ht="17.25" x14ac:dyDescent="0.25">
      <c r="A51" s="286"/>
      <c r="B51" s="323" t="s">
        <v>70</v>
      </c>
      <c r="C51" s="294"/>
      <c r="D51" s="8"/>
      <c r="E51" s="8"/>
      <c r="F51" s="8"/>
      <c r="G51" s="8"/>
      <c r="H51" s="293"/>
      <c r="I51" s="97"/>
      <c r="J51" s="322"/>
      <c r="K51" s="322"/>
      <c r="L51" s="320"/>
      <c r="M51" s="98"/>
      <c r="N51" s="292"/>
      <c r="O51" s="286"/>
      <c r="P51" s="322"/>
      <c r="Q51" s="322"/>
      <c r="R51" s="286"/>
      <c r="S51" s="286"/>
      <c r="T51" s="689"/>
      <c r="U51" s="689"/>
      <c r="V51" s="286"/>
      <c r="W51" s="286"/>
    </row>
    <row r="52" spans="1:23" ht="15" x14ac:dyDescent="0.25">
      <c r="A52" s="286"/>
      <c r="B52" s="696" t="s">
        <v>441</v>
      </c>
      <c r="C52" s="294"/>
      <c r="D52" s="318">
        <v>4.1100000000000003</v>
      </c>
      <c r="E52" s="318">
        <v>3.98</v>
      </c>
      <c r="F52" s="318">
        <v>4.12</v>
      </c>
      <c r="G52" s="318">
        <v>3.3</v>
      </c>
      <c r="H52" s="318">
        <v>4.1900000000000004</v>
      </c>
      <c r="I52" s="123">
        <v>4.3499999999999996</v>
      </c>
      <c r="J52" s="324">
        <v>0.15999999999999925</v>
      </c>
      <c r="K52" s="324">
        <v>0.36999999999999966</v>
      </c>
      <c r="L52" s="320"/>
      <c r="M52" s="124">
        <v>4.2699999999999996</v>
      </c>
      <c r="N52" s="318">
        <v>3.71</v>
      </c>
      <c r="O52" s="318">
        <v>4.04</v>
      </c>
      <c r="P52" s="144">
        <v>0.22999999999999954</v>
      </c>
      <c r="Q52" s="144">
        <v>0.55999999999999961</v>
      </c>
      <c r="R52" s="286"/>
      <c r="S52" s="286"/>
      <c r="T52" s="689"/>
      <c r="U52" s="689"/>
      <c r="V52" s="286"/>
      <c r="W52" s="286"/>
    </row>
    <row r="53" spans="1:23" ht="17.25" x14ac:dyDescent="0.25">
      <c r="A53" s="286"/>
      <c r="B53" s="696" t="s">
        <v>493</v>
      </c>
      <c r="C53" s="294"/>
      <c r="D53" s="318">
        <v>4.1100000000000003</v>
      </c>
      <c r="E53" s="318">
        <v>3.98</v>
      </c>
      <c r="F53" s="318">
        <v>4.12</v>
      </c>
      <c r="G53" s="318">
        <v>3.28</v>
      </c>
      <c r="H53" s="318">
        <v>4.17</v>
      </c>
      <c r="I53" s="123">
        <v>4.33</v>
      </c>
      <c r="J53" s="324">
        <v>0.16000000000000014</v>
      </c>
      <c r="K53" s="324">
        <v>0.35000000000000009</v>
      </c>
      <c r="L53" s="320"/>
      <c r="M53" s="124">
        <v>4.25</v>
      </c>
      <c r="N53" s="318">
        <v>3.69</v>
      </c>
      <c r="O53" s="318">
        <v>4.04</v>
      </c>
      <c r="P53" s="144">
        <v>0.20999999999999996</v>
      </c>
      <c r="Q53" s="144">
        <v>0.56000000000000005</v>
      </c>
      <c r="R53" s="286"/>
      <c r="S53" s="286"/>
      <c r="T53" s="689"/>
      <c r="U53" s="689"/>
      <c r="V53" s="286"/>
      <c r="W53" s="286"/>
    </row>
    <row r="54" spans="1:23" ht="15" x14ac:dyDescent="0.25">
      <c r="A54" s="286"/>
      <c r="B54" s="323" t="s">
        <v>71</v>
      </c>
      <c r="C54" s="294"/>
      <c r="D54" s="318"/>
      <c r="E54" s="318"/>
      <c r="F54" s="318"/>
      <c r="G54" s="318"/>
      <c r="H54" s="318"/>
      <c r="I54" s="705"/>
      <c r="J54" s="325"/>
      <c r="K54" s="325"/>
      <c r="L54" s="320"/>
      <c r="M54" s="98"/>
      <c r="N54" s="318"/>
      <c r="O54" s="318"/>
      <c r="P54" s="322"/>
      <c r="Q54" s="322"/>
      <c r="R54" s="286"/>
      <c r="S54" s="286"/>
      <c r="T54" s="689"/>
      <c r="U54" s="689"/>
      <c r="V54" s="286"/>
      <c r="W54" s="286"/>
    </row>
    <row r="55" spans="1:23" ht="15" x14ac:dyDescent="0.25">
      <c r="A55" s="286"/>
      <c r="B55" s="696" t="s">
        <v>441</v>
      </c>
      <c r="C55" s="294"/>
      <c r="D55" s="318">
        <v>4.1100000000000003</v>
      </c>
      <c r="E55" s="318">
        <v>3.98</v>
      </c>
      <c r="F55" s="318">
        <v>4.12</v>
      </c>
      <c r="G55" s="318">
        <v>3.26</v>
      </c>
      <c r="H55" s="318">
        <v>4.1900000000000004</v>
      </c>
      <c r="I55" s="123">
        <v>4.3499999999999996</v>
      </c>
      <c r="J55" s="324">
        <v>0.15999999999999925</v>
      </c>
      <c r="K55" s="324">
        <v>0.36999999999999966</v>
      </c>
      <c r="L55" s="320"/>
      <c r="M55" s="124">
        <v>4.2699999999999996</v>
      </c>
      <c r="N55" s="318">
        <v>3.67</v>
      </c>
      <c r="O55" s="318">
        <v>4.04</v>
      </c>
      <c r="P55" s="144">
        <v>0.22999999999999954</v>
      </c>
      <c r="Q55" s="144">
        <v>0.59999999999999964</v>
      </c>
      <c r="R55" s="286"/>
      <c r="S55" s="286"/>
      <c r="T55" s="689"/>
      <c r="U55" s="689"/>
      <c r="V55" s="286"/>
      <c r="W55" s="286"/>
    </row>
    <row r="56" spans="1:23" ht="17.25" x14ac:dyDescent="0.25">
      <c r="A56" s="286"/>
      <c r="B56" s="696" t="s">
        <v>493</v>
      </c>
      <c r="C56" s="294"/>
      <c r="D56" s="318">
        <v>4.1100000000000003</v>
      </c>
      <c r="E56" s="318">
        <v>3.98</v>
      </c>
      <c r="F56" s="318">
        <v>4.12</v>
      </c>
      <c r="G56" s="318">
        <v>3.25</v>
      </c>
      <c r="H56" s="318">
        <v>4.17</v>
      </c>
      <c r="I56" s="123">
        <v>4.33</v>
      </c>
      <c r="J56" s="324">
        <v>0.16000000000000014</v>
      </c>
      <c r="K56" s="324">
        <v>0.35000000000000009</v>
      </c>
      <c r="L56" s="320"/>
      <c r="M56" s="124">
        <v>4.25</v>
      </c>
      <c r="N56" s="318">
        <v>3.66</v>
      </c>
      <c r="O56" s="318">
        <v>4.04</v>
      </c>
      <c r="P56" s="144">
        <v>0.20999999999999996</v>
      </c>
      <c r="Q56" s="144">
        <v>0.58999999999999986</v>
      </c>
      <c r="R56" s="286"/>
      <c r="S56" s="286"/>
      <c r="T56" s="689"/>
      <c r="U56" s="689"/>
      <c r="V56" s="286"/>
      <c r="W56" s="286"/>
    </row>
    <row r="57" spans="1:23" ht="17.25" x14ac:dyDescent="0.25">
      <c r="A57" s="286"/>
      <c r="B57" s="323" t="s">
        <v>72</v>
      </c>
      <c r="C57" s="294"/>
      <c r="D57" s="318">
        <v>23.81</v>
      </c>
      <c r="E57" s="318">
        <v>23.82</v>
      </c>
      <c r="F57" s="318">
        <v>24.28</v>
      </c>
      <c r="G57" s="318">
        <v>24.29</v>
      </c>
      <c r="H57" s="318">
        <v>24.38</v>
      </c>
      <c r="I57" s="123">
        <v>24.69</v>
      </c>
      <c r="J57" s="324">
        <v>0.31000000000000227</v>
      </c>
      <c r="K57" s="324">
        <v>0.87000000000000099</v>
      </c>
      <c r="L57" s="320"/>
      <c r="M57" s="124">
        <v>24.69</v>
      </c>
      <c r="N57" s="318">
        <v>24.29</v>
      </c>
      <c r="O57" s="318">
        <v>23.82</v>
      </c>
      <c r="P57" s="144">
        <v>0.87000000000000099</v>
      </c>
      <c r="Q57" s="144">
        <v>0.40000000000000213</v>
      </c>
      <c r="R57" s="286"/>
      <c r="S57" s="286"/>
      <c r="T57" s="689"/>
      <c r="U57" s="689"/>
      <c r="V57" s="286"/>
      <c r="W57" s="286"/>
    </row>
    <row r="58" spans="1:23" x14ac:dyDescent="0.2">
      <c r="A58" s="286"/>
      <c r="B58" s="323"/>
      <c r="C58" s="323"/>
      <c r="D58" s="678"/>
      <c r="E58" s="678"/>
      <c r="F58" s="678"/>
      <c r="G58" s="678"/>
      <c r="H58" s="678"/>
      <c r="I58" s="678"/>
      <c r="J58" s="320"/>
      <c r="K58" s="320"/>
      <c r="L58" s="320"/>
      <c r="M58" s="292"/>
      <c r="N58" s="292"/>
      <c r="O58" s="286"/>
      <c r="P58" s="320"/>
      <c r="Q58" s="320"/>
      <c r="R58" s="286"/>
      <c r="S58" s="286"/>
      <c r="T58" s="286"/>
      <c r="U58" s="286"/>
      <c r="V58" s="286"/>
      <c r="W58" s="286"/>
    </row>
    <row r="59" spans="1:23" s="326" customFormat="1" ht="12.75" x14ac:dyDescent="0.2">
      <c r="B59" s="327" t="s">
        <v>73</v>
      </c>
      <c r="C59" s="697"/>
      <c r="D59" s="697"/>
      <c r="E59" s="697"/>
      <c r="F59" s="697"/>
      <c r="G59" s="697"/>
      <c r="H59" s="697"/>
      <c r="I59" s="697"/>
      <c r="J59" s="697"/>
      <c r="K59" s="697"/>
      <c r="L59" s="697"/>
      <c r="M59" s="697"/>
      <c r="N59" s="697"/>
      <c r="O59" s="697"/>
      <c r="P59" s="697"/>
      <c r="Q59" s="697"/>
    </row>
    <row r="60" spans="1:23" s="326" customFormat="1" ht="12.75" x14ac:dyDescent="0.2">
      <c r="B60" s="327" t="s">
        <v>470</v>
      </c>
      <c r="C60" s="697"/>
      <c r="D60" s="697"/>
      <c r="E60" s="697"/>
      <c r="F60" s="697"/>
      <c r="G60" s="697"/>
      <c r="H60" s="697"/>
      <c r="I60" s="697"/>
      <c r="J60" s="697"/>
      <c r="K60" s="697"/>
      <c r="L60" s="697"/>
      <c r="M60" s="697"/>
      <c r="N60" s="697"/>
      <c r="O60" s="697"/>
      <c r="P60" s="697"/>
      <c r="Q60" s="697"/>
    </row>
    <row r="61" spans="1:23" s="326" customFormat="1" ht="12.75" x14ac:dyDescent="0.2">
      <c r="B61" s="327" t="s">
        <v>442</v>
      </c>
      <c r="C61" s="697"/>
      <c r="D61" s="697"/>
      <c r="E61" s="697"/>
      <c r="F61" s="697"/>
      <c r="G61" s="697"/>
      <c r="H61" s="697"/>
      <c r="I61" s="697"/>
      <c r="J61" s="697"/>
      <c r="K61" s="697"/>
      <c r="L61" s="697"/>
      <c r="M61" s="697"/>
      <c r="N61" s="697"/>
      <c r="O61" s="697"/>
      <c r="P61" s="697"/>
      <c r="Q61" s="697"/>
    </row>
    <row r="62" spans="1:23" s="326" customFormat="1" ht="12.75" x14ac:dyDescent="0.2">
      <c r="B62" s="327" t="s">
        <v>74</v>
      </c>
      <c r="C62" s="327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</row>
    <row r="63" spans="1:23" s="326" customFormat="1" ht="12.75" x14ac:dyDescent="0.2">
      <c r="B63" s="327" t="s">
        <v>75</v>
      </c>
      <c r="C63" s="329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</row>
    <row r="64" spans="1:23" s="326" customFormat="1" ht="12.75" x14ac:dyDescent="0.2">
      <c r="B64" s="327" t="s">
        <v>419</v>
      </c>
      <c r="C64" s="329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</row>
    <row r="65" spans="1:18" s="326" customFormat="1" ht="12.75" x14ac:dyDescent="0.2">
      <c r="B65" s="329" t="s">
        <v>443</v>
      </c>
      <c r="C65" s="329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</row>
    <row r="66" spans="1:18" s="286" customFormat="1" x14ac:dyDescent="0.2">
      <c r="A66" s="327"/>
      <c r="B66" s="329" t="s">
        <v>444</v>
      </c>
      <c r="C66" s="32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8" x14ac:dyDescent="0.2">
      <c r="A67" s="698"/>
      <c r="B67" s="70" t="s">
        <v>76</v>
      </c>
      <c r="C67" s="32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286"/>
      <c r="P67" s="286"/>
      <c r="Q67" s="286"/>
      <c r="R67" s="286"/>
    </row>
    <row r="68" spans="1:18" s="286" customFormat="1" x14ac:dyDescent="0.2">
      <c r="A68" s="327"/>
      <c r="B68" s="70"/>
      <c r="C68" s="32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8" s="286" customFormat="1" x14ac:dyDescent="0.2">
      <c r="A69" s="327"/>
      <c r="B69" s="321"/>
      <c r="C69" s="32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8" x14ac:dyDescent="0.2">
      <c r="A70" s="699"/>
      <c r="B70" s="330"/>
      <c r="C70" s="32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286"/>
      <c r="P70" s="286"/>
      <c r="Q70" s="286"/>
      <c r="R70" s="286"/>
    </row>
    <row r="71" spans="1:18" x14ac:dyDescent="0.2">
      <c r="A71" s="286"/>
      <c r="B71" s="330"/>
      <c r="C71" s="32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286"/>
      <c r="P71" s="286"/>
      <c r="Q71" s="286"/>
      <c r="R71" s="286"/>
    </row>
    <row r="72" spans="1:18" x14ac:dyDescent="0.2">
      <c r="A72" s="286"/>
      <c r="B72" s="330"/>
      <c r="C72" s="32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286"/>
      <c r="P72" s="286"/>
      <c r="Q72" s="286"/>
      <c r="R72" s="286"/>
    </row>
    <row r="73" spans="1:18" x14ac:dyDescent="0.2">
      <c r="A73" s="286"/>
      <c r="B73" s="70"/>
      <c r="C73" s="32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286"/>
      <c r="P73" s="286"/>
      <c r="Q73" s="286"/>
      <c r="R73" s="286"/>
    </row>
    <row r="74" spans="1:18" x14ac:dyDescent="0.2">
      <c r="A74" s="286"/>
      <c r="B74" s="70"/>
      <c r="C74" s="32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286"/>
      <c r="P74" s="286"/>
      <c r="Q74" s="286"/>
      <c r="R74" s="286"/>
    </row>
  </sheetData>
  <sheetProtection formatCells="0"/>
  <mergeCells count="1">
    <mergeCell ref="A2:C2"/>
  </mergeCells>
  <phoneticPr fontId="2" type="noConversion"/>
  <hyperlinks>
    <hyperlink ref="A2" location="Index!A1" display="Back to Index" xr:uid="{42ED5552-A2DF-4DAD-9B3D-6B3574593536}"/>
  </hyperlinks>
  <printOptions gridLines="1"/>
  <pageMargins left="0.70866141732283472" right="0.23622047244094491" top="0.98425196850393704" bottom="0.98425196850393704" header="0.51181102362204722" footer="0.51181102362204722"/>
  <pageSetup paperSize="9" scale="76" fitToHeight="0" orientation="landscape" r:id="rId1"/>
  <headerFooter alignWithMargins="0">
    <oddFooter>&amp;L&amp;D &amp;T&amp;R&amp;F&amp;A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F74C-1703-4CB8-86F1-6C4AA7C31DD1}">
  <sheetPr>
    <tabColor theme="9" tint="0.39997558519241921"/>
    <pageSetUpPr fitToPage="1"/>
  </sheetPr>
  <dimension ref="A1:L82"/>
  <sheetViews>
    <sheetView showGridLines="0" zoomScale="85" zoomScaleNormal="85" zoomScaleSheetLayoutView="70" workbookViewId="0"/>
  </sheetViews>
  <sheetFormatPr defaultColWidth="9.42578125" defaultRowHeight="14.25" x14ac:dyDescent="0.2"/>
  <cols>
    <col min="1" max="1" width="2" style="668" customWidth="1"/>
    <col min="2" max="2" width="2.42578125" style="668" customWidth="1"/>
    <col min="3" max="3" width="67.42578125" style="668" customWidth="1"/>
    <col min="4" max="8" width="11.42578125" style="669" customWidth="1"/>
    <col min="9" max="16384" width="9.42578125" style="668"/>
  </cols>
  <sheetData>
    <row r="1" spans="1:12" s="662" customFormat="1" ht="20.25" x14ac:dyDescent="0.3">
      <c r="A1" s="3" t="s">
        <v>3</v>
      </c>
      <c r="B1" s="4"/>
      <c r="C1" s="4"/>
      <c r="D1" s="331"/>
      <c r="E1" s="331"/>
      <c r="F1" s="331"/>
      <c r="G1" s="331"/>
      <c r="H1" s="331"/>
      <c r="I1" s="4"/>
      <c r="J1" s="4"/>
      <c r="K1" s="4"/>
      <c r="L1" s="4"/>
    </row>
    <row r="2" spans="1:12" s="663" customFormat="1" ht="53.1" customHeight="1" x14ac:dyDescent="0.25">
      <c r="A2" s="729" t="s">
        <v>34</v>
      </c>
      <c r="B2" s="729"/>
      <c r="C2" s="729"/>
      <c r="D2" s="284" t="s">
        <v>449</v>
      </c>
      <c r="E2" s="284" t="s">
        <v>450</v>
      </c>
      <c r="F2" s="284" t="s">
        <v>37</v>
      </c>
      <c r="G2" s="332" t="s">
        <v>451</v>
      </c>
      <c r="H2" s="332" t="s">
        <v>452</v>
      </c>
      <c r="I2" s="6"/>
      <c r="J2" s="6"/>
      <c r="K2" s="6"/>
      <c r="L2" s="6"/>
    </row>
    <row r="3" spans="1:12" s="664" customFormat="1" ht="7.5" customHeight="1" x14ac:dyDescent="0.2">
      <c r="A3" s="286"/>
      <c r="B3" s="321"/>
      <c r="C3" s="286"/>
      <c r="D3" s="98"/>
      <c r="E3" s="8"/>
      <c r="F3" s="8"/>
      <c r="G3" s="293"/>
      <c r="H3" s="293"/>
      <c r="I3" s="286"/>
      <c r="J3" s="286"/>
      <c r="K3" s="286"/>
      <c r="L3" s="286"/>
    </row>
    <row r="4" spans="1:12" s="665" customFormat="1" ht="15" x14ac:dyDescent="0.25">
      <c r="A4" s="316" t="s">
        <v>456</v>
      </c>
      <c r="B4" s="294"/>
      <c r="C4" s="294"/>
      <c r="D4" s="146"/>
      <c r="E4" s="295"/>
      <c r="F4" s="295"/>
      <c r="G4" s="24"/>
      <c r="H4" s="24"/>
      <c r="I4" s="294"/>
      <c r="J4" s="294"/>
      <c r="K4" s="294"/>
      <c r="L4" s="294"/>
    </row>
    <row r="5" spans="1:12" s="665" customFormat="1" ht="17.25" x14ac:dyDescent="0.25">
      <c r="A5" s="316"/>
      <c r="B5" s="323" t="s">
        <v>457</v>
      </c>
      <c r="C5" s="294"/>
      <c r="D5" s="146"/>
      <c r="E5" s="295"/>
      <c r="F5" s="295"/>
      <c r="G5" s="24"/>
      <c r="H5" s="24"/>
      <c r="I5" s="294"/>
      <c r="J5" s="294"/>
      <c r="K5" s="294"/>
      <c r="L5" s="294"/>
    </row>
    <row r="6" spans="1:12" s="665" customFormat="1" ht="15" x14ac:dyDescent="0.25">
      <c r="A6" s="316"/>
      <c r="B6" s="323"/>
      <c r="C6" s="334" t="s">
        <v>453</v>
      </c>
      <c r="D6" s="124">
        <v>4.2699999999999996</v>
      </c>
      <c r="E6" s="335">
        <v>3.71</v>
      </c>
      <c r="F6" s="136">
        <v>4.04</v>
      </c>
      <c r="G6" s="144">
        <v>0.22999999999999954</v>
      </c>
      <c r="H6" s="144">
        <v>0.55999999999999961</v>
      </c>
      <c r="I6" s="294"/>
      <c r="J6" s="294"/>
      <c r="K6" s="294"/>
      <c r="L6" s="294"/>
    </row>
    <row r="7" spans="1:12" s="665" customFormat="1" ht="17.25" x14ac:dyDescent="0.25">
      <c r="A7" s="316"/>
      <c r="B7" s="323"/>
      <c r="C7" s="334" t="s">
        <v>458</v>
      </c>
      <c r="D7" s="124">
        <v>4.25</v>
      </c>
      <c r="E7" s="335">
        <v>3.69</v>
      </c>
      <c r="F7" s="136">
        <v>4.04</v>
      </c>
      <c r="G7" s="144">
        <v>0.20999999999999996</v>
      </c>
      <c r="H7" s="144">
        <v>0.56000000000000005</v>
      </c>
      <c r="I7" s="294"/>
      <c r="J7" s="294"/>
      <c r="K7" s="294"/>
      <c r="L7" s="294"/>
    </row>
    <row r="8" spans="1:12" s="665" customFormat="1" ht="15" x14ac:dyDescent="0.25">
      <c r="A8" s="316"/>
      <c r="B8" s="323" t="s">
        <v>71</v>
      </c>
      <c r="C8" s="323"/>
      <c r="D8" s="98"/>
      <c r="E8" s="336"/>
      <c r="F8" s="137"/>
      <c r="G8" s="24"/>
      <c r="H8" s="24"/>
      <c r="I8" s="294"/>
      <c r="J8" s="294"/>
      <c r="K8" s="294"/>
      <c r="L8" s="294"/>
    </row>
    <row r="9" spans="1:12" s="665" customFormat="1" ht="15" x14ac:dyDescent="0.25">
      <c r="A9" s="316"/>
      <c r="B9" s="323"/>
      <c r="C9" s="334" t="s">
        <v>453</v>
      </c>
      <c r="D9" s="124">
        <v>4.2699999999999996</v>
      </c>
      <c r="E9" s="336">
        <v>3.67</v>
      </c>
      <c r="F9" s="137">
        <v>4.04</v>
      </c>
      <c r="G9" s="144">
        <v>0.22999999999999954</v>
      </c>
      <c r="H9" s="144">
        <v>0.59999999999999964</v>
      </c>
      <c r="I9" s="294"/>
      <c r="J9" s="294"/>
      <c r="K9" s="294"/>
      <c r="L9" s="294"/>
    </row>
    <row r="10" spans="1:12" s="665" customFormat="1" ht="17.25" x14ac:dyDescent="0.25">
      <c r="A10" s="316"/>
      <c r="B10" s="323"/>
      <c r="C10" s="334" t="s">
        <v>458</v>
      </c>
      <c r="D10" s="124">
        <v>4.25</v>
      </c>
      <c r="E10" s="336">
        <v>3.66</v>
      </c>
      <c r="F10" s="137">
        <v>4.04</v>
      </c>
      <c r="G10" s="144">
        <v>0.20999999999999996</v>
      </c>
      <c r="H10" s="144">
        <v>0.58999999999999986</v>
      </c>
      <c r="I10" s="294"/>
      <c r="J10" s="294"/>
      <c r="K10" s="294"/>
      <c r="L10" s="294"/>
    </row>
    <row r="11" spans="1:12" s="665" customFormat="1" ht="15" x14ac:dyDescent="0.25">
      <c r="A11" s="316"/>
      <c r="B11" s="323" t="s">
        <v>77</v>
      </c>
      <c r="C11" s="323"/>
      <c r="D11" s="124">
        <v>24.69</v>
      </c>
      <c r="E11" s="336">
        <v>24.29</v>
      </c>
      <c r="F11" s="137">
        <v>23.82</v>
      </c>
      <c r="G11" s="144">
        <v>0.87000000000000099</v>
      </c>
      <c r="H11" s="144">
        <v>0.40000000000000213</v>
      </c>
      <c r="I11" s="294"/>
      <c r="J11" s="294"/>
      <c r="K11" s="294"/>
      <c r="L11" s="294"/>
    </row>
    <row r="12" spans="1:12" s="665" customFormat="1" ht="17.25" x14ac:dyDescent="0.25">
      <c r="A12" s="316"/>
      <c r="B12" s="323" t="s">
        <v>459</v>
      </c>
      <c r="C12" s="323"/>
      <c r="D12" s="124">
        <v>1.62</v>
      </c>
      <c r="E12" s="336">
        <v>1.56</v>
      </c>
      <c r="F12" s="137">
        <v>1.5</v>
      </c>
      <c r="G12" s="144">
        <v>0.12000000000000011</v>
      </c>
      <c r="H12" s="144">
        <v>6.0000000000000053E-2</v>
      </c>
      <c r="I12" s="294"/>
      <c r="J12" s="294"/>
      <c r="K12" s="294"/>
      <c r="L12" s="294"/>
    </row>
    <row r="13" spans="1:12" s="664" customFormat="1" x14ac:dyDescent="0.2">
      <c r="A13" s="286"/>
      <c r="B13" s="334"/>
      <c r="C13" s="286"/>
      <c r="D13" s="98"/>
      <c r="E13" s="292"/>
      <c r="F13" s="292"/>
      <c r="G13" s="293"/>
      <c r="H13" s="293"/>
      <c r="I13" s="286"/>
      <c r="J13" s="286"/>
      <c r="K13" s="286"/>
      <c r="L13" s="286"/>
    </row>
    <row r="14" spans="1:12" s="664" customFormat="1" ht="17.25" x14ac:dyDescent="0.25">
      <c r="A14" s="337" t="s">
        <v>460</v>
      </c>
      <c r="B14" s="334"/>
      <c r="C14" s="286"/>
      <c r="D14" s="124"/>
      <c r="E14" s="666"/>
      <c r="F14" s="666"/>
      <c r="G14" s="667"/>
      <c r="H14" s="667"/>
      <c r="I14" s="286"/>
      <c r="J14" s="286"/>
      <c r="K14" s="286"/>
      <c r="L14" s="286"/>
    </row>
    <row r="15" spans="1:12" s="664" customFormat="1" x14ac:dyDescent="0.2">
      <c r="A15" s="286"/>
      <c r="B15" s="286"/>
      <c r="C15" s="338" t="s">
        <v>78</v>
      </c>
      <c r="D15" s="98"/>
      <c r="E15" s="8"/>
      <c r="F15" s="8"/>
      <c r="G15" s="339"/>
      <c r="H15" s="339"/>
      <c r="I15" s="286"/>
      <c r="J15" s="286"/>
      <c r="K15" s="286"/>
      <c r="L15" s="286"/>
    </row>
    <row r="16" spans="1:12" s="664" customFormat="1" ht="14.85" customHeight="1" x14ac:dyDescent="0.25">
      <c r="A16" s="286"/>
      <c r="B16" s="286"/>
      <c r="C16" s="323" t="s">
        <v>457</v>
      </c>
      <c r="D16" s="122">
        <v>6009</v>
      </c>
      <c r="E16" s="8">
        <v>5312</v>
      </c>
      <c r="F16" s="8">
        <v>5721</v>
      </c>
      <c r="G16" s="296">
        <v>5.0340849501835372</v>
      </c>
      <c r="H16" s="296">
        <v>13.121234939759031</v>
      </c>
      <c r="I16" s="286"/>
      <c r="J16" s="286"/>
      <c r="K16" s="294"/>
      <c r="L16" s="294"/>
    </row>
    <row r="17" spans="1:12" s="664" customFormat="1" ht="15" x14ac:dyDescent="0.25">
      <c r="A17" s="286"/>
      <c r="B17" s="286"/>
      <c r="C17" s="323" t="s">
        <v>71</v>
      </c>
      <c r="D17" s="122">
        <v>6009</v>
      </c>
      <c r="E17" s="8">
        <v>5212</v>
      </c>
      <c r="F17" s="8">
        <v>5721</v>
      </c>
      <c r="G17" s="296">
        <v>5.0340849501835372</v>
      </c>
      <c r="H17" s="296">
        <v>15.291634689178824</v>
      </c>
      <c r="I17" s="286"/>
      <c r="J17" s="286"/>
      <c r="K17" s="294"/>
      <c r="L17" s="294"/>
    </row>
    <row r="18" spans="1:12" s="664" customFormat="1" ht="15" x14ac:dyDescent="0.25">
      <c r="A18" s="286"/>
      <c r="B18" s="286"/>
      <c r="C18" s="286"/>
      <c r="D18" s="122"/>
      <c r="E18" s="292"/>
      <c r="F18" s="292"/>
      <c r="G18" s="339"/>
      <c r="H18" s="339"/>
      <c r="I18" s="286"/>
      <c r="J18" s="286"/>
      <c r="K18" s="294"/>
      <c r="L18" s="294"/>
    </row>
    <row r="19" spans="1:12" s="664" customFormat="1" ht="15" x14ac:dyDescent="0.25">
      <c r="A19" s="286"/>
      <c r="B19" s="294" t="s">
        <v>79</v>
      </c>
      <c r="C19" s="286"/>
      <c r="D19" s="122">
        <v>0</v>
      </c>
      <c r="E19" s="8">
        <v>8</v>
      </c>
      <c r="F19" s="8">
        <v>27</v>
      </c>
      <c r="G19" s="296">
        <v>-100</v>
      </c>
      <c r="H19" s="296">
        <v>-100</v>
      </c>
      <c r="I19" s="286"/>
      <c r="J19" s="286"/>
      <c r="K19" s="294"/>
      <c r="L19" s="294"/>
    </row>
    <row r="20" spans="1:12" s="664" customFormat="1" ht="15" x14ac:dyDescent="0.25">
      <c r="A20" s="286"/>
      <c r="B20" s="286"/>
      <c r="C20" s="321"/>
      <c r="D20" s="122"/>
      <c r="E20" s="292"/>
      <c r="F20" s="292"/>
      <c r="G20" s="339"/>
      <c r="H20" s="339"/>
      <c r="I20" s="286"/>
      <c r="J20" s="286"/>
      <c r="K20" s="294"/>
      <c r="L20" s="294"/>
    </row>
    <row r="21" spans="1:12" s="664" customFormat="1" ht="15" x14ac:dyDescent="0.25">
      <c r="A21" s="286"/>
      <c r="B21" s="1" t="s">
        <v>454</v>
      </c>
      <c r="C21" s="286"/>
      <c r="D21" s="122"/>
      <c r="E21" s="292"/>
      <c r="F21" s="292"/>
      <c r="G21" s="339"/>
      <c r="H21" s="339"/>
      <c r="I21" s="286"/>
      <c r="J21" s="286"/>
      <c r="K21" s="294"/>
      <c r="L21" s="294"/>
    </row>
    <row r="22" spans="1:12" s="664" customFormat="1" ht="15" x14ac:dyDescent="0.25">
      <c r="A22" s="286"/>
      <c r="B22" s="341"/>
      <c r="C22" s="286" t="s">
        <v>461</v>
      </c>
      <c r="D22" s="122">
        <v>2841</v>
      </c>
      <c r="E22" s="8">
        <v>2836</v>
      </c>
      <c r="F22" s="8">
        <v>2839</v>
      </c>
      <c r="G22" s="296">
        <v>7.0447340612900256E-2</v>
      </c>
      <c r="H22" s="296">
        <v>0.17630465444287147</v>
      </c>
      <c r="I22" s="286"/>
      <c r="J22" s="286"/>
      <c r="K22" s="294"/>
      <c r="L22" s="294"/>
    </row>
    <row r="23" spans="1:12" s="664" customFormat="1" ht="17.25" x14ac:dyDescent="0.25">
      <c r="A23" s="286"/>
      <c r="B23" s="341"/>
      <c r="C23" s="286" t="s">
        <v>462</v>
      </c>
      <c r="D23" s="122">
        <v>2850</v>
      </c>
      <c r="E23" s="8">
        <v>2849</v>
      </c>
      <c r="F23" s="8">
        <v>2839</v>
      </c>
      <c r="G23" s="296">
        <v>0.38746037337089589</v>
      </c>
      <c r="H23" s="296">
        <v>3.5100035100033011E-2</v>
      </c>
      <c r="I23" s="286"/>
      <c r="J23" s="286"/>
      <c r="K23" s="294"/>
      <c r="L23" s="294"/>
    </row>
    <row r="24" spans="1:12" ht="15" x14ac:dyDescent="0.25">
      <c r="A24" s="287"/>
      <c r="B24" s="287"/>
      <c r="C24" s="287"/>
      <c r="D24" s="122"/>
      <c r="E24" s="292"/>
      <c r="F24" s="292"/>
      <c r="G24" s="339"/>
      <c r="H24" s="339"/>
      <c r="I24" s="286"/>
      <c r="J24" s="286"/>
      <c r="K24" s="294"/>
      <c r="L24" s="294"/>
    </row>
    <row r="25" spans="1:12" ht="15" x14ac:dyDescent="0.25">
      <c r="A25" s="337" t="s">
        <v>80</v>
      </c>
      <c r="B25" s="287"/>
      <c r="C25" s="287"/>
      <c r="D25" s="112"/>
      <c r="E25" s="148"/>
      <c r="F25" s="148"/>
      <c r="G25" s="149"/>
      <c r="H25" s="149"/>
      <c r="I25" s="286"/>
      <c r="J25" s="286"/>
      <c r="K25" s="294"/>
      <c r="L25" s="294"/>
    </row>
    <row r="26" spans="1:12" s="664" customFormat="1" ht="15" x14ac:dyDescent="0.25">
      <c r="A26" s="286"/>
      <c r="B26" s="294" t="s">
        <v>81</v>
      </c>
      <c r="C26" s="286"/>
      <c r="D26" s="112">
        <v>70166</v>
      </c>
      <c r="E26" s="130">
        <v>68867</v>
      </c>
      <c r="F26" s="130">
        <v>67564</v>
      </c>
      <c r="G26" s="296">
        <v>3.8511633414244351</v>
      </c>
      <c r="H26" s="296">
        <v>1.8862445002686412</v>
      </c>
      <c r="I26" s="286"/>
      <c r="J26" s="286"/>
      <c r="K26" s="294"/>
      <c r="L26" s="294"/>
    </row>
    <row r="27" spans="1:12" s="664" customFormat="1" ht="15" x14ac:dyDescent="0.25">
      <c r="A27" s="286"/>
      <c r="B27" s="287"/>
      <c r="C27" s="286"/>
      <c r="D27" s="122"/>
      <c r="E27" s="296"/>
      <c r="F27" s="296"/>
      <c r="G27" s="296"/>
      <c r="H27" s="296"/>
      <c r="I27" s="286"/>
      <c r="J27" s="286"/>
      <c r="K27" s="294"/>
      <c r="L27" s="294"/>
    </row>
    <row r="28" spans="1:12" s="664" customFormat="1" ht="15" x14ac:dyDescent="0.25">
      <c r="A28" s="286"/>
      <c r="B28" s="1" t="s">
        <v>463</v>
      </c>
      <c r="C28" s="286"/>
      <c r="D28" s="122">
        <v>2842</v>
      </c>
      <c r="E28" s="296">
        <v>2836</v>
      </c>
      <c r="F28" s="296">
        <v>2836</v>
      </c>
      <c r="G28" s="296">
        <v>0.21156558533146352</v>
      </c>
      <c r="H28" s="296">
        <v>0.21156558533146352</v>
      </c>
      <c r="I28" s="286"/>
      <c r="J28" s="286"/>
      <c r="K28" s="294"/>
      <c r="L28" s="294"/>
    </row>
    <row r="29" spans="1:12" s="664" customFormat="1" x14ac:dyDescent="0.2">
      <c r="A29" s="286"/>
      <c r="B29" s="286"/>
      <c r="C29" s="286"/>
      <c r="D29" s="302"/>
      <c r="E29" s="302"/>
      <c r="F29" s="302"/>
      <c r="G29" s="293"/>
      <c r="H29" s="293"/>
      <c r="I29" s="286"/>
      <c r="J29" s="286"/>
      <c r="K29" s="286"/>
      <c r="L29" s="286"/>
    </row>
    <row r="30" spans="1:12" x14ac:dyDescent="0.2">
      <c r="A30" s="287"/>
      <c r="B30" s="287"/>
      <c r="C30" s="287"/>
      <c r="D30" s="8"/>
      <c r="E30" s="8"/>
      <c r="F30" s="8"/>
      <c r="G30" s="293"/>
      <c r="H30" s="293"/>
      <c r="I30" s="287"/>
      <c r="J30" s="287"/>
      <c r="K30" s="287"/>
      <c r="L30" s="287"/>
    </row>
    <row r="31" spans="1:12" s="326" customFormat="1" ht="12.75" x14ac:dyDescent="0.2">
      <c r="B31" s="327" t="s">
        <v>82</v>
      </c>
      <c r="C31" s="329" t="s">
        <v>469</v>
      </c>
      <c r="D31" s="328"/>
      <c r="E31" s="328"/>
      <c r="F31" s="328"/>
      <c r="G31" s="328"/>
      <c r="H31" s="328"/>
      <c r="I31" s="328"/>
    </row>
    <row r="32" spans="1:12" s="287" customFormat="1" x14ac:dyDescent="0.2">
      <c r="B32" s="327" t="s">
        <v>83</v>
      </c>
      <c r="C32" s="327" t="s">
        <v>464</v>
      </c>
      <c r="D32" s="8"/>
      <c r="E32" s="8"/>
      <c r="F32" s="8"/>
      <c r="G32" s="8"/>
      <c r="H32" s="8"/>
    </row>
    <row r="33" spans="1:8" s="287" customFormat="1" x14ac:dyDescent="0.2">
      <c r="B33" s="327" t="s">
        <v>84</v>
      </c>
      <c r="C33" s="327" t="s">
        <v>86</v>
      </c>
      <c r="D33" s="8"/>
    </row>
    <row r="34" spans="1:8" x14ac:dyDescent="0.2">
      <c r="B34" s="327" t="s">
        <v>85</v>
      </c>
      <c r="C34" s="327" t="s">
        <v>455</v>
      </c>
    </row>
    <row r="35" spans="1:8" x14ac:dyDescent="0.2">
      <c r="A35" s="287"/>
      <c r="B35" s="287"/>
      <c r="C35" s="287"/>
      <c r="D35" s="8"/>
      <c r="E35" s="8"/>
      <c r="F35" s="8"/>
      <c r="G35" s="292"/>
      <c r="H35" s="292"/>
    </row>
    <row r="36" spans="1:8" x14ac:dyDescent="0.2">
      <c r="A36" s="287"/>
      <c r="B36" s="287"/>
      <c r="C36" s="287"/>
      <c r="D36" s="8"/>
      <c r="E36" s="8"/>
      <c r="F36" s="8"/>
      <c r="G36" s="292"/>
      <c r="H36" s="292"/>
    </row>
    <row r="37" spans="1:8" x14ac:dyDescent="0.2">
      <c r="A37" s="287"/>
      <c r="B37" s="287"/>
      <c r="C37" s="287"/>
      <c r="D37" s="8"/>
      <c r="E37" s="8"/>
      <c r="F37" s="8"/>
      <c r="G37" s="8"/>
      <c r="H37" s="8"/>
    </row>
    <row r="38" spans="1:8" x14ac:dyDescent="0.2">
      <c r="A38" s="287"/>
      <c r="B38" s="287"/>
      <c r="C38" s="287"/>
      <c r="D38" s="8"/>
      <c r="E38" s="318"/>
      <c r="F38" s="318"/>
      <c r="G38" s="8"/>
      <c r="H38" s="8"/>
    </row>
    <row r="39" spans="1:8" x14ac:dyDescent="0.2">
      <c r="A39" s="287"/>
      <c r="B39" s="287"/>
      <c r="C39" s="287"/>
      <c r="D39" s="8"/>
      <c r="E39" s="8"/>
      <c r="F39" s="8"/>
      <c r="G39" s="8"/>
      <c r="H39" s="8"/>
    </row>
    <row r="40" spans="1:8" x14ac:dyDescent="0.2">
      <c r="A40" s="287"/>
      <c r="B40" s="287"/>
      <c r="C40" s="287"/>
      <c r="D40" s="343"/>
      <c r="E40" s="343"/>
      <c r="F40" s="343"/>
      <c r="G40" s="8"/>
      <c r="H40" s="8"/>
    </row>
    <row r="41" spans="1:8" x14ac:dyDescent="0.2">
      <c r="A41" s="287"/>
      <c r="B41" s="287"/>
      <c r="C41" s="287"/>
      <c r="D41" s="8"/>
      <c r="E41" s="287"/>
      <c r="F41" s="287"/>
      <c r="G41" s="8"/>
      <c r="H41" s="8"/>
    </row>
    <row r="42" spans="1:8" x14ac:dyDescent="0.2">
      <c r="A42" s="287"/>
      <c r="B42" s="287"/>
      <c r="C42" s="287"/>
      <c r="D42" s="8"/>
      <c r="E42" s="343"/>
      <c r="F42" s="343"/>
      <c r="G42" s="8"/>
      <c r="H42" s="8"/>
    </row>
    <row r="43" spans="1:8" x14ac:dyDescent="0.2">
      <c r="A43" s="287"/>
      <c r="B43" s="287"/>
      <c r="C43" s="287"/>
      <c r="D43" s="8"/>
      <c r="E43" s="343"/>
      <c r="F43" s="343"/>
      <c r="G43" s="8"/>
      <c r="H43" s="8"/>
    </row>
    <row r="44" spans="1:8" x14ac:dyDescent="0.2">
      <c r="A44" s="287"/>
      <c r="B44" s="287"/>
      <c r="C44" s="287"/>
      <c r="D44" s="8"/>
      <c r="E44" s="287"/>
      <c r="F44" s="287"/>
      <c r="G44" s="8"/>
      <c r="H44" s="8"/>
    </row>
    <row r="45" spans="1:8" x14ac:dyDescent="0.2">
      <c r="A45" s="287"/>
      <c r="B45" s="287"/>
      <c r="C45" s="287"/>
      <c r="D45" s="8"/>
      <c r="E45" s="287"/>
      <c r="F45" s="287"/>
      <c r="G45" s="8"/>
      <c r="H45" s="8"/>
    </row>
    <row r="46" spans="1:8" x14ac:dyDescent="0.2">
      <c r="A46" s="287"/>
      <c r="B46" s="287"/>
      <c r="C46" s="287"/>
      <c r="D46" s="8"/>
      <c r="E46" s="343"/>
      <c r="F46" s="343"/>
      <c r="G46" s="8"/>
      <c r="H46" s="8"/>
    </row>
    <row r="47" spans="1:8" x14ac:dyDescent="0.2">
      <c r="A47" s="287"/>
      <c r="B47" s="287"/>
      <c r="C47" s="287"/>
      <c r="D47" s="8"/>
      <c r="E47" s="8"/>
      <c r="F47" s="8"/>
      <c r="G47" s="8"/>
      <c r="H47" s="8"/>
    </row>
    <row r="48" spans="1:8" x14ac:dyDescent="0.2">
      <c r="A48" s="287"/>
      <c r="B48" s="287"/>
      <c r="C48" s="287"/>
      <c r="D48" s="8"/>
      <c r="E48" s="8"/>
      <c r="F48" s="8"/>
      <c r="G48" s="8"/>
      <c r="H48" s="8"/>
    </row>
    <row r="49" spans="1:8" x14ac:dyDescent="0.2">
      <c r="A49" s="287"/>
      <c r="B49" s="287"/>
      <c r="C49" s="287"/>
      <c r="D49" s="8"/>
      <c r="E49" s="8"/>
      <c r="F49" s="8"/>
      <c r="G49" s="8"/>
      <c r="H49" s="8"/>
    </row>
    <row r="50" spans="1:8" x14ac:dyDescent="0.2">
      <c r="A50" s="287"/>
      <c r="B50" s="287"/>
      <c r="C50" s="287"/>
      <c r="D50" s="8"/>
      <c r="E50" s="8"/>
      <c r="F50" s="8"/>
      <c r="G50" s="8"/>
      <c r="H50" s="8"/>
    </row>
    <row r="51" spans="1:8" x14ac:dyDescent="0.2">
      <c r="A51" s="287"/>
      <c r="B51" s="287"/>
      <c r="C51" s="287"/>
      <c r="D51" s="8"/>
      <c r="E51" s="8"/>
      <c r="F51" s="8"/>
      <c r="G51" s="8"/>
      <c r="H51" s="8"/>
    </row>
    <row r="52" spans="1:8" x14ac:dyDescent="0.2">
      <c r="A52" s="287"/>
      <c r="B52" s="287"/>
      <c r="C52" s="287"/>
      <c r="D52" s="8"/>
      <c r="E52" s="8"/>
      <c r="F52" s="8"/>
      <c r="G52" s="8"/>
      <c r="H52" s="8"/>
    </row>
    <row r="53" spans="1:8" x14ac:dyDescent="0.2">
      <c r="A53" s="287"/>
      <c r="B53" s="287"/>
      <c r="C53" s="287"/>
      <c r="D53" s="8"/>
      <c r="E53" s="8"/>
      <c r="F53" s="8"/>
      <c r="G53" s="8"/>
      <c r="H53" s="8"/>
    </row>
    <row r="54" spans="1:8" x14ac:dyDescent="0.2">
      <c r="A54" s="287"/>
      <c r="B54" s="287"/>
      <c r="C54" s="287"/>
      <c r="D54" s="8"/>
      <c r="E54" s="8"/>
      <c r="F54" s="8"/>
      <c r="G54" s="8"/>
      <c r="H54" s="8"/>
    </row>
    <row r="55" spans="1:8" x14ac:dyDescent="0.2">
      <c r="A55" s="287"/>
      <c r="B55" s="287"/>
      <c r="C55" s="287"/>
      <c r="D55" s="8"/>
      <c r="E55" s="8"/>
      <c r="F55" s="8"/>
      <c r="G55" s="8"/>
      <c r="H55" s="8"/>
    </row>
    <row r="56" spans="1:8" x14ac:dyDescent="0.2">
      <c r="A56" s="287"/>
      <c r="B56" s="287"/>
      <c r="C56" s="287"/>
      <c r="D56" s="8"/>
      <c r="E56" s="8"/>
      <c r="F56" s="8"/>
      <c r="G56" s="8"/>
      <c r="H56" s="8"/>
    </row>
    <row r="57" spans="1:8" x14ac:dyDescent="0.2">
      <c r="A57" s="287"/>
      <c r="B57" s="287"/>
      <c r="C57" s="287"/>
      <c r="D57" s="8"/>
      <c r="E57" s="8"/>
      <c r="F57" s="8"/>
      <c r="G57" s="8"/>
      <c r="H57" s="8"/>
    </row>
    <row r="58" spans="1:8" x14ac:dyDescent="0.2">
      <c r="A58" s="287"/>
      <c r="B58" s="287"/>
      <c r="C58" s="287"/>
      <c r="D58" s="8"/>
      <c r="E58" s="8"/>
      <c r="F58" s="8"/>
      <c r="G58" s="8"/>
      <c r="H58" s="8"/>
    </row>
    <row r="59" spans="1:8" x14ac:dyDescent="0.2">
      <c r="A59" s="287"/>
      <c r="B59" s="287"/>
      <c r="C59" s="287"/>
      <c r="D59" s="8"/>
      <c r="E59" s="8"/>
      <c r="F59" s="8"/>
      <c r="G59" s="8"/>
      <c r="H59" s="8"/>
    </row>
    <row r="60" spans="1:8" x14ac:dyDescent="0.2">
      <c r="A60" s="287"/>
      <c r="B60" s="287"/>
      <c r="C60" s="287"/>
      <c r="D60" s="8"/>
      <c r="E60" s="8"/>
      <c r="F60" s="8"/>
      <c r="G60" s="8"/>
      <c r="H60" s="8"/>
    </row>
    <row r="61" spans="1:8" x14ac:dyDescent="0.2">
      <c r="A61" s="287"/>
      <c r="B61" s="287"/>
      <c r="C61" s="287"/>
      <c r="D61" s="8"/>
      <c r="E61" s="8"/>
      <c r="F61" s="8"/>
      <c r="G61" s="8"/>
      <c r="H61" s="8"/>
    </row>
    <row r="62" spans="1:8" x14ac:dyDescent="0.2">
      <c r="A62" s="287"/>
      <c r="B62" s="287"/>
      <c r="C62" s="287"/>
      <c r="D62" s="8"/>
      <c r="E62" s="8"/>
      <c r="F62" s="8"/>
      <c r="G62" s="8"/>
      <c r="H62" s="8"/>
    </row>
    <row r="63" spans="1:8" x14ac:dyDescent="0.2">
      <c r="A63" s="287"/>
      <c r="B63" s="287"/>
      <c r="C63" s="287"/>
      <c r="D63" s="8"/>
      <c r="E63" s="8"/>
      <c r="F63" s="8"/>
      <c r="G63" s="8"/>
      <c r="H63" s="8"/>
    </row>
    <row r="64" spans="1:8" x14ac:dyDescent="0.2">
      <c r="A64" s="287"/>
      <c r="B64" s="287"/>
      <c r="C64" s="287"/>
      <c r="D64" s="8"/>
      <c r="E64" s="8"/>
      <c r="F64" s="8"/>
      <c r="G64" s="8"/>
      <c r="H64" s="8"/>
    </row>
    <row r="65" spans="1:8" x14ac:dyDescent="0.2">
      <c r="A65" s="287"/>
      <c r="B65" s="287"/>
      <c r="C65" s="287"/>
      <c r="D65" s="8"/>
      <c r="E65" s="8"/>
      <c r="F65" s="8"/>
      <c r="G65" s="8"/>
      <c r="H65" s="8"/>
    </row>
    <row r="66" spans="1:8" x14ac:dyDescent="0.2">
      <c r="E66" s="8"/>
      <c r="F66" s="8"/>
    </row>
    <row r="67" spans="1:8" x14ac:dyDescent="0.2">
      <c r="E67" s="8"/>
      <c r="F67" s="8"/>
    </row>
    <row r="68" spans="1:8" x14ac:dyDescent="0.2">
      <c r="E68" s="8"/>
      <c r="F68" s="8"/>
    </row>
    <row r="69" spans="1:8" x14ac:dyDescent="0.2">
      <c r="E69" s="8"/>
      <c r="F69" s="8"/>
    </row>
    <row r="70" spans="1:8" x14ac:dyDescent="0.2">
      <c r="E70" s="8"/>
      <c r="F70" s="8"/>
    </row>
    <row r="71" spans="1:8" x14ac:dyDescent="0.2">
      <c r="E71" s="8"/>
      <c r="F71" s="8"/>
    </row>
    <row r="72" spans="1:8" x14ac:dyDescent="0.2">
      <c r="E72" s="8"/>
      <c r="F72" s="8"/>
    </row>
    <row r="73" spans="1:8" x14ac:dyDescent="0.2">
      <c r="E73" s="8"/>
      <c r="F73" s="8"/>
    </row>
    <row r="74" spans="1:8" x14ac:dyDescent="0.2">
      <c r="E74" s="8"/>
      <c r="F74" s="8"/>
    </row>
    <row r="75" spans="1:8" x14ac:dyDescent="0.2">
      <c r="E75" s="8"/>
      <c r="F75" s="8"/>
    </row>
    <row r="76" spans="1:8" x14ac:dyDescent="0.2">
      <c r="E76" s="8"/>
      <c r="F76" s="8"/>
    </row>
    <row r="77" spans="1:8" x14ac:dyDescent="0.2">
      <c r="E77" s="8"/>
      <c r="F77" s="8"/>
    </row>
    <row r="78" spans="1:8" x14ac:dyDescent="0.2">
      <c r="E78" s="8"/>
      <c r="F78" s="8"/>
    </row>
    <row r="79" spans="1:8" x14ac:dyDescent="0.2">
      <c r="E79" s="8"/>
      <c r="F79" s="8"/>
    </row>
    <row r="80" spans="1:8" x14ac:dyDescent="0.2">
      <c r="E80" s="8"/>
      <c r="F80" s="8"/>
    </row>
    <row r="81" spans="5:6" x14ac:dyDescent="0.2">
      <c r="E81" s="8"/>
      <c r="F81" s="8"/>
    </row>
    <row r="82" spans="5:6" x14ac:dyDescent="0.2">
      <c r="E82" s="8"/>
      <c r="F82" s="8"/>
    </row>
  </sheetData>
  <sheetProtection formatCells="0"/>
  <mergeCells count="1">
    <mergeCell ref="A2:C2"/>
  </mergeCells>
  <phoneticPr fontId="2" type="noConversion"/>
  <hyperlinks>
    <hyperlink ref="A2" location="Index!A1" display="Back to Index" xr:uid="{1EACCF1F-EF20-406D-B022-F6F587ADF261}"/>
  </hyperlinks>
  <pageMargins left="0.74803149606299213" right="0.74803149606299213" top="0.98425196850393704" bottom="0.98425196850393704" header="0.51181102362204722" footer="0.51181102362204722"/>
  <pageSetup scale="65" orientation="landscape" horizontalDpi="4294967295" verticalDpi="4294967295" r:id="rId1"/>
  <headerFooter alignWithMargins="0">
    <oddFooter>&amp;L&amp;D &amp;T&amp;R&amp;F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9DF0-867D-4F2C-8F46-BB48095D730D}">
  <sheetPr>
    <tabColor indexed="47"/>
    <pageSetUpPr fitToPage="1"/>
  </sheetPr>
  <dimension ref="A1:N52"/>
  <sheetViews>
    <sheetView showGridLines="0" zoomScale="85" zoomScaleNormal="85" zoomScaleSheetLayoutView="80" workbookViewId="0"/>
  </sheetViews>
  <sheetFormatPr defaultColWidth="9.42578125" defaultRowHeight="14.25" x14ac:dyDescent="0.2"/>
  <cols>
    <col min="1" max="1" width="2.42578125" style="366" customWidth="1"/>
    <col min="2" max="2" width="1.42578125" style="366" customWidth="1"/>
    <col min="3" max="3" width="35.85546875" style="379" customWidth="1"/>
    <col min="4" max="5" width="11.42578125" style="368" customWidth="1"/>
    <col min="6" max="8" width="11.42578125" style="366" customWidth="1"/>
    <col min="9" max="9" width="2.85546875" style="366" customWidth="1"/>
    <col min="10" max="10" width="9.42578125" style="366"/>
    <col min="11" max="11" width="9.42578125" style="380"/>
    <col min="12" max="16384" width="9.42578125" style="366"/>
  </cols>
  <sheetData>
    <row r="1" spans="1:11" s="346" customFormat="1" ht="20.25" x14ac:dyDescent="0.3">
      <c r="A1" s="3" t="s">
        <v>5</v>
      </c>
      <c r="B1" s="4"/>
      <c r="C1" s="4"/>
      <c r="D1" s="344"/>
      <c r="E1" s="344"/>
      <c r="F1" s="4"/>
      <c r="G1" s="4"/>
      <c r="H1" s="4"/>
      <c r="I1" s="4"/>
      <c r="J1" s="4"/>
      <c r="K1" s="345"/>
    </row>
    <row r="2" spans="1:11" s="348" customFormat="1" ht="55.5" customHeight="1" x14ac:dyDescent="0.25">
      <c r="A2" s="729" t="s">
        <v>34</v>
      </c>
      <c r="B2" s="729"/>
      <c r="C2" s="729"/>
      <c r="D2" s="284" t="s">
        <v>449</v>
      </c>
      <c r="E2" s="284" t="s">
        <v>450</v>
      </c>
      <c r="F2" s="284" t="s">
        <v>37</v>
      </c>
      <c r="G2" s="332" t="s">
        <v>451</v>
      </c>
      <c r="H2" s="332" t="s">
        <v>452</v>
      </c>
      <c r="I2" s="6"/>
      <c r="J2" s="6"/>
      <c r="K2" s="347"/>
    </row>
    <row r="3" spans="1:11" s="353" customFormat="1" ht="10.35" customHeight="1" x14ac:dyDescent="0.25">
      <c r="A3" s="349"/>
      <c r="B3" s="294"/>
      <c r="C3" s="294"/>
      <c r="D3" s="350"/>
      <c r="E3" s="351"/>
      <c r="F3" s="294"/>
      <c r="G3" s="294"/>
      <c r="H3" s="294"/>
      <c r="I3" s="294"/>
      <c r="J3" s="294"/>
      <c r="K3" s="352"/>
    </row>
    <row r="4" spans="1:11" s="353" customFormat="1" ht="14.25" customHeight="1" x14ac:dyDescent="0.25">
      <c r="A4" s="316" t="s">
        <v>87</v>
      </c>
      <c r="B4" s="294"/>
      <c r="C4" s="294"/>
      <c r="D4" s="350"/>
      <c r="E4" s="351"/>
      <c r="F4" s="294"/>
      <c r="G4" s="294"/>
      <c r="H4" s="294"/>
      <c r="I4" s="294"/>
      <c r="J4" s="294"/>
      <c r="K4" s="352"/>
    </row>
    <row r="5" spans="1:11" s="353" customFormat="1" ht="14.25" customHeight="1" x14ac:dyDescent="0.25">
      <c r="A5" s="341" t="s">
        <v>40</v>
      </c>
      <c r="B5" s="341"/>
      <c r="C5" s="294"/>
      <c r="D5" s="150">
        <v>7075</v>
      </c>
      <c r="E5" s="354">
        <v>7171</v>
      </c>
      <c r="F5" s="354">
        <v>7329</v>
      </c>
      <c r="G5" s="296">
        <v>-3.4656842679765321</v>
      </c>
      <c r="H5" s="296">
        <v>-1.3387254218379607</v>
      </c>
      <c r="I5" s="294"/>
      <c r="J5" s="355"/>
      <c r="K5" s="355"/>
    </row>
    <row r="6" spans="1:11" s="353" customFormat="1" ht="14.25" customHeight="1" x14ac:dyDescent="0.25">
      <c r="A6" s="321"/>
      <c r="B6" s="287" t="s">
        <v>22</v>
      </c>
      <c r="C6" s="286"/>
      <c r="D6" s="152">
        <v>117</v>
      </c>
      <c r="E6" s="163">
        <v>21</v>
      </c>
      <c r="F6" s="163">
        <v>-15</v>
      </c>
      <c r="G6" s="296" t="s">
        <v>151</v>
      </c>
      <c r="H6" s="296" t="s">
        <v>494</v>
      </c>
      <c r="I6" s="294"/>
      <c r="J6" s="355"/>
      <c r="K6" s="355"/>
    </row>
    <row r="7" spans="1:11" s="353" customFormat="1" ht="14.25" customHeight="1" x14ac:dyDescent="0.25">
      <c r="A7" s="321"/>
      <c r="B7" s="286" t="s">
        <v>88</v>
      </c>
      <c r="C7" s="286"/>
      <c r="D7" s="152">
        <v>6958</v>
      </c>
      <c r="E7" s="356">
        <v>7150</v>
      </c>
      <c r="F7" s="356">
        <v>7344</v>
      </c>
      <c r="G7" s="296">
        <v>-5.2559912854030504</v>
      </c>
      <c r="H7" s="296">
        <v>-2.6853146853146881</v>
      </c>
      <c r="I7" s="294"/>
      <c r="J7" s="355"/>
      <c r="K7" s="355"/>
    </row>
    <row r="8" spans="1:11" s="353" customFormat="1" ht="14.25" customHeight="1" x14ac:dyDescent="0.25">
      <c r="A8" s="349"/>
      <c r="B8" s="294"/>
      <c r="C8" s="294"/>
      <c r="D8" s="153"/>
      <c r="E8" s="351"/>
      <c r="F8" s="351"/>
      <c r="G8" s="294"/>
      <c r="H8" s="294"/>
      <c r="I8" s="294"/>
      <c r="J8" s="355"/>
      <c r="K8" s="355"/>
    </row>
    <row r="9" spans="1:11" s="353" customFormat="1" ht="14.25" customHeight="1" x14ac:dyDescent="0.25">
      <c r="A9" s="291" t="s">
        <v>89</v>
      </c>
      <c r="B9" s="294"/>
      <c r="C9" s="294"/>
      <c r="D9" s="153"/>
      <c r="E9" s="351"/>
      <c r="F9" s="351"/>
      <c r="G9" s="294"/>
      <c r="H9" s="294"/>
      <c r="I9" s="294"/>
      <c r="J9" s="355"/>
      <c r="K9" s="355"/>
    </row>
    <row r="10" spans="1:11" s="353" customFormat="1" ht="14.25" customHeight="1" x14ac:dyDescent="0.25">
      <c r="A10" s="341" t="s">
        <v>90</v>
      </c>
      <c r="B10" s="341"/>
      <c r="C10" s="294"/>
      <c r="D10" s="153">
        <v>758758</v>
      </c>
      <c r="E10" s="354">
        <v>733326</v>
      </c>
      <c r="F10" s="354">
        <v>709263</v>
      </c>
      <c r="G10" s="296">
        <v>6.9783705057221423</v>
      </c>
      <c r="H10" s="296">
        <v>3.4680346803467987</v>
      </c>
      <c r="I10" s="294"/>
      <c r="J10" s="355"/>
      <c r="K10" s="355"/>
    </row>
    <row r="11" spans="1:11" s="353" customFormat="1" ht="14.25" customHeight="1" x14ac:dyDescent="0.25">
      <c r="A11" s="321"/>
      <c r="B11" s="287" t="s">
        <v>22</v>
      </c>
      <c r="C11" s="286"/>
      <c r="D11" s="154">
        <v>135628</v>
      </c>
      <c r="E11" s="356">
        <v>134248</v>
      </c>
      <c r="F11" s="356">
        <v>141953</v>
      </c>
      <c r="G11" s="296">
        <v>-4.4557001260980726</v>
      </c>
      <c r="H11" s="296">
        <v>1.0279482748346336</v>
      </c>
      <c r="I11" s="294"/>
      <c r="J11" s="355"/>
      <c r="K11" s="355"/>
    </row>
    <row r="12" spans="1:11" s="353" customFormat="1" ht="14.25" customHeight="1" x14ac:dyDescent="0.25">
      <c r="A12" s="321"/>
      <c r="B12" s="286" t="s">
        <v>88</v>
      </c>
      <c r="C12" s="286"/>
      <c r="D12" s="154">
        <v>623130</v>
      </c>
      <c r="E12" s="356">
        <v>599078</v>
      </c>
      <c r="F12" s="356">
        <v>567310</v>
      </c>
      <c r="G12" s="296">
        <v>9.8394176023690818</v>
      </c>
      <c r="H12" s="296">
        <v>4.0148361315221148</v>
      </c>
      <c r="I12" s="294"/>
      <c r="J12" s="355"/>
      <c r="K12" s="355"/>
    </row>
    <row r="13" spans="1:11" s="353" customFormat="1" ht="14.25" customHeight="1" x14ac:dyDescent="0.25">
      <c r="A13" s="349"/>
      <c r="B13" s="294"/>
      <c r="C13" s="294"/>
      <c r="D13" s="153"/>
      <c r="E13" s="351"/>
      <c r="F13" s="351"/>
      <c r="G13" s="294"/>
      <c r="H13" s="294"/>
      <c r="I13" s="294"/>
      <c r="J13" s="355"/>
      <c r="K13" s="355"/>
    </row>
    <row r="14" spans="1:11" s="353" customFormat="1" ht="14.25" customHeight="1" x14ac:dyDescent="0.25">
      <c r="A14" s="357" t="s">
        <v>91</v>
      </c>
      <c r="B14" s="294"/>
      <c r="C14" s="294"/>
      <c r="D14" s="153"/>
      <c r="E14" s="351"/>
      <c r="F14" s="351"/>
      <c r="G14" s="294"/>
      <c r="H14" s="294"/>
      <c r="I14" s="294"/>
      <c r="J14" s="355"/>
      <c r="K14" s="355"/>
    </row>
    <row r="15" spans="1:11" s="353" customFormat="1" ht="14.25" customHeight="1" x14ac:dyDescent="0.25">
      <c r="A15" s="358" t="s">
        <v>92</v>
      </c>
      <c r="B15" s="294"/>
      <c r="C15" s="294"/>
      <c r="D15" s="155">
        <v>1.88</v>
      </c>
      <c r="E15" s="359">
        <v>1.94</v>
      </c>
      <c r="F15" s="359">
        <v>2.08</v>
      </c>
      <c r="G15" s="144">
        <v>-0.20000000000000018</v>
      </c>
      <c r="H15" s="360">
        <v>-6.0000000000000053E-2</v>
      </c>
      <c r="I15" s="294"/>
      <c r="J15" s="355"/>
      <c r="K15" s="355"/>
    </row>
    <row r="16" spans="1:11" s="353" customFormat="1" ht="17.25" x14ac:dyDescent="0.25">
      <c r="A16" s="321" t="s">
        <v>93</v>
      </c>
      <c r="B16" s="286"/>
      <c r="C16" s="286"/>
      <c r="D16" s="156">
        <v>2.25</v>
      </c>
      <c r="E16" s="361">
        <v>2.37</v>
      </c>
      <c r="F16" s="361">
        <v>2.61</v>
      </c>
      <c r="G16" s="360">
        <v>-0.35999999999999988</v>
      </c>
      <c r="H16" s="360">
        <v>-0.12000000000000011</v>
      </c>
      <c r="I16" s="294"/>
      <c r="J16" s="355"/>
      <c r="K16" s="355"/>
    </row>
    <row r="17" spans="1:11" s="353" customFormat="1" ht="10.35" customHeight="1" x14ac:dyDescent="0.25">
      <c r="A17" s="349"/>
      <c r="B17" s="294"/>
      <c r="C17" s="294"/>
      <c r="D17" s="153"/>
      <c r="E17" s="351"/>
      <c r="F17" s="351"/>
      <c r="G17" s="294"/>
      <c r="H17" s="294"/>
      <c r="I17" s="294"/>
      <c r="J17" s="355"/>
      <c r="K17" s="355"/>
    </row>
    <row r="18" spans="1:11" s="353" customFormat="1" ht="15" x14ac:dyDescent="0.25">
      <c r="A18" s="316" t="s">
        <v>87</v>
      </c>
      <c r="B18" s="294"/>
      <c r="C18" s="294"/>
      <c r="D18" s="153"/>
      <c r="E18" s="351"/>
      <c r="F18" s="351"/>
      <c r="G18" s="294"/>
      <c r="H18" s="294"/>
      <c r="I18" s="294"/>
      <c r="J18" s="355"/>
      <c r="K18" s="355"/>
    </row>
    <row r="19" spans="1:11" s="363" customFormat="1" ht="15" x14ac:dyDescent="0.25">
      <c r="A19" s="341" t="s">
        <v>40</v>
      </c>
      <c r="B19" s="341"/>
      <c r="C19" s="341"/>
      <c r="D19" s="153">
        <v>7075</v>
      </c>
      <c r="E19" s="354">
        <v>7171</v>
      </c>
      <c r="F19" s="354">
        <v>7329</v>
      </c>
      <c r="G19" s="296">
        <v>-3.4656842679765321</v>
      </c>
      <c r="H19" s="296">
        <v>-1.3387254218379607</v>
      </c>
      <c r="I19" s="362"/>
      <c r="J19" s="355"/>
      <c r="K19" s="355"/>
    </row>
    <row r="20" spans="1:11" s="363" customFormat="1" ht="15" x14ac:dyDescent="0.25">
      <c r="A20" s="341"/>
      <c r="B20" s="341" t="s">
        <v>94</v>
      </c>
      <c r="C20" s="341"/>
      <c r="D20" s="153">
        <v>13341</v>
      </c>
      <c r="E20" s="354">
        <v>13727</v>
      </c>
      <c r="F20" s="354">
        <v>14541</v>
      </c>
      <c r="G20" s="296">
        <v>-8.2525273364968061</v>
      </c>
      <c r="H20" s="296">
        <v>-2.8119763968820544</v>
      </c>
      <c r="I20" s="362"/>
      <c r="J20" s="355"/>
      <c r="K20" s="355"/>
    </row>
    <row r="21" spans="1:11" ht="15" x14ac:dyDescent="0.25">
      <c r="A21" s="287"/>
      <c r="B21" s="287"/>
      <c r="C21" s="287" t="s">
        <v>95</v>
      </c>
      <c r="D21" s="157">
        <v>7360</v>
      </c>
      <c r="E21" s="364">
        <v>7782</v>
      </c>
      <c r="F21" s="364">
        <v>8393</v>
      </c>
      <c r="G21" s="299">
        <v>-12.307875610627905</v>
      </c>
      <c r="H21" s="300">
        <v>-5.4227704960164491</v>
      </c>
      <c r="I21" s="365"/>
      <c r="J21" s="355"/>
      <c r="K21" s="355"/>
    </row>
    <row r="22" spans="1:11" ht="15" x14ac:dyDescent="0.25">
      <c r="A22" s="287"/>
      <c r="B22" s="287"/>
      <c r="C22" s="287" t="s">
        <v>96</v>
      </c>
      <c r="D22" s="158">
        <v>1055</v>
      </c>
      <c r="E22" s="356">
        <v>1059</v>
      </c>
      <c r="F22" s="356">
        <v>1044</v>
      </c>
      <c r="G22" s="296">
        <v>1.0536398467432928</v>
      </c>
      <c r="H22" s="301">
        <v>-0.37771482530689626</v>
      </c>
      <c r="I22" s="365"/>
      <c r="J22" s="355"/>
      <c r="K22" s="355"/>
    </row>
    <row r="23" spans="1:11" ht="17.25" x14ac:dyDescent="0.25">
      <c r="A23" s="287"/>
      <c r="B23" s="287"/>
      <c r="C23" s="287" t="s">
        <v>97</v>
      </c>
      <c r="D23" s="158">
        <v>1003</v>
      </c>
      <c r="E23" s="356">
        <v>1181</v>
      </c>
      <c r="F23" s="356">
        <v>1483</v>
      </c>
      <c r="G23" s="296">
        <v>-32.36682400539447</v>
      </c>
      <c r="H23" s="301">
        <v>-15.071972904318375</v>
      </c>
      <c r="I23" s="365"/>
      <c r="J23" s="355"/>
      <c r="K23" s="355"/>
    </row>
    <row r="24" spans="1:11" ht="15" x14ac:dyDescent="0.25">
      <c r="A24" s="287"/>
      <c r="B24" s="287"/>
      <c r="C24" s="287" t="s">
        <v>98</v>
      </c>
      <c r="D24" s="159">
        <v>3923</v>
      </c>
      <c r="E24" s="367">
        <v>3705</v>
      </c>
      <c r="F24" s="367">
        <v>3621</v>
      </c>
      <c r="G24" s="304">
        <v>8.3402375034520748</v>
      </c>
      <c r="H24" s="305">
        <v>5.8839406207827238</v>
      </c>
      <c r="I24" s="365"/>
      <c r="J24" s="355"/>
      <c r="K24" s="355"/>
    </row>
    <row r="25" spans="1:11" s="363" customFormat="1" ht="15" x14ac:dyDescent="0.25">
      <c r="A25" s="341"/>
      <c r="B25" s="341" t="s">
        <v>99</v>
      </c>
      <c r="C25" s="341"/>
      <c r="D25" s="153">
        <v>6266</v>
      </c>
      <c r="E25" s="354">
        <v>6556</v>
      </c>
      <c r="F25" s="354">
        <v>7212</v>
      </c>
      <c r="G25" s="296">
        <v>-13.117027176927342</v>
      </c>
      <c r="H25" s="296">
        <v>-4.4234289200732135</v>
      </c>
      <c r="I25" s="362"/>
      <c r="J25" s="355"/>
      <c r="K25" s="355"/>
    </row>
    <row r="26" spans="1:11" ht="15" x14ac:dyDescent="0.25">
      <c r="A26" s="287"/>
      <c r="B26" s="287"/>
      <c r="C26" s="287" t="s">
        <v>11</v>
      </c>
      <c r="D26" s="157">
        <v>4446</v>
      </c>
      <c r="E26" s="364">
        <v>4579</v>
      </c>
      <c r="F26" s="364">
        <v>5195</v>
      </c>
      <c r="G26" s="299">
        <v>-14.417709335899909</v>
      </c>
      <c r="H26" s="300">
        <v>-2.9045643153526979</v>
      </c>
      <c r="I26" s="365"/>
      <c r="J26" s="355"/>
      <c r="K26" s="355"/>
    </row>
    <row r="27" spans="1:11" ht="15" x14ac:dyDescent="0.25">
      <c r="A27" s="287"/>
      <c r="B27" s="287"/>
      <c r="C27" s="287" t="s">
        <v>100</v>
      </c>
      <c r="D27" s="159">
        <v>1820</v>
      </c>
      <c r="E27" s="367">
        <v>1977</v>
      </c>
      <c r="F27" s="367">
        <v>2017</v>
      </c>
      <c r="G27" s="304">
        <v>-9.7669806643529977</v>
      </c>
      <c r="H27" s="305">
        <v>-7.9413252402630192</v>
      </c>
      <c r="I27" s="365"/>
      <c r="J27" s="355"/>
      <c r="K27" s="355"/>
    </row>
    <row r="28" spans="1:11" ht="15" x14ac:dyDescent="0.25">
      <c r="A28" s="287"/>
      <c r="B28" s="287"/>
      <c r="C28" s="303"/>
      <c r="D28" s="154"/>
      <c r="F28" s="368"/>
      <c r="G28" s="130"/>
      <c r="H28" s="130"/>
      <c r="I28" s="365"/>
      <c r="J28" s="355"/>
      <c r="K28" s="355"/>
    </row>
    <row r="29" spans="1:11" s="363" customFormat="1" ht="15" x14ac:dyDescent="0.25">
      <c r="A29" s="291" t="s">
        <v>89</v>
      </c>
      <c r="B29" s="341"/>
      <c r="C29" s="341"/>
      <c r="D29" s="154"/>
      <c r="E29" s="368"/>
      <c r="F29" s="368"/>
      <c r="G29" s="130"/>
      <c r="H29" s="130"/>
      <c r="I29" s="362"/>
      <c r="J29" s="355"/>
      <c r="K29" s="355"/>
    </row>
    <row r="30" spans="1:11" s="363" customFormat="1" ht="15" x14ac:dyDescent="0.25">
      <c r="A30" s="341"/>
      <c r="B30" s="341" t="s">
        <v>90</v>
      </c>
      <c r="C30" s="341"/>
      <c r="D30" s="153">
        <v>758758</v>
      </c>
      <c r="E30" s="354">
        <v>733326</v>
      </c>
      <c r="F30" s="354">
        <v>709263</v>
      </c>
      <c r="G30" s="296">
        <v>6.9783705057221423</v>
      </c>
      <c r="H30" s="296">
        <v>3.4680346803467987</v>
      </c>
      <c r="I30" s="362"/>
      <c r="J30" s="355"/>
      <c r="K30" s="355"/>
    </row>
    <row r="31" spans="1:11" ht="15" x14ac:dyDescent="0.25">
      <c r="A31" s="287"/>
      <c r="B31" s="287"/>
      <c r="C31" s="287" t="s">
        <v>95</v>
      </c>
      <c r="D31" s="157">
        <v>403400</v>
      </c>
      <c r="E31" s="364">
        <v>393124</v>
      </c>
      <c r="F31" s="364">
        <v>390459</v>
      </c>
      <c r="G31" s="299">
        <v>3.3143044468177285</v>
      </c>
      <c r="H31" s="300">
        <v>2.613933517159972</v>
      </c>
      <c r="I31" s="365"/>
      <c r="J31" s="355"/>
      <c r="K31" s="355"/>
    </row>
    <row r="32" spans="1:11" ht="15" x14ac:dyDescent="0.25">
      <c r="A32" s="287"/>
      <c r="B32" s="287"/>
      <c r="C32" s="287" t="s">
        <v>96</v>
      </c>
      <c r="D32" s="158">
        <v>48195</v>
      </c>
      <c r="E32" s="356">
        <v>44480</v>
      </c>
      <c r="F32" s="356">
        <v>41615</v>
      </c>
      <c r="G32" s="296">
        <v>15.811606391925981</v>
      </c>
      <c r="H32" s="301">
        <v>8.3520683453237368</v>
      </c>
      <c r="I32" s="365"/>
      <c r="J32" s="355"/>
      <c r="K32" s="355"/>
    </row>
    <row r="33" spans="1:14" ht="17.25" x14ac:dyDescent="0.25">
      <c r="A33" s="287"/>
      <c r="B33" s="287"/>
      <c r="C33" s="287" t="s">
        <v>97</v>
      </c>
      <c r="D33" s="158">
        <v>81203</v>
      </c>
      <c r="E33" s="356">
        <v>85759</v>
      </c>
      <c r="F33" s="356">
        <v>94167</v>
      </c>
      <c r="G33" s="296">
        <v>-13.767030913164913</v>
      </c>
      <c r="H33" s="301">
        <v>-5.3125619468510576</v>
      </c>
      <c r="I33" s="365"/>
      <c r="J33" s="355"/>
      <c r="K33" s="355"/>
      <c r="L33" s="287"/>
      <c r="M33" s="287"/>
      <c r="N33" s="287"/>
    </row>
    <row r="34" spans="1:14" ht="15" x14ac:dyDescent="0.25">
      <c r="A34" s="287"/>
      <c r="B34" s="287"/>
      <c r="C34" s="287" t="s">
        <v>98</v>
      </c>
      <c r="D34" s="159">
        <v>225960</v>
      </c>
      <c r="E34" s="367">
        <v>209963</v>
      </c>
      <c r="F34" s="367">
        <v>183022</v>
      </c>
      <c r="G34" s="304">
        <v>23.460567582039317</v>
      </c>
      <c r="H34" s="305">
        <v>7.6189614360625546</v>
      </c>
      <c r="I34" s="365"/>
      <c r="J34" s="355"/>
      <c r="K34" s="355"/>
      <c r="L34" s="287"/>
      <c r="M34" s="287"/>
      <c r="N34" s="287"/>
    </row>
    <row r="35" spans="1:14" s="363" customFormat="1" ht="15" x14ac:dyDescent="0.25">
      <c r="A35" s="341"/>
      <c r="B35" s="341" t="s">
        <v>101</v>
      </c>
      <c r="C35" s="341"/>
      <c r="D35" s="153">
        <v>727732</v>
      </c>
      <c r="E35" s="354">
        <v>699813</v>
      </c>
      <c r="F35" s="354">
        <v>672139</v>
      </c>
      <c r="G35" s="296">
        <v>8.2710570283825113</v>
      </c>
      <c r="H35" s="296">
        <v>3.989494336344146</v>
      </c>
      <c r="I35" s="362"/>
      <c r="J35" s="355"/>
      <c r="K35" s="355"/>
      <c r="L35" s="341"/>
      <c r="M35" s="341"/>
      <c r="N35" s="341"/>
    </row>
    <row r="36" spans="1:14" ht="15" x14ac:dyDescent="0.25">
      <c r="A36" s="287"/>
      <c r="B36" s="287"/>
      <c r="C36" s="287" t="s">
        <v>11</v>
      </c>
      <c r="D36" s="157">
        <v>623684</v>
      </c>
      <c r="E36" s="364">
        <v>596127</v>
      </c>
      <c r="F36" s="364">
        <v>571529</v>
      </c>
      <c r="G36" s="299">
        <v>9.1255211896509092</v>
      </c>
      <c r="H36" s="300">
        <v>4.6226726855183475</v>
      </c>
      <c r="I36" s="365"/>
      <c r="J36" s="355"/>
      <c r="K36" s="355"/>
      <c r="L36" s="287"/>
      <c r="M36" s="287"/>
      <c r="N36" s="287"/>
    </row>
    <row r="37" spans="1:14" ht="15" x14ac:dyDescent="0.25">
      <c r="A37" s="287"/>
      <c r="B37" s="287"/>
      <c r="C37" s="287" t="s">
        <v>100</v>
      </c>
      <c r="D37" s="159">
        <v>104048</v>
      </c>
      <c r="E37" s="367">
        <v>103686</v>
      </c>
      <c r="F37" s="367">
        <v>100610</v>
      </c>
      <c r="G37" s="304">
        <v>3.4171553523506537</v>
      </c>
      <c r="H37" s="305">
        <v>0.34913103022586878</v>
      </c>
      <c r="I37" s="365"/>
      <c r="J37" s="355"/>
      <c r="K37" s="355"/>
      <c r="L37" s="287"/>
      <c r="M37" s="287"/>
      <c r="N37" s="287"/>
    </row>
    <row r="38" spans="1:14" ht="15" x14ac:dyDescent="0.25">
      <c r="A38" s="287"/>
      <c r="B38" s="287"/>
      <c r="C38" s="369"/>
      <c r="D38" s="154"/>
      <c r="F38" s="368"/>
      <c r="G38" s="294"/>
      <c r="H38" s="287"/>
      <c r="I38" s="365"/>
      <c r="J38" s="355"/>
      <c r="K38" s="355"/>
      <c r="L38" s="287"/>
      <c r="M38" s="287"/>
      <c r="N38" s="287"/>
    </row>
    <row r="39" spans="1:14" s="371" customFormat="1" ht="15" x14ac:dyDescent="0.25">
      <c r="A39" s="357" t="s">
        <v>91</v>
      </c>
      <c r="B39" s="358"/>
      <c r="C39" s="358"/>
      <c r="D39" s="154"/>
      <c r="E39" s="368"/>
      <c r="F39" s="368"/>
      <c r="G39" s="294"/>
      <c r="H39" s="164"/>
      <c r="I39" s="370"/>
      <c r="J39" s="355"/>
      <c r="K39" s="355"/>
      <c r="L39" s="358"/>
      <c r="M39" s="358"/>
      <c r="N39" s="358"/>
    </row>
    <row r="40" spans="1:14" s="371" customFormat="1" ht="17.25" x14ac:dyDescent="0.25">
      <c r="A40" s="358" t="s">
        <v>102</v>
      </c>
      <c r="B40" s="358"/>
      <c r="C40" s="358"/>
      <c r="D40" s="155">
        <v>1.88</v>
      </c>
      <c r="E40" s="359">
        <v>1.94</v>
      </c>
      <c r="F40" s="359">
        <v>2.08</v>
      </c>
      <c r="G40" s="144">
        <v>-0.20000000000000018</v>
      </c>
      <c r="H40" s="135">
        <v>-6.0000000000000053E-2</v>
      </c>
      <c r="I40" s="370"/>
      <c r="J40" s="372"/>
      <c r="K40" s="372"/>
      <c r="L40" s="358"/>
      <c r="M40" s="358"/>
      <c r="N40" s="358"/>
    </row>
    <row r="41" spans="1:14" s="371" customFormat="1" ht="15" x14ac:dyDescent="0.25">
      <c r="A41" s="358"/>
      <c r="B41" s="358" t="s">
        <v>103</v>
      </c>
      <c r="C41" s="358"/>
      <c r="D41" s="155">
        <v>3.55</v>
      </c>
      <c r="E41" s="359">
        <v>3.71</v>
      </c>
      <c r="F41" s="359">
        <v>4.13</v>
      </c>
      <c r="G41" s="135">
        <v>-0.58000000000000007</v>
      </c>
      <c r="H41" s="135">
        <v>-0.16000000000000014</v>
      </c>
      <c r="I41" s="370"/>
      <c r="J41" s="372"/>
      <c r="K41" s="372"/>
      <c r="L41" s="358"/>
      <c r="M41" s="358"/>
      <c r="N41" s="358"/>
    </row>
    <row r="42" spans="1:14" s="375" customFormat="1" ht="15" x14ac:dyDescent="0.25">
      <c r="A42" s="343"/>
      <c r="B42" s="343"/>
      <c r="C42" s="287" t="s">
        <v>95</v>
      </c>
      <c r="D42" s="160">
        <v>3.68</v>
      </c>
      <c r="E42" s="373">
        <v>3.93</v>
      </c>
      <c r="F42" s="373">
        <v>4.33</v>
      </c>
      <c r="G42" s="165">
        <v>-0.64999999999999991</v>
      </c>
      <c r="H42" s="166">
        <v>-0.25</v>
      </c>
      <c r="I42" s="374"/>
      <c r="J42" s="372"/>
      <c r="K42" s="372"/>
      <c r="L42" s="358"/>
      <c r="M42" s="358"/>
      <c r="N42" s="358"/>
    </row>
    <row r="43" spans="1:14" s="375" customFormat="1" ht="15" x14ac:dyDescent="0.25">
      <c r="A43" s="343"/>
      <c r="B43" s="343"/>
      <c r="C43" s="287" t="s">
        <v>96</v>
      </c>
      <c r="D43" s="161">
        <v>4.42</v>
      </c>
      <c r="E43" s="361">
        <v>4.72</v>
      </c>
      <c r="F43" s="361">
        <v>5.0599999999999996</v>
      </c>
      <c r="G43" s="135">
        <v>-0.63999999999999968</v>
      </c>
      <c r="H43" s="167">
        <v>-0.29999999999999982</v>
      </c>
      <c r="I43" s="374"/>
      <c r="J43" s="372"/>
      <c r="K43" s="372"/>
      <c r="L43" s="358"/>
      <c r="M43" s="358"/>
      <c r="N43" s="358"/>
    </row>
    <row r="44" spans="1:14" s="375" customFormat="1" ht="17.25" x14ac:dyDescent="0.25">
      <c r="A44" s="343"/>
      <c r="B44" s="343"/>
      <c r="C44" s="287" t="s">
        <v>97</v>
      </c>
      <c r="D44" s="161">
        <v>2.4900000000000002</v>
      </c>
      <c r="E44" s="361">
        <v>2.73</v>
      </c>
      <c r="F44" s="361">
        <v>3.18</v>
      </c>
      <c r="G44" s="135">
        <v>-0.69</v>
      </c>
      <c r="H44" s="167">
        <v>-0.23999999999999977</v>
      </c>
      <c r="I44" s="374"/>
      <c r="J44" s="372"/>
      <c r="K44" s="372"/>
      <c r="L44" s="358"/>
      <c r="M44" s="358"/>
      <c r="N44" s="358"/>
    </row>
    <row r="45" spans="1:14" s="375" customFormat="1" ht="15" x14ac:dyDescent="0.25">
      <c r="A45" s="343"/>
      <c r="B45" s="343"/>
      <c r="C45" s="287" t="s">
        <v>98</v>
      </c>
      <c r="D45" s="162">
        <v>3.5</v>
      </c>
      <c r="E45" s="376">
        <v>3.5</v>
      </c>
      <c r="F45" s="376">
        <v>3.99</v>
      </c>
      <c r="G45" s="168">
        <v>-0.49000000000000021</v>
      </c>
      <c r="H45" s="169">
        <v>0</v>
      </c>
      <c r="I45" s="374"/>
      <c r="J45" s="372"/>
      <c r="K45" s="372"/>
      <c r="L45" s="358"/>
      <c r="M45" s="358"/>
      <c r="N45" s="358"/>
    </row>
    <row r="46" spans="1:14" s="371" customFormat="1" ht="15" x14ac:dyDescent="0.25">
      <c r="A46" s="358"/>
      <c r="B46" s="358" t="s">
        <v>104</v>
      </c>
      <c r="C46" s="358"/>
      <c r="D46" s="155">
        <v>1.74</v>
      </c>
      <c r="E46" s="359">
        <v>1.86</v>
      </c>
      <c r="F46" s="359">
        <v>2.16</v>
      </c>
      <c r="G46" s="135">
        <v>-0.42000000000000015</v>
      </c>
      <c r="H46" s="135">
        <v>-0.12000000000000011</v>
      </c>
      <c r="I46" s="370"/>
      <c r="J46" s="372"/>
      <c r="K46" s="372"/>
      <c r="L46" s="358"/>
      <c r="M46" s="358"/>
      <c r="N46" s="358"/>
    </row>
    <row r="47" spans="1:14" s="375" customFormat="1" ht="15" x14ac:dyDescent="0.25">
      <c r="A47" s="343"/>
      <c r="B47" s="343"/>
      <c r="C47" s="343" t="s">
        <v>11</v>
      </c>
      <c r="D47" s="160">
        <v>1.44</v>
      </c>
      <c r="E47" s="373">
        <v>1.52</v>
      </c>
      <c r="F47" s="373">
        <v>1.83</v>
      </c>
      <c r="G47" s="165">
        <v>-0.39000000000000012</v>
      </c>
      <c r="H47" s="166">
        <v>-8.0000000000000071E-2</v>
      </c>
      <c r="I47" s="374"/>
      <c r="J47" s="372"/>
      <c r="K47" s="372"/>
      <c r="L47" s="358"/>
      <c r="M47" s="358"/>
      <c r="N47" s="358"/>
    </row>
    <row r="48" spans="1:14" s="375" customFormat="1" ht="15" x14ac:dyDescent="0.25">
      <c r="A48" s="343"/>
      <c r="B48" s="343"/>
      <c r="C48" s="343" t="s">
        <v>100</v>
      </c>
      <c r="D48" s="162">
        <v>3.53</v>
      </c>
      <c r="E48" s="376">
        <v>3.78</v>
      </c>
      <c r="F48" s="376">
        <v>4.04</v>
      </c>
      <c r="G48" s="168">
        <v>-0.51000000000000023</v>
      </c>
      <c r="H48" s="169">
        <v>-0.25</v>
      </c>
      <c r="I48" s="374"/>
      <c r="J48" s="372"/>
      <c r="K48" s="372"/>
      <c r="L48" s="358"/>
      <c r="M48" s="358"/>
      <c r="N48" s="358"/>
    </row>
    <row r="49" spans="1:14" ht="15" x14ac:dyDescent="0.25">
      <c r="A49" s="287"/>
      <c r="B49" s="287"/>
      <c r="C49" s="2"/>
      <c r="D49" s="310"/>
      <c r="F49" s="287"/>
      <c r="G49" s="342"/>
      <c r="H49" s="342"/>
      <c r="I49" s="287"/>
      <c r="J49" s="287"/>
      <c r="K49" s="377"/>
      <c r="L49" s="358"/>
      <c r="M49" s="358"/>
      <c r="N49" s="358"/>
    </row>
    <row r="50" spans="1:14" s="342" customFormat="1" x14ac:dyDescent="0.2">
      <c r="A50" s="287"/>
      <c r="B50" s="70"/>
      <c r="C50" s="2"/>
      <c r="D50" s="310"/>
      <c r="E50" s="310"/>
      <c r="K50" s="378"/>
    </row>
    <row r="51" spans="1:14" s="287" customFormat="1" x14ac:dyDescent="0.2">
      <c r="B51" s="70" t="s">
        <v>105</v>
      </c>
      <c r="C51" s="2"/>
      <c r="D51" s="356"/>
      <c r="E51" s="356"/>
      <c r="K51" s="377"/>
    </row>
    <row r="52" spans="1:14" s="287" customFormat="1" x14ac:dyDescent="0.2">
      <c r="B52" s="70" t="s">
        <v>106</v>
      </c>
      <c r="C52" s="2"/>
      <c r="D52" s="356"/>
      <c r="E52" s="356"/>
      <c r="K52" s="377"/>
    </row>
  </sheetData>
  <sheetProtection formatCells="0"/>
  <mergeCells count="1">
    <mergeCell ref="A2:C2"/>
  </mergeCells>
  <phoneticPr fontId="2" type="noConversion"/>
  <hyperlinks>
    <hyperlink ref="A2" location="Index!A1" display="Back to Index" xr:uid="{44AFBEAD-A3F9-46DF-B943-64AF91593E44}"/>
  </hyperlinks>
  <pageMargins left="0.15748031496062992" right="0.15748031496062992" top="0.98425196850393704" bottom="0.98425196850393704" header="0.51181102362204722" footer="0.51181102362204722"/>
  <pageSetup scale="8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C4C3-9FA2-4CFE-8F7B-A299CDD8F121}">
  <sheetPr>
    <tabColor indexed="47"/>
    <pageSetUpPr fitToPage="1"/>
  </sheetPr>
  <dimension ref="A1:L27"/>
  <sheetViews>
    <sheetView showGridLines="0" zoomScale="85" zoomScaleNormal="85" workbookViewId="0">
      <pane ySplit="2" topLeftCell="A3" activePane="bottomLeft" state="frozen"/>
      <selection activeCell="D17" sqref="D17"/>
      <selection pane="bottomLeft"/>
    </sheetView>
  </sheetViews>
  <sheetFormatPr defaultColWidth="9.42578125" defaultRowHeight="14.25" x14ac:dyDescent="0.2"/>
  <cols>
    <col min="1" max="1" width="2.5703125" style="389" customWidth="1"/>
    <col min="2" max="2" width="4.42578125" style="389" customWidth="1"/>
    <col min="3" max="3" width="53.5703125" style="392" customWidth="1"/>
    <col min="4" max="5" width="11.42578125" style="393" customWidth="1"/>
    <col min="6" max="8" width="11.42578125" style="389" customWidth="1"/>
    <col min="9" max="9" width="2.85546875" style="389" customWidth="1"/>
    <col min="10" max="16384" width="9.42578125" style="389"/>
  </cols>
  <sheetData>
    <row r="1" spans="1:12" s="381" customFormat="1" ht="20.25" x14ac:dyDescent="0.3">
      <c r="A1" s="3" t="s">
        <v>6</v>
      </c>
      <c r="B1" s="4"/>
      <c r="C1" s="4"/>
      <c r="D1" s="331"/>
      <c r="E1" s="331"/>
      <c r="F1" s="4"/>
      <c r="G1" s="4"/>
      <c r="H1" s="4"/>
      <c r="I1" s="4"/>
      <c r="J1" s="4"/>
      <c r="K1" s="4"/>
      <c r="L1" s="4"/>
    </row>
    <row r="2" spans="1:12" s="383" customFormat="1" ht="60" x14ac:dyDescent="0.25">
      <c r="A2" s="730" t="s">
        <v>34</v>
      </c>
      <c r="B2" s="730"/>
      <c r="C2" s="730"/>
      <c r="D2" s="332" t="s">
        <v>449</v>
      </c>
      <c r="E2" s="332" t="s">
        <v>450</v>
      </c>
      <c r="F2" s="332" t="s">
        <v>37</v>
      </c>
      <c r="G2" s="332" t="s">
        <v>467</v>
      </c>
      <c r="H2" s="332" t="s">
        <v>468</v>
      </c>
      <c r="I2" s="382"/>
      <c r="J2" s="6"/>
      <c r="K2" s="6"/>
      <c r="L2" s="6"/>
    </row>
    <row r="3" spans="1:12" s="384" customFormat="1" ht="8.25" customHeight="1" x14ac:dyDescent="0.25">
      <c r="A3" s="349"/>
      <c r="B3" s="294"/>
      <c r="C3" s="294"/>
      <c r="D3" s="333"/>
      <c r="E3" s="24"/>
      <c r="F3" s="294"/>
      <c r="G3" s="294"/>
      <c r="H3" s="294"/>
      <c r="I3" s="294"/>
      <c r="J3" s="294"/>
      <c r="K3" s="294"/>
      <c r="L3" s="294"/>
    </row>
    <row r="4" spans="1:12" s="384" customFormat="1" ht="15" customHeight="1" x14ac:dyDescent="0.25">
      <c r="A4" s="316" t="s">
        <v>87</v>
      </c>
      <c r="B4" s="294"/>
      <c r="C4" s="294"/>
      <c r="D4" s="333"/>
      <c r="E4" s="24"/>
      <c r="F4" s="294"/>
      <c r="G4" s="385"/>
      <c r="H4" s="385"/>
      <c r="I4" s="294"/>
      <c r="J4" s="294"/>
      <c r="K4" s="294"/>
      <c r="L4" s="294"/>
    </row>
    <row r="5" spans="1:12" s="294" customFormat="1" ht="15" customHeight="1" x14ac:dyDescent="0.25">
      <c r="A5" s="341" t="s">
        <v>6</v>
      </c>
      <c r="D5" s="101">
        <v>4966</v>
      </c>
      <c r="E5" s="386">
        <v>4092</v>
      </c>
      <c r="F5" s="386">
        <v>4308</v>
      </c>
      <c r="G5" s="296">
        <v>15.273909006499542</v>
      </c>
      <c r="H5" s="296">
        <v>21.358748778103621</v>
      </c>
      <c r="J5" s="355"/>
      <c r="K5" s="387"/>
      <c r="L5" s="388"/>
    </row>
    <row r="6" spans="1:12" ht="15" customHeight="1" x14ac:dyDescent="0.25">
      <c r="A6" s="286"/>
      <c r="B6" s="286"/>
      <c r="C6" s="303" t="s">
        <v>107</v>
      </c>
      <c r="D6" s="122">
        <v>70</v>
      </c>
      <c r="E6" s="296">
        <v>99</v>
      </c>
      <c r="F6" s="296">
        <v>47</v>
      </c>
      <c r="G6" s="296">
        <v>48.936170212765951</v>
      </c>
      <c r="H6" s="296">
        <v>-29.292929292929294</v>
      </c>
      <c r="I6" s="286"/>
      <c r="J6" s="355"/>
      <c r="K6" s="355"/>
      <c r="L6" s="352"/>
    </row>
    <row r="7" spans="1:12" ht="15" customHeight="1" x14ac:dyDescent="0.25">
      <c r="A7" s="286"/>
      <c r="B7" s="286"/>
      <c r="C7" s="303" t="s">
        <v>108</v>
      </c>
      <c r="D7" s="122">
        <v>513</v>
      </c>
      <c r="E7" s="296">
        <v>475</v>
      </c>
      <c r="F7" s="296">
        <v>467</v>
      </c>
      <c r="G7" s="296">
        <v>9.8501070663811632</v>
      </c>
      <c r="H7" s="390">
        <v>8.0000000000000071</v>
      </c>
      <c r="I7" s="286"/>
      <c r="J7" s="355"/>
      <c r="K7" s="355"/>
      <c r="L7" s="352"/>
    </row>
    <row r="8" spans="1:12" ht="15" customHeight="1" x14ac:dyDescent="0.25">
      <c r="A8" s="286"/>
      <c r="B8" s="286"/>
      <c r="C8" s="303" t="s">
        <v>109</v>
      </c>
      <c r="D8" s="122">
        <v>388</v>
      </c>
      <c r="E8" s="296">
        <v>321</v>
      </c>
      <c r="F8" s="296">
        <v>412</v>
      </c>
      <c r="G8" s="296">
        <v>-5.8252427184465994</v>
      </c>
      <c r="H8" s="296">
        <v>20.872274143302171</v>
      </c>
      <c r="I8" s="286"/>
      <c r="J8" s="355"/>
      <c r="K8" s="355"/>
      <c r="L8" s="352"/>
    </row>
    <row r="9" spans="1:12" ht="15" customHeight="1" x14ac:dyDescent="0.25">
      <c r="A9" s="286"/>
      <c r="B9" s="286"/>
      <c r="C9" s="303" t="s">
        <v>110</v>
      </c>
      <c r="D9" s="122">
        <v>610</v>
      </c>
      <c r="E9" s="296">
        <v>626</v>
      </c>
      <c r="F9" s="296">
        <v>599</v>
      </c>
      <c r="G9" s="296">
        <v>1.8363939899832982</v>
      </c>
      <c r="H9" s="296">
        <v>-2.5559105431309903</v>
      </c>
      <c r="I9" s="286"/>
      <c r="J9" s="355"/>
      <c r="K9" s="355"/>
      <c r="L9" s="352"/>
    </row>
    <row r="10" spans="1:12" ht="15" customHeight="1" x14ac:dyDescent="0.25">
      <c r="A10" s="286"/>
      <c r="B10" s="286"/>
      <c r="C10" s="303" t="s">
        <v>111</v>
      </c>
      <c r="D10" s="122">
        <v>1826</v>
      </c>
      <c r="E10" s="296">
        <v>1441</v>
      </c>
      <c r="F10" s="296">
        <v>1373</v>
      </c>
      <c r="G10" s="296">
        <v>32.993445010924979</v>
      </c>
      <c r="H10" s="296">
        <v>26.717557251908385</v>
      </c>
      <c r="I10" s="286"/>
      <c r="J10" s="355"/>
      <c r="K10" s="355"/>
      <c r="L10" s="352"/>
    </row>
    <row r="11" spans="1:12" s="294" customFormat="1" ht="15" customHeight="1" x14ac:dyDescent="0.25">
      <c r="B11" s="341" t="s">
        <v>112</v>
      </c>
      <c r="C11" s="307"/>
      <c r="D11" s="101">
        <v>3407</v>
      </c>
      <c r="E11" s="386">
        <v>2962</v>
      </c>
      <c r="F11" s="386">
        <v>2898</v>
      </c>
      <c r="G11" s="296">
        <v>17.563837129054516</v>
      </c>
      <c r="H11" s="296">
        <v>15.023632680621212</v>
      </c>
      <c r="J11" s="355"/>
      <c r="K11" s="355"/>
      <c r="L11" s="352"/>
    </row>
    <row r="12" spans="1:12" ht="15" customHeight="1" x14ac:dyDescent="0.25">
      <c r="A12" s="286"/>
      <c r="B12" s="287" t="s">
        <v>113</v>
      </c>
      <c r="C12" s="303"/>
      <c r="D12" s="122">
        <v>465</v>
      </c>
      <c r="E12" s="296">
        <v>506</v>
      </c>
      <c r="F12" s="296">
        <v>456</v>
      </c>
      <c r="G12" s="296">
        <v>1.9736842105263053</v>
      </c>
      <c r="H12" s="296">
        <v>-8.1027667984189691</v>
      </c>
      <c r="I12" s="286"/>
      <c r="J12" s="355"/>
      <c r="K12" s="355"/>
      <c r="L12" s="352"/>
    </row>
    <row r="13" spans="1:12" s="294" customFormat="1" ht="15" customHeight="1" x14ac:dyDescent="0.25">
      <c r="B13" s="294" t="s">
        <v>41</v>
      </c>
      <c r="C13" s="307"/>
      <c r="D13" s="101">
        <v>2942</v>
      </c>
      <c r="E13" s="386">
        <v>2456</v>
      </c>
      <c r="F13" s="386">
        <v>2442</v>
      </c>
      <c r="G13" s="296">
        <v>20.475020475020479</v>
      </c>
      <c r="H13" s="296">
        <v>19.788273615635177</v>
      </c>
      <c r="J13" s="355"/>
      <c r="K13" s="355"/>
      <c r="L13" s="352"/>
    </row>
    <row r="14" spans="1:12" ht="15" customHeight="1" x14ac:dyDescent="0.25">
      <c r="A14" s="286"/>
      <c r="B14" s="286"/>
      <c r="C14" s="303"/>
      <c r="D14" s="122"/>
      <c r="E14" s="296"/>
      <c r="F14" s="296"/>
      <c r="G14" s="339"/>
      <c r="H14" s="339"/>
      <c r="I14" s="286"/>
      <c r="J14" s="286"/>
      <c r="K14" s="352"/>
      <c r="L14" s="352"/>
    </row>
    <row r="15" spans="1:12" s="294" customFormat="1" ht="15" customHeight="1" x14ac:dyDescent="0.25">
      <c r="B15" s="341" t="s">
        <v>114</v>
      </c>
      <c r="D15" s="101">
        <v>2024</v>
      </c>
      <c r="E15" s="386">
        <v>1636</v>
      </c>
      <c r="F15" s="386">
        <v>1866</v>
      </c>
      <c r="G15" s="296">
        <v>8.4673097534833772</v>
      </c>
      <c r="H15" s="296">
        <v>23.716381418092915</v>
      </c>
      <c r="K15" s="352"/>
      <c r="L15" s="352"/>
    </row>
    <row r="16" spans="1:12" s="294" customFormat="1" ht="15" customHeight="1" x14ac:dyDescent="0.25">
      <c r="B16" s="341" t="s">
        <v>115</v>
      </c>
      <c r="D16" s="101">
        <v>1900</v>
      </c>
      <c r="E16" s="386">
        <v>1638</v>
      </c>
      <c r="F16" s="386">
        <v>1723</v>
      </c>
      <c r="G16" s="296">
        <v>10.272780034822993</v>
      </c>
      <c r="H16" s="296">
        <v>15.995115995116006</v>
      </c>
      <c r="K16" s="352"/>
      <c r="L16" s="352"/>
    </row>
    <row r="17" spans="2:12" s="294" customFormat="1" ht="15" customHeight="1" x14ac:dyDescent="0.25">
      <c r="B17" s="341"/>
      <c r="C17" s="303" t="s">
        <v>465</v>
      </c>
      <c r="D17" s="101">
        <v>1270</v>
      </c>
      <c r="E17" s="296">
        <v>1066</v>
      </c>
      <c r="F17" s="296">
        <v>1076</v>
      </c>
      <c r="G17" s="296">
        <v>18.029739776951679</v>
      </c>
      <c r="H17" s="296">
        <v>19.136960600375239</v>
      </c>
      <c r="K17" s="352"/>
      <c r="L17" s="352"/>
    </row>
    <row r="18" spans="2:12" s="294" customFormat="1" ht="15" customHeight="1" x14ac:dyDescent="0.25">
      <c r="B18" s="341"/>
      <c r="C18" s="303" t="s">
        <v>466</v>
      </c>
      <c r="D18" s="101">
        <v>630</v>
      </c>
      <c r="E18" s="296">
        <v>572</v>
      </c>
      <c r="F18" s="296">
        <v>647</v>
      </c>
      <c r="G18" s="296">
        <v>-2.6275115919629055</v>
      </c>
      <c r="H18" s="296">
        <v>10.139860139860147</v>
      </c>
      <c r="K18" s="352"/>
      <c r="L18" s="352"/>
    </row>
    <row r="19" spans="2:12" s="294" customFormat="1" ht="15" customHeight="1" x14ac:dyDescent="0.25">
      <c r="B19" s="341" t="s">
        <v>116</v>
      </c>
      <c r="D19" s="101">
        <v>124</v>
      </c>
      <c r="E19" s="386">
        <v>-2</v>
      </c>
      <c r="F19" s="386">
        <v>143</v>
      </c>
      <c r="G19" s="296">
        <v>-13.286713286713292</v>
      </c>
      <c r="H19" s="296" t="s">
        <v>151</v>
      </c>
      <c r="K19" s="352"/>
      <c r="L19" s="352"/>
    </row>
    <row r="20" spans="2:12" ht="15" customHeight="1" x14ac:dyDescent="0.25">
      <c r="B20" s="286"/>
      <c r="C20" s="303" t="s">
        <v>117</v>
      </c>
      <c r="D20" s="122">
        <v>101</v>
      </c>
      <c r="E20" s="296">
        <v>-23</v>
      </c>
      <c r="F20" s="296">
        <v>123</v>
      </c>
      <c r="G20" s="296">
        <v>-17.886178861788615</v>
      </c>
      <c r="H20" s="296" t="s">
        <v>151</v>
      </c>
      <c r="I20" s="286"/>
      <c r="J20" s="286"/>
      <c r="K20" s="352"/>
      <c r="L20" s="352"/>
    </row>
    <row r="21" spans="2:12" ht="29.25" x14ac:dyDescent="0.25">
      <c r="B21" s="286"/>
      <c r="C21" s="303" t="s">
        <v>118</v>
      </c>
      <c r="D21" s="122">
        <v>23</v>
      </c>
      <c r="E21" s="296">
        <v>21</v>
      </c>
      <c r="F21" s="296">
        <v>20</v>
      </c>
      <c r="G21" s="296">
        <v>14.999999999999991</v>
      </c>
      <c r="H21" s="296">
        <v>9.5238095238095344</v>
      </c>
      <c r="I21" s="286"/>
      <c r="J21" s="286"/>
      <c r="K21" s="352"/>
      <c r="L21" s="352"/>
    </row>
    <row r="22" spans="2:12" ht="15" x14ac:dyDescent="0.25">
      <c r="B22" s="286"/>
      <c r="C22" s="286"/>
      <c r="D22" s="293"/>
      <c r="E22" s="292"/>
      <c r="F22" s="286"/>
      <c r="G22" s="391"/>
      <c r="H22" s="391"/>
      <c r="I22" s="286"/>
      <c r="J22" s="286"/>
      <c r="K22" s="352"/>
      <c r="L22" s="352"/>
    </row>
    <row r="23" spans="2:12" x14ac:dyDescent="0.2">
      <c r="B23" s="286"/>
      <c r="C23" s="321"/>
      <c r="D23" s="292"/>
      <c r="E23" s="292"/>
      <c r="F23" s="286"/>
      <c r="G23" s="286"/>
      <c r="H23" s="286"/>
      <c r="I23" s="286"/>
      <c r="J23" s="286"/>
      <c r="K23" s="286"/>
      <c r="L23" s="286"/>
    </row>
    <row r="24" spans="2:12" s="286" customFormat="1" x14ac:dyDescent="0.2">
      <c r="B24" s="329" t="s">
        <v>119</v>
      </c>
      <c r="C24" s="329" t="s">
        <v>120</v>
      </c>
      <c r="D24" s="8"/>
      <c r="E24" s="8"/>
    </row>
    <row r="25" spans="2:12" s="286" customFormat="1" x14ac:dyDescent="0.2">
      <c r="B25" s="329" t="s">
        <v>121</v>
      </c>
      <c r="C25" s="329" t="s">
        <v>122</v>
      </c>
      <c r="D25" s="8"/>
      <c r="E25" s="8"/>
      <c r="F25" s="8"/>
      <c r="G25" s="8"/>
      <c r="H25" s="8"/>
    </row>
    <row r="26" spans="2:12" x14ac:dyDescent="0.2">
      <c r="B26" s="286"/>
      <c r="C26" s="321"/>
      <c r="D26" s="8"/>
      <c r="E26" s="8"/>
      <c r="F26" s="8"/>
      <c r="G26" s="8"/>
      <c r="H26" s="8"/>
      <c r="I26" s="286"/>
      <c r="J26" s="286"/>
      <c r="K26" s="286"/>
      <c r="L26" s="286"/>
    </row>
    <row r="27" spans="2:12" x14ac:dyDescent="0.2">
      <c r="B27" s="286"/>
      <c r="C27" s="321"/>
      <c r="D27" s="8"/>
      <c r="E27" s="8"/>
      <c r="F27" s="8"/>
      <c r="G27" s="8"/>
      <c r="H27" s="8"/>
      <c r="I27" s="286"/>
      <c r="J27" s="286"/>
      <c r="K27" s="286"/>
      <c r="L27" s="286"/>
    </row>
  </sheetData>
  <sheetProtection formatCells="0"/>
  <mergeCells count="1">
    <mergeCell ref="A2:C2"/>
  </mergeCells>
  <phoneticPr fontId="2" type="noConversion"/>
  <hyperlinks>
    <hyperlink ref="A2" location="Index!A1" display="Back to Index" xr:uid="{96D874E4-08F9-428A-B43C-A95089C65A6C}"/>
  </hyperlinks>
  <printOptions gridLines="1"/>
  <pageMargins left="0.55118110236220474" right="0.55118110236220474" top="0.98425196850393704" bottom="0.98425196850393704" header="0.51181102362204722" footer="0.51181102362204722"/>
  <pageSetup scale="81" orientation="portrait" r:id="rId1"/>
  <headerFooter alignWithMargins="0">
    <oddHeader>&amp;C&amp;A</oddHeader>
    <oddFooter>&amp;L&amp;Z&amp;F &amp;D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074D-FCD3-4050-98FE-EFD0EF4069F1}">
  <sheetPr>
    <tabColor indexed="47"/>
    <pageSetUpPr fitToPage="1"/>
  </sheetPr>
  <dimension ref="A1:N38"/>
  <sheetViews>
    <sheetView showGridLines="0" zoomScale="85" zoomScaleNormal="85" workbookViewId="0">
      <selection activeCell="H10" sqref="H10"/>
    </sheetView>
  </sheetViews>
  <sheetFormatPr defaultColWidth="9.42578125" defaultRowHeight="14.25" x14ac:dyDescent="0.2"/>
  <cols>
    <col min="1" max="1" width="2.42578125" style="397" customWidth="1"/>
    <col min="2" max="2" width="3.42578125" style="397" customWidth="1"/>
    <col min="3" max="3" width="69.85546875" style="403" customWidth="1"/>
    <col min="4" max="8" width="11.42578125" style="397" customWidth="1"/>
    <col min="9" max="9" width="2.85546875" style="397" customWidth="1"/>
    <col min="10" max="16384" width="9.42578125" style="397"/>
  </cols>
  <sheetData>
    <row r="1" spans="1:14" s="4" customFormat="1" ht="19.5" customHeight="1" x14ac:dyDescent="0.3">
      <c r="A1" s="3" t="s">
        <v>7</v>
      </c>
      <c r="D1" s="331"/>
      <c r="E1" s="331"/>
    </row>
    <row r="2" spans="1:14" s="6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284" t="s">
        <v>37</v>
      </c>
      <c r="G2" s="332" t="s">
        <v>467</v>
      </c>
      <c r="H2" s="332" t="s">
        <v>468</v>
      </c>
    </row>
    <row r="3" spans="1:14" s="341" customFormat="1" ht="14.25" customHeight="1" x14ac:dyDescent="0.25">
      <c r="A3" s="1"/>
      <c r="D3" s="394"/>
    </row>
    <row r="4" spans="1:14" s="341" customFormat="1" ht="14.25" customHeight="1" x14ac:dyDescent="0.25">
      <c r="A4" s="316" t="s">
        <v>87</v>
      </c>
      <c r="D4" s="394"/>
      <c r="G4" s="365"/>
      <c r="H4" s="365"/>
    </row>
    <row r="5" spans="1:14" s="294" customFormat="1" ht="17.25" x14ac:dyDescent="0.25">
      <c r="A5" s="341" t="s">
        <v>123</v>
      </c>
      <c r="D5" s="101">
        <v>4649</v>
      </c>
      <c r="E5" s="395">
        <v>4765</v>
      </c>
      <c r="F5" s="295">
        <v>4484</v>
      </c>
      <c r="G5" s="296">
        <v>3.6797502230151657</v>
      </c>
      <c r="H5" s="296">
        <v>-2.434417628541452</v>
      </c>
    </row>
    <row r="6" spans="1:14" s="294" customFormat="1" ht="15" x14ac:dyDescent="0.25">
      <c r="B6" s="341" t="s">
        <v>124</v>
      </c>
      <c r="D6" s="101">
        <v>3065</v>
      </c>
      <c r="E6" s="395">
        <v>2923</v>
      </c>
      <c r="F6" s="295">
        <v>2909</v>
      </c>
      <c r="G6" s="296">
        <v>5.3626675833619908</v>
      </c>
      <c r="H6" s="296">
        <v>4.8580225795415766</v>
      </c>
    </row>
    <row r="7" spans="1:14" s="294" customFormat="1" ht="15" x14ac:dyDescent="0.25">
      <c r="B7" s="341" t="s">
        <v>125</v>
      </c>
      <c r="D7" s="101">
        <v>1584</v>
      </c>
      <c r="E7" s="395">
        <v>1842</v>
      </c>
      <c r="F7" s="295">
        <v>1575</v>
      </c>
      <c r="G7" s="296">
        <v>0.57142857142857828</v>
      </c>
      <c r="H7" s="296">
        <v>-14.006514657980452</v>
      </c>
    </row>
    <row r="8" spans="1:14" ht="15" x14ac:dyDescent="0.25">
      <c r="A8" s="286"/>
      <c r="B8" s="341"/>
      <c r="C8" s="303" t="s">
        <v>126</v>
      </c>
      <c r="D8" s="122">
        <v>205</v>
      </c>
      <c r="E8" s="396">
        <v>245</v>
      </c>
      <c r="F8" s="8">
        <v>214</v>
      </c>
      <c r="G8" s="296">
        <v>-4.2056074766355085</v>
      </c>
      <c r="H8" s="296">
        <v>-16.326530612244895</v>
      </c>
      <c r="I8" s="294"/>
      <c r="J8" s="286"/>
      <c r="K8" s="294"/>
      <c r="L8" s="294"/>
      <c r="M8" s="294"/>
      <c r="N8" s="294"/>
    </row>
    <row r="9" spans="1:14" ht="15" x14ac:dyDescent="0.25">
      <c r="A9" s="286"/>
      <c r="B9" s="341"/>
      <c r="C9" s="303" t="s">
        <v>127</v>
      </c>
      <c r="D9" s="122">
        <v>642</v>
      </c>
      <c r="E9" s="396">
        <v>720</v>
      </c>
      <c r="F9" s="8">
        <v>640</v>
      </c>
      <c r="G9" s="296">
        <v>0.31250000000000444</v>
      </c>
      <c r="H9" s="296">
        <v>-10.833333333333329</v>
      </c>
      <c r="I9" s="294"/>
      <c r="J9" s="286"/>
      <c r="K9" s="294"/>
      <c r="L9" s="294"/>
      <c r="M9" s="294"/>
      <c r="N9" s="294"/>
    </row>
    <row r="10" spans="1:14" ht="15" x14ac:dyDescent="0.25">
      <c r="A10" s="286"/>
      <c r="B10" s="341"/>
      <c r="C10" s="303" t="s">
        <v>128</v>
      </c>
      <c r="D10" s="122">
        <v>305</v>
      </c>
      <c r="E10" s="396">
        <v>336</v>
      </c>
      <c r="F10" s="8">
        <v>276</v>
      </c>
      <c r="G10" s="296">
        <v>10.507246376811597</v>
      </c>
      <c r="H10" s="296">
        <v>-9.2261904761904763</v>
      </c>
      <c r="I10" s="294"/>
      <c r="J10" s="286"/>
      <c r="K10" s="294"/>
      <c r="L10" s="294"/>
      <c r="M10" s="294"/>
      <c r="N10" s="294"/>
    </row>
    <row r="11" spans="1:14" ht="15" x14ac:dyDescent="0.25">
      <c r="A11" s="286"/>
      <c r="B11" s="286"/>
      <c r="C11" s="303" t="s">
        <v>129</v>
      </c>
      <c r="D11" s="122">
        <v>432</v>
      </c>
      <c r="E11" s="396">
        <v>541</v>
      </c>
      <c r="F11" s="8">
        <v>445</v>
      </c>
      <c r="G11" s="296">
        <v>-2.921348314606742</v>
      </c>
      <c r="H11" s="296">
        <v>-20.147874306839185</v>
      </c>
      <c r="I11" s="294"/>
      <c r="J11" s="286"/>
      <c r="K11" s="294"/>
      <c r="L11" s="294"/>
      <c r="M11" s="294"/>
      <c r="N11" s="294"/>
    </row>
    <row r="12" spans="1:14" ht="15" x14ac:dyDescent="0.25">
      <c r="A12" s="286"/>
      <c r="B12" s="286"/>
      <c r="C12" s="286"/>
      <c r="D12" s="171"/>
      <c r="E12" s="391"/>
      <c r="F12" s="398"/>
      <c r="G12" s="286"/>
      <c r="H12" s="286"/>
      <c r="I12" s="286"/>
      <c r="J12" s="286"/>
      <c r="K12" s="294"/>
      <c r="L12" s="294"/>
      <c r="M12" s="286"/>
      <c r="N12" s="286"/>
    </row>
    <row r="13" spans="1:14" s="341" customFormat="1" ht="14.25" customHeight="1" x14ac:dyDescent="0.25">
      <c r="A13" s="291" t="s">
        <v>130</v>
      </c>
      <c r="D13" s="172"/>
      <c r="E13" s="362"/>
      <c r="F13" s="399"/>
      <c r="G13" s="287"/>
      <c r="H13" s="287"/>
    </row>
    <row r="14" spans="1:14" s="286" customFormat="1" ht="15" x14ac:dyDescent="0.25">
      <c r="B14" s="286" t="s">
        <v>131</v>
      </c>
      <c r="D14" s="122">
        <v>411</v>
      </c>
      <c r="E14" s="396">
        <v>414</v>
      </c>
      <c r="F14" s="8">
        <v>410</v>
      </c>
      <c r="G14" s="296">
        <v>0.24390243902439046</v>
      </c>
      <c r="H14" s="296">
        <v>-0.72463768115942351</v>
      </c>
      <c r="I14" s="294"/>
    </row>
    <row r="15" spans="1:14" ht="17.25" x14ac:dyDescent="0.25">
      <c r="A15" s="286"/>
      <c r="B15" s="287" t="s">
        <v>132</v>
      </c>
      <c r="C15" s="286"/>
      <c r="D15" s="122">
        <v>39892</v>
      </c>
      <c r="E15" s="396">
        <v>39721</v>
      </c>
      <c r="F15" s="8">
        <v>40187</v>
      </c>
      <c r="G15" s="296">
        <v>-0.73406823101997976</v>
      </c>
      <c r="H15" s="296">
        <v>0.43050275672817939</v>
      </c>
      <c r="I15" s="294"/>
      <c r="J15" s="286"/>
      <c r="K15" s="286"/>
      <c r="L15" s="286"/>
      <c r="M15" s="286"/>
      <c r="N15" s="286"/>
    </row>
    <row r="16" spans="1:14" s="400" customFormat="1" ht="15" customHeight="1" x14ac:dyDescent="0.25">
      <c r="B16" s="312"/>
      <c r="C16" s="312"/>
      <c r="D16" s="401"/>
      <c r="E16" s="401"/>
      <c r="F16" s="313"/>
      <c r="G16" s="302"/>
      <c r="H16" s="302"/>
      <c r="I16" s="294"/>
    </row>
    <row r="17" spans="1:9" s="400" customFormat="1" ht="15" customHeight="1" x14ac:dyDescent="0.25">
      <c r="B17" s="312"/>
      <c r="C17" s="312"/>
      <c r="D17" s="401"/>
      <c r="E17" s="401"/>
      <c r="F17" s="313"/>
      <c r="G17" s="302"/>
      <c r="H17" s="302"/>
      <c r="I17" s="294"/>
    </row>
    <row r="18" spans="1:9" s="286" customFormat="1" x14ac:dyDescent="0.2">
      <c r="B18" s="70" t="s">
        <v>119</v>
      </c>
      <c r="C18" s="70" t="s">
        <v>469</v>
      </c>
      <c r="D18" s="402"/>
      <c r="E18" s="402"/>
      <c r="F18" s="313"/>
      <c r="G18" s="296"/>
      <c r="H18" s="296"/>
    </row>
    <row r="19" spans="1:9" s="286" customFormat="1" x14ac:dyDescent="0.2">
      <c r="B19" s="70" t="s">
        <v>121</v>
      </c>
      <c r="C19" s="70" t="s">
        <v>133</v>
      </c>
    </row>
    <row r="20" spans="1:9" x14ac:dyDescent="0.2">
      <c r="A20" s="286"/>
      <c r="B20" s="286"/>
      <c r="C20" s="321"/>
      <c r="D20" s="286"/>
      <c r="E20" s="286"/>
      <c r="F20" s="286"/>
      <c r="G20" s="286"/>
      <c r="H20" s="286"/>
      <c r="I20" s="286"/>
    </row>
    <row r="21" spans="1:9" x14ac:dyDescent="0.2">
      <c r="A21" s="286"/>
      <c r="B21" s="286"/>
      <c r="C21" s="321"/>
      <c r="D21" s="286"/>
      <c r="E21" s="286"/>
      <c r="F21" s="286"/>
      <c r="G21" s="286"/>
      <c r="H21" s="286"/>
      <c r="I21" s="286"/>
    </row>
    <row r="22" spans="1:9" x14ac:dyDescent="0.2">
      <c r="A22" s="286"/>
      <c r="B22" s="286"/>
      <c r="C22" s="321"/>
      <c r="D22" s="286"/>
      <c r="E22" s="286"/>
      <c r="F22" s="286"/>
      <c r="G22" s="286"/>
      <c r="H22" s="286"/>
      <c r="I22" s="286"/>
    </row>
    <row r="23" spans="1:9" x14ac:dyDescent="0.2">
      <c r="A23" s="286"/>
      <c r="B23" s="286"/>
      <c r="C23" s="321"/>
      <c r="D23" s="286"/>
      <c r="E23" s="286"/>
      <c r="F23" s="286"/>
      <c r="G23" s="286"/>
      <c r="H23" s="286"/>
      <c r="I23" s="286"/>
    </row>
    <row r="24" spans="1:9" x14ac:dyDescent="0.2">
      <c r="A24" s="286"/>
      <c r="B24" s="286"/>
      <c r="C24" s="321"/>
      <c r="D24" s="286"/>
      <c r="E24" s="286"/>
      <c r="F24" s="286"/>
      <c r="G24" s="286"/>
      <c r="H24" s="286"/>
      <c r="I24" s="286"/>
    </row>
    <row r="25" spans="1:9" x14ac:dyDescent="0.2">
      <c r="A25" s="286"/>
      <c r="B25" s="286"/>
      <c r="C25" s="321"/>
      <c r="D25" s="286"/>
      <c r="E25" s="286"/>
      <c r="F25" s="286"/>
      <c r="G25" s="286"/>
      <c r="H25" s="286"/>
      <c r="I25" s="286"/>
    </row>
    <row r="26" spans="1:9" x14ac:dyDescent="0.2">
      <c r="A26" s="286"/>
      <c r="B26" s="286"/>
      <c r="C26" s="321"/>
      <c r="D26" s="286"/>
      <c r="E26" s="286"/>
      <c r="F26" s="286"/>
      <c r="G26" s="286"/>
      <c r="H26" s="286"/>
      <c r="I26" s="286"/>
    </row>
    <row r="27" spans="1:9" x14ac:dyDescent="0.2">
      <c r="A27" s="286"/>
      <c r="B27" s="286"/>
      <c r="C27" s="321"/>
      <c r="D27" s="286"/>
      <c r="E27" s="286"/>
      <c r="F27" s="286"/>
      <c r="G27" s="286"/>
      <c r="H27" s="286"/>
      <c r="I27" s="286"/>
    </row>
    <row r="28" spans="1:9" x14ac:dyDescent="0.2">
      <c r="A28" s="286"/>
      <c r="B28" s="286"/>
      <c r="C28" s="321"/>
      <c r="D28" s="286"/>
      <c r="E28" s="286"/>
      <c r="F28" s="286"/>
      <c r="G28" s="286"/>
      <c r="H28" s="286"/>
      <c r="I28" s="286"/>
    </row>
    <row r="29" spans="1:9" x14ac:dyDescent="0.2">
      <c r="A29" s="286"/>
      <c r="B29" s="286"/>
      <c r="C29" s="321"/>
      <c r="D29" s="286"/>
      <c r="E29" s="286"/>
      <c r="F29" s="286"/>
      <c r="G29" s="286"/>
      <c r="H29" s="286"/>
      <c r="I29" s="286"/>
    </row>
    <row r="30" spans="1:9" x14ac:dyDescent="0.2">
      <c r="A30" s="286"/>
      <c r="B30" s="286"/>
      <c r="C30" s="321"/>
      <c r="D30" s="286"/>
      <c r="E30" s="286"/>
      <c r="F30" s="286"/>
      <c r="G30" s="286"/>
      <c r="H30" s="286"/>
      <c r="I30" s="286"/>
    </row>
    <row r="31" spans="1:9" x14ac:dyDescent="0.2">
      <c r="A31" s="286"/>
      <c r="B31" s="286"/>
      <c r="C31" s="321"/>
      <c r="D31" s="286"/>
      <c r="E31" s="286"/>
      <c r="F31" s="286"/>
      <c r="G31" s="286"/>
      <c r="H31" s="286"/>
      <c r="I31" s="286"/>
    </row>
    <row r="38" spans="3:3" x14ac:dyDescent="0.2">
      <c r="C38" s="321"/>
    </row>
  </sheetData>
  <sheetProtection formatCells="0"/>
  <mergeCells count="1">
    <mergeCell ref="A2:C2"/>
  </mergeCells>
  <phoneticPr fontId="2" type="noConversion"/>
  <hyperlinks>
    <hyperlink ref="A2" location="Index!A1" display="Back to Index" xr:uid="{C6436195-7EC3-4D54-A0CB-6CFF85DFDAE5}"/>
  </hyperlinks>
  <pageMargins left="0.74803149606299213" right="0.74803149606299213" top="0.98425196850393704" bottom="0.98425196850393704" header="0.51181102362204722" footer="0.51181102362204722"/>
  <pageSetup scale="93" orientation="landscape" verticalDpi="597" r:id="rId1"/>
  <headerFooter alignWithMargins="0">
    <oddFooter>&amp;L&amp;Z&amp;F&amp;A&amp;R&amp;D&amp;T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DA17-FFCD-443F-A302-9B090FD9A493}">
  <sheetPr>
    <tabColor indexed="47"/>
    <pageSetUpPr fitToPage="1"/>
  </sheetPr>
  <dimension ref="A1:I154"/>
  <sheetViews>
    <sheetView showGridLines="0" zoomScale="85" zoomScaleNormal="85" workbookViewId="0">
      <pane xSplit="3" ySplit="2" topLeftCell="D3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2.5703125" style="414" customWidth="1"/>
    <col min="2" max="2" width="4.42578125" style="414" customWidth="1"/>
    <col min="3" max="3" width="58.42578125" style="423" customWidth="1"/>
    <col min="4" max="5" width="11.42578125" style="424" customWidth="1"/>
    <col min="6" max="8" width="11.42578125" style="414" customWidth="1"/>
    <col min="9" max="9" width="2.85546875" style="414" customWidth="1"/>
    <col min="10" max="16384" width="9.42578125" style="414"/>
  </cols>
  <sheetData>
    <row r="1" spans="1:9" s="404" customFormat="1" ht="20.25" x14ac:dyDescent="0.3">
      <c r="A1" s="3" t="s">
        <v>8</v>
      </c>
      <c r="B1" s="4"/>
      <c r="C1" s="4"/>
      <c r="D1" s="331"/>
      <c r="E1" s="331"/>
      <c r="F1" s="4"/>
      <c r="G1" s="4"/>
      <c r="H1" s="4"/>
      <c r="I1" s="4"/>
    </row>
    <row r="2" spans="1:9" s="405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284" t="s">
        <v>37</v>
      </c>
      <c r="G2" s="332" t="s">
        <v>467</v>
      </c>
      <c r="H2" s="332" t="s">
        <v>468</v>
      </c>
      <c r="I2" s="6"/>
    </row>
    <row r="3" spans="1:9" s="406" customFormat="1" ht="10.5" customHeight="1" x14ac:dyDescent="0.25">
      <c r="A3" s="1"/>
      <c r="B3" s="341"/>
      <c r="C3" s="341"/>
      <c r="D3" s="333"/>
      <c r="E3" s="295"/>
      <c r="F3" s="341"/>
      <c r="G3" s="341"/>
      <c r="H3" s="341"/>
      <c r="I3" s="341"/>
    </row>
    <row r="4" spans="1:9" s="406" customFormat="1" ht="15" x14ac:dyDescent="0.25">
      <c r="A4" s="316" t="s">
        <v>87</v>
      </c>
      <c r="B4" s="341"/>
      <c r="C4" s="341"/>
      <c r="D4" s="333"/>
      <c r="E4" s="407"/>
      <c r="F4" s="341"/>
      <c r="G4" s="341"/>
      <c r="H4" s="341"/>
      <c r="I4" s="341"/>
    </row>
    <row r="5" spans="1:9" s="409" customFormat="1" ht="15" x14ac:dyDescent="0.25">
      <c r="A5" s="341" t="s">
        <v>8</v>
      </c>
      <c r="B5" s="294"/>
      <c r="C5" s="294"/>
      <c r="D5" s="113">
        <v>303</v>
      </c>
      <c r="E5" s="134">
        <v>333</v>
      </c>
      <c r="F5" s="176">
        <v>458</v>
      </c>
      <c r="G5" s="143">
        <v>-33.842794759825324</v>
      </c>
      <c r="H5" s="143">
        <v>-9.0090090090090058</v>
      </c>
      <c r="I5" s="408"/>
    </row>
    <row r="6" spans="1:9" s="409" customFormat="1" ht="15" x14ac:dyDescent="0.25">
      <c r="A6" s="294"/>
      <c r="B6" s="341" t="s">
        <v>48</v>
      </c>
      <c r="C6" s="294"/>
      <c r="D6" s="110">
        <v>-42</v>
      </c>
      <c r="E6" s="132">
        <v>-251</v>
      </c>
      <c r="F6" s="176">
        <v>188</v>
      </c>
      <c r="G6" s="143" t="s">
        <v>151</v>
      </c>
      <c r="H6" s="143">
        <v>83.266932270916342</v>
      </c>
      <c r="I6" s="408"/>
    </row>
    <row r="7" spans="1:9" s="409" customFormat="1" ht="15" x14ac:dyDescent="0.25">
      <c r="A7" s="294"/>
      <c r="B7" s="341" t="s">
        <v>134</v>
      </c>
      <c r="C7" s="36"/>
      <c r="D7" s="113">
        <v>345</v>
      </c>
      <c r="E7" s="134">
        <v>585</v>
      </c>
      <c r="F7" s="176">
        <v>260</v>
      </c>
      <c r="G7" s="143">
        <v>32.692307692307686</v>
      </c>
      <c r="H7" s="143">
        <v>-41.025641025641022</v>
      </c>
      <c r="I7" s="408"/>
    </row>
    <row r="8" spans="1:9" s="412" customFormat="1" ht="17.25" x14ac:dyDescent="0.25">
      <c r="A8" s="410"/>
      <c r="B8" s="410"/>
      <c r="C8" s="341" t="s">
        <v>135</v>
      </c>
      <c r="D8" s="113">
        <v>336</v>
      </c>
      <c r="E8" s="134">
        <v>575</v>
      </c>
      <c r="F8" s="176">
        <v>267</v>
      </c>
      <c r="G8" s="143">
        <v>25.842696629213478</v>
      </c>
      <c r="H8" s="143">
        <v>-41.565217391304344</v>
      </c>
      <c r="I8" s="411"/>
    </row>
    <row r="9" spans="1:9" x14ac:dyDescent="0.2">
      <c r="A9" s="286"/>
      <c r="B9" s="287"/>
      <c r="C9" s="413" t="s">
        <v>25</v>
      </c>
      <c r="D9" s="103">
        <v>112</v>
      </c>
      <c r="E9" s="129">
        <v>197</v>
      </c>
      <c r="F9" s="177">
        <v>-39</v>
      </c>
      <c r="G9" s="141" t="s">
        <v>151</v>
      </c>
      <c r="H9" s="142">
        <v>-43.147208121827404</v>
      </c>
      <c r="I9" s="184"/>
    </row>
    <row r="10" spans="1:9" x14ac:dyDescent="0.2">
      <c r="A10" s="286"/>
      <c r="B10" s="287"/>
      <c r="C10" s="413" t="s">
        <v>26</v>
      </c>
      <c r="D10" s="105">
        <v>85</v>
      </c>
      <c r="E10" s="130">
        <v>267</v>
      </c>
      <c r="F10" s="178">
        <v>60</v>
      </c>
      <c r="G10" s="179">
        <v>41.666666666666671</v>
      </c>
      <c r="H10" s="180">
        <v>-68.164794007490642</v>
      </c>
      <c r="I10" s="184"/>
    </row>
    <row r="11" spans="1:9" x14ac:dyDescent="0.2">
      <c r="A11" s="286"/>
      <c r="B11" s="287"/>
      <c r="C11" s="413" t="s">
        <v>27</v>
      </c>
      <c r="D11" s="105">
        <v>69</v>
      </c>
      <c r="E11" s="130">
        <v>59</v>
      </c>
      <c r="F11" s="178">
        <v>46</v>
      </c>
      <c r="G11" s="179">
        <v>50</v>
      </c>
      <c r="H11" s="180">
        <v>16.949152542372879</v>
      </c>
      <c r="I11" s="184"/>
    </row>
    <row r="12" spans="1:9" x14ac:dyDescent="0.2">
      <c r="A12" s="286"/>
      <c r="B12" s="287"/>
      <c r="C12" s="413" t="s">
        <v>28</v>
      </c>
      <c r="D12" s="105">
        <v>59</v>
      </c>
      <c r="E12" s="130">
        <v>57</v>
      </c>
      <c r="F12" s="178">
        <v>62</v>
      </c>
      <c r="G12" s="179">
        <v>-4.8387096774193505</v>
      </c>
      <c r="H12" s="180">
        <v>3.5087719298245723</v>
      </c>
      <c r="I12" s="184"/>
    </row>
    <row r="13" spans="1:9" x14ac:dyDescent="0.2">
      <c r="A13" s="286"/>
      <c r="B13" s="287"/>
      <c r="C13" s="413" t="s">
        <v>136</v>
      </c>
      <c r="D13" s="107">
        <v>11</v>
      </c>
      <c r="E13" s="131">
        <v>-5</v>
      </c>
      <c r="F13" s="181">
        <v>138</v>
      </c>
      <c r="G13" s="182">
        <v>-92.028985507246375</v>
      </c>
      <c r="H13" s="183" t="s">
        <v>151</v>
      </c>
      <c r="I13" s="184"/>
    </row>
    <row r="14" spans="1:9" s="412" customFormat="1" ht="15" x14ac:dyDescent="0.25">
      <c r="A14" s="410"/>
      <c r="B14" s="410"/>
      <c r="C14" s="341" t="s">
        <v>137</v>
      </c>
      <c r="D14" s="110">
        <v>9</v>
      </c>
      <c r="E14" s="132">
        <v>10</v>
      </c>
      <c r="F14" s="176">
        <v>-7</v>
      </c>
      <c r="G14" s="143" t="s">
        <v>151</v>
      </c>
      <c r="H14" s="143">
        <v>-9.9999999999999982</v>
      </c>
      <c r="I14" s="411"/>
    </row>
    <row r="15" spans="1:9" s="341" customFormat="1" ht="14.25" customHeight="1" x14ac:dyDescent="0.25">
      <c r="A15" s="294"/>
      <c r="B15" s="415" t="s">
        <v>138</v>
      </c>
      <c r="C15" s="415"/>
      <c r="D15" s="110">
        <v>0</v>
      </c>
      <c r="E15" s="132">
        <v>-1</v>
      </c>
      <c r="F15" s="176">
        <v>10</v>
      </c>
      <c r="G15" s="143">
        <v>-100</v>
      </c>
      <c r="H15" s="143" t="s">
        <v>151</v>
      </c>
      <c r="I15" s="220"/>
    </row>
    <row r="16" spans="1:9" x14ac:dyDescent="0.2">
      <c r="A16" s="286"/>
      <c r="B16" s="286"/>
      <c r="C16" s="286"/>
      <c r="D16" s="122"/>
      <c r="E16" s="416"/>
      <c r="F16" s="321"/>
      <c r="G16" s="184"/>
      <c r="H16" s="184"/>
      <c r="I16" s="184"/>
    </row>
    <row r="17" spans="1:9" ht="15" x14ac:dyDescent="0.25">
      <c r="A17" s="291" t="s">
        <v>139</v>
      </c>
      <c r="B17" s="341"/>
      <c r="C17" s="341"/>
      <c r="D17" s="122"/>
      <c r="E17" s="416"/>
      <c r="F17" s="321"/>
      <c r="G17" s="185"/>
      <c r="H17" s="184"/>
      <c r="I17" s="184"/>
    </row>
    <row r="18" spans="1:9" ht="15" x14ac:dyDescent="0.25">
      <c r="A18" s="341" t="s">
        <v>140</v>
      </c>
      <c r="B18" s="341"/>
      <c r="C18" s="341"/>
      <c r="D18" s="122"/>
      <c r="E18" s="416"/>
      <c r="F18" s="321"/>
      <c r="G18" s="184"/>
      <c r="H18" s="184"/>
      <c r="I18" s="184"/>
    </row>
    <row r="19" spans="1:9" ht="15" x14ac:dyDescent="0.25">
      <c r="A19" s="286"/>
      <c r="B19" s="294" t="s">
        <v>141</v>
      </c>
      <c r="C19" s="417"/>
      <c r="D19" s="122"/>
      <c r="E19" s="416"/>
      <c r="F19" s="321"/>
      <c r="G19" s="184"/>
      <c r="H19" s="184"/>
      <c r="I19" s="184"/>
    </row>
    <row r="20" spans="1:9" x14ac:dyDescent="0.2">
      <c r="A20" s="286"/>
      <c r="B20" s="286"/>
      <c r="C20" s="417" t="s">
        <v>142</v>
      </c>
      <c r="D20" s="122">
        <v>119</v>
      </c>
      <c r="E20" s="418">
        <v>344</v>
      </c>
      <c r="F20" s="186">
        <v>93</v>
      </c>
      <c r="G20" s="143">
        <v>27.956989247311824</v>
      </c>
      <c r="H20" s="143">
        <v>-65.406976744186053</v>
      </c>
      <c r="I20" s="184"/>
    </row>
    <row r="21" spans="1:9" x14ac:dyDescent="0.2">
      <c r="A21" s="286"/>
      <c r="B21" s="286"/>
      <c r="C21" s="286" t="s">
        <v>143</v>
      </c>
      <c r="D21" s="122">
        <v>52</v>
      </c>
      <c r="E21" s="418">
        <v>128</v>
      </c>
      <c r="F21" s="186">
        <v>169</v>
      </c>
      <c r="G21" s="143">
        <v>-69.230769230769226</v>
      </c>
      <c r="H21" s="143">
        <v>-59.375</v>
      </c>
      <c r="I21" s="184"/>
    </row>
    <row r="22" spans="1:9" ht="15" x14ac:dyDescent="0.25">
      <c r="A22" s="286"/>
      <c r="B22" s="294" t="s">
        <v>144</v>
      </c>
      <c r="C22" s="286"/>
      <c r="D22" s="122"/>
      <c r="E22" s="418"/>
      <c r="F22" s="321"/>
      <c r="G22" s="143"/>
      <c r="H22" s="143"/>
      <c r="I22" s="184"/>
    </row>
    <row r="23" spans="1:9" x14ac:dyDescent="0.2">
      <c r="A23" s="286"/>
      <c r="B23" s="286"/>
      <c r="C23" s="286" t="s">
        <v>145</v>
      </c>
      <c r="D23" s="122">
        <v>1</v>
      </c>
      <c r="E23" s="418">
        <v>1</v>
      </c>
      <c r="F23" s="187">
        <v>120</v>
      </c>
      <c r="G23" s="163">
        <v>-99.166666666666671</v>
      </c>
      <c r="H23" s="143">
        <v>0</v>
      </c>
      <c r="I23" s="184"/>
    </row>
    <row r="24" spans="1:9" x14ac:dyDescent="0.2">
      <c r="A24" s="286"/>
      <c r="B24" s="286"/>
      <c r="C24" s="286" t="s">
        <v>146</v>
      </c>
      <c r="D24" s="122">
        <v>43</v>
      </c>
      <c r="E24" s="418">
        <v>105</v>
      </c>
      <c r="F24" s="187">
        <v>50</v>
      </c>
      <c r="G24" s="163">
        <v>-14.000000000000002</v>
      </c>
      <c r="H24" s="143">
        <v>-59.047619047619051</v>
      </c>
      <c r="I24" s="184"/>
    </row>
    <row r="25" spans="1:9" x14ac:dyDescent="0.2">
      <c r="A25" s="286"/>
      <c r="B25" s="286"/>
      <c r="C25" s="286" t="s">
        <v>147</v>
      </c>
      <c r="D25" s="122">
        <v>9</v>
      </c>
      <c r="E25" s="418">
        <v>13</v>
      </c>
      <c r="F25" s="186">
        <v>34</v>
      </c>
      <c r="G25" s="143">
        <v>-73.529411764705884</v>
      </c>
      <c r="H25" s="143">
        <v>-30.76923076923077</v>
      </c>
      <c r="I25" s="184"/>
    </row>
    <row r="26" spans="1:9" x14ac:dyDescent="0.2">
      <c r="A26" s="286"/>
      <c r="B26" s="286"/>
      <c r="C26" s="286"/>
      <c r="D26" s="122"/>
      <c r="E26" s="418"/>
      <c r="F26" s="321"/>
      <c r="G26" s="143"/>
      <c r="H26" s="143"/>
      <c r="I26" s="184"/>
    </row>
    <row r="27" spans="1:9" ht="15" x14ac:dyDescent="0.25">
      <c r="A27" s="341" t="s">
        <v>148</v>
      </c>
      <c r="B27" s="286"/>
      <c r="C27" s="286"/>
      <c r="D27" s="122">
        <v>218</v>
      </c>
      <c r="E27" s="418">
        <v>222</v>
      </c>
      <c r="F27" s="186">
        <v>209</v>
      </c>
      <c r="G27" s="143">
        <v>4.3062200956937691</v>
      </c>
      <c r="H27" s="143">
        <v>-1.8018018018018056</v>
      </c>
      <c r="I27" s="184"/>
    </row>
    <row r="28" spans="1:9" ht="15" x14ac:dyDescent="0.25">
      <c r="A28" s="341" t="s">
        <v>149</v>
      </c>
      <c r="B28" s="286"/>
      <c r="C28" s="286"/>
      <c r="D28" s="122">
        <v>9</v>
      </c>
      <c r="E28" s="130">
        <v>10</v>
      </c>
      <c r="F28" s="143">
        <v>-7</v>
      </c>
      <c r="G28" s="143" t="s">
        <v>151</v>
      </c>
      <c r="H28" s="143">
        <v>-9.9999999999999982</v>
      </c>
      <c r="I28" s="184"/>
    </row>
    <row r="29" spans="1:9" s="409" customFormat="1" ht="15" x14ac:dyDescent="0.25">
      <c r="A29" s="294"/>
      <c r="B29" s="341" t="s">
        <v>134</v>
      </c>
      <c r="C29" s="294"/>
      <c r="D29" s="101">
        <v>345</v>
      </c>
      <c r="E29" s="419">
        <v>585</v>
      </c>
      <c r="F29" s="188">
        <v>260</v>
      </c>
      <c r="G29" s="143">
        <v>32.692307692307686</v>
      </c>
      <c r="H29" s="143">
        <v>-41.025641025641022</v>
      </c>
      <c r="I29" s="408"/>
    </row>
    <row r="30" spans="1:9" x14ac:dyDescent="0.2">
      <c r="A30" s="286"/>
      <c r="B30" s="286"/>
      <c r="C30" s="321"/>
      <c r="D30" s="420"/>
      <c r="E30" s="416"/>
      <c r="F30" s="321"/>
      <c r="G30" s="421"/>
      <c r="H30" s="421"/>
      <c r="I30" s="184"/>
    </row>
    <row r="31" spans="1:9" x14ac:dyDescent="0.2">
      <c r="A31" s="286"/>
      <c r="B31" s="286"/>
      <c r="C31" s="321"/>
      <c r="D31" s="8"/>
      <c r="E31" s="292"/>
      <c r="F31" s="286"/>
      <c r="G31" s="421"/>
      <c r="H31" s="421"/>
      <c r="I31" s="184"/>
    </row>
    <row r="32" spans="1:9" s="286" customFormat="1" x14ac:dyDescent="0.2">
      <c r="B32" s="422" t="s">
        <v>119</v>
      </c>
      <c r="C32" s="422" t="s">
        <v>150</v>
      </c>
      <c r="D32" s="8"/>
      <c r="E32" s="8"/>
    </row>
    <row r="33" spans="1:9" s="286" customFormat="1" x14ac:dyDescent="0.2">
      <c r="B33" s="70" t="s">
        <v>151</v>
      </c>
      <c r="C33" s="422" t="s">
        <v>152</v>
      </c>
      <c r="D33" s="8"/>
      <c r="E33" s="8"/>
    </row>
    <row r="34" spans="1:9" x14ac:dyDescent="0.2">
      <c r="A34" s="286"/>
      <c r="B34" s="286"/>
      <c r="C34" s="321"/>
      <c r="D34" s="8"/>
      <c r="E34" s="8"/>
      <c r="F34" s="286"/>
      <c r="G34" s="286"/>
      <c r="H34" s="286"/>
      <c r="I34" s="286"/>
    </row>
    <row r="35" spans="1:9" x14ac:dyDescent="0.2">
      <c r="A35" s="286"/>
      <c r="B35" s="286"/>
      <c r="C35" s="321"/>
      <c r="D35" s="8"/>
      <c r="E35" s="8"/>
      <c r="F35" s="286"/>
      <c r="G35" s="286"/>
      <c r="H35" s="286"/>
      <c r="I35" s="286"/>
    </row>
    <row r="36" spans="1:9" x14ac:dyDescent="0.2">
      <c r="A36" s="286"/>
      <c r="B36" s="286"/>
      <c r="C36" s="321"/>
      <c r="D36" s="8"/>
      <c r="E36" s="8"/>
      <c r="F36" s="286"/>
      <c r="G36" s="286"/>
      <c r="H36" s="286"/>
      <c r="I36" s="286"/>
    </row>
    <row r="37" spans="1:9" x14ac:dyDescent="0.2">
      <c r="A37" s="286"/>
      <c r="B37" s="286"/>
      <c r="C37" s="321"/>
      <c r="D37" s="8"/>
      <c r="E37" s="8"/>
      <c r="F37" s="286"/>
      <c r="G37" s="286"/>
      <c r="H37" s="286"/>
      <c r="I37" s="286"/>
    </row>
    <row r="38" spans="1:9" x14ac:dyDescent="0.2">
      <c r="A38" s="286"/>
      <c r="B38" s="286"/>
      <c r="C38" s="321"/>
      <c r="D38" s="8"/>
      <c r="E38" s="8"/>
      <c r="F38" s="286"/>
      <c r="G38" s="286"/>
      <c r="H38" s="286"/>
      <c r="I38" s="286"/>
    </row>
    <row r="39" spans="1:9" x14ac:dyDescent="0.2">
      <c r="A39" s="286"/>
      <c r="B39" s="286"/>
      <c r="C39" s="321"/>
      <c r="D39" s="8"/>
      <c r="E39" s="8"/>
      <c r="F39" s="286"/>
      <c r="G39" s="286"/>
      <c r="H39" s="286"/>
      <c r="I39" s="286"/>
    </row>
    <row r="40" spans="1:9" x14ac:dyDescent="0.2">
      <c r="A40" s="286"/>
      <c r="B40" s="286"/>
      <c r="C40" s="321"/>
      <c r="D40" s="8"/>
      <c r="E40" s="8"/>
      <c r="F40" s="286"/>
      <c r="G40" s="286"/>
      <c r="H40" s="286"/>
      <c r="I40" s="286"/>
    </row>
    <row r="41" spans="1:9" x14ac:dyDescent="0.2">
      <c r="A41" s="286"/>
      <c r="B41" s="286"/>
      <c r="C41" s="321"/>
      <c r="D41" s="8"/>
      <c r="E41" s="8"/>
      <c r="F41" s="286"/>
      <c r="G41" s="286"/>
      <c r="H41" s="286"/>
      <c r="I41" s="286"/>
    </row>
    <row r="42" spans="1:9" x14ac:dyDescent="0.2">
      <c r="A42" s="286"/>
      <c r="B42" s="286"/>
      <c r="C42" s="321"/>
      <c r="D42" s="8"/>
      <c r="E42" s="8"/>
      <c r="F42" s="286"/>
      <c r="G42" s="286"/>
      <c r="H42" s="286"/>
      <c r="I42" s="286"/>
    </row>
    <row r="43" spans="1:9" x14ac:dyDescent="0.2">
      <c r="A43" s="286"/>
      <c r="B43" s="286"/>
      <c r="C43" s="321"/>
      <c r="D43" s="8"/>
      <c r="E43" s="8"/>
      <c r="F43" s="286"/>
      <c r="G43" s="286"/>
      <c r="H43" s="286"/>
      <c r="I43" s="286"/>
    </row>
    <row r="44" spans="1:9" x14ac:dyDescent="0.2">
      <c r="A44" s="286"/>
      <c r="B44" s="286"/>
      <c r="C44" s="321"/>
      <c r="D44" s="8"/>
      <c r="E44" s="8"/>
      <c r="F44" s="286"/>
      <c r="G44" s="286"/>
      <c r="H44" s="286"/>
      <c r="I44" s="286"/>
    </row>
    <row r="45" spans="1:9" x14ac:dyDescent="0.2">
      <c r="A45" s="286"/>
      <c r="B45" s="286"/>
      <c r="C45" s="321"/>
      <c r="D45" s="8"/>
      <c r="E45" s="8"/>
      <c r="F45" s="286"/>
      <c r="G45" s="286"/>
      <c r="H45" s="286"/>
      <c r="I45" s="286"/>
    </row>
    <row r="46" spans="1:9" x14ac:dyDescent="0.2">
      <c r="A46" s="286"/>
      <c r="B46" s="286"/>
      <c r="C46" s="321"/>
      <c r="D46" s="8"/>
      <c r="E46" s="8"/>
      <c r="F46" s="286"/>
      <c r="G46" s="286"/>
      <c r="H46" s="286"/>
      <c r="I46" s="286"/>
    </row>
    <row r="47" spans="1:9" x14ac:dyDescent="0.2">
      <c r="A47" s="286"/>
      <c r="B47" s="286"/>
      <c r="C47" s="321"/>
      <c r="D47" s="8"/>
      <c r="E47" s="8"/>
      <c r="F47" s="286"/>
      <c r="G47" s="286"/>
      <c r="H47" s="286"/>
      <c r="I47" s="286"/>
    </row>
    <row r="48" spans="1:9" x14ac:dyDescent="0.2">
      <c r="A48" s="286"/>
      <c r="B48" s="286"/>
      <c r="C48" s="321"/>
      <c r="D48" s="8"/>
      <c r="E48" s="8"/>
      <c r="F48" s="286"/>
      <c r="G48" s="286"/>
      <c r="H48" s="286"/>
      <c r="I48" s="286"/>
    </row>
    <row r="49" spans="6:6" x14ac:dyDescent="0.2">
      <c r="F49" s="286"/>
    </row>
    <row r="50" spans="6:6" x14ac:dyDescent="0.2">
      <c r="F50" s="286"/>
    </row>
    <row r="51" spans="6:6" x14ac:dyDescent="0.2">
      <c r="F51" s="286"/>
    </row>
    <row r="52" spans="6:6" x14ac:dyDescent="0.2">
      <c r="F52" s="286"/>
    </row>
    <row r="53" spans="6:6" x14ac:dyDescent="0.2">
      <c r="F53" s="286"/>
    </row>
    <row r="54" spans="6:6" x14ac:dyDescent="0.2">
      <c r="F54" s="286"/>
    </row>
    <row r="55" spans="6:6" x14ac:dyDescent="0.2">
      <c r="F55" s="286"/>
    </row>
    <row r="56" spans="6:6" x14ac:dyDescent="0.2">
      <c r="F56" s="286"/>
    </row>
    <row r="57" spans="6:6" x14ac:dyDescent="0.2">
      <c r="F57" s="286"/>
    </row>
    <row r="58" spans="6:6" x14ac:dyDescent="0.2">
      <c r="F58" s="286"/>
    </row>
    <row r="59" spans="6:6" x14ac:dyDescent="0.2">
      <c r="F59" s="286"/>
    </row>
    <row r="60" spans="6:6" x14ac:dyDescent="0.2">
      <c r="F60" s="286"/>
    </row>
    <row r="61" spans="6:6" x14ac:dyDescent="0.2">
      <c r="F61" s="286"/>
    </row>
    <row r="62" spans="6:6" x14ac:dyDescent="0.2">
      <c r="F62" s="286"/>
    </row>
    <row r="63" spans="6:6" x14ac:dyDescent="0.2">
      <c r="F63" s="286"/>
    </row>
    <row r="64" spans="6:6" x14ac:dyDescent="0.2">
      <c r="F64" s="286"/>
    </row>
    <row r="65" spans="6:6" x14ac:dyDescent="0.2">
      <c r="F65" s="286"/>
    </row>
    <row r="66" spans="6:6" x14ac:dyDescent="0.2">
      <c r="F66" s="286"/>
    </row>
    <row r="67" spans="6:6" x14ac:dyDescent="0.2">
      <c r="F67" s="286"/>
    </row>
    <row r="68" spans="6:6" x14ac:dyDescent="0.2">
      <c r="F68" s="286"/>
    </row>
    <row r="69" spans="6:6" x14ac:dyDescent="0.2">
      <c r="F69" s="286"/>
    </row>
    <row r="70" spans="6:6" x14ac:dyDescent="0.2">
      <c r="F70" s="286"/>
    </row>
    <row r="71" spans="6:6" x14ac:dyDescent="0.2">
      <c r="F71" s="286"/>
    </row>
    <row r="72" spans="6:6" x14ac:dyDescent="0.2">
      <c r="F72" s="286"/>
    </row>
    <row r="73" spans="6:6" x14ac:dyDescent="0.2">
      <c r="F73" s="286"/>
    </row>
    <row r="74" spans="6:6" x14ac:dyDescent="0.2">
      <c r="F74" s="286"/>
    </row>
    <row r="75" spans="6:6" x14ac:dyDescent="0.2">
      <c r="F75" s="286"/>
    </row>
    <row r="76" spans="6:6" x14ac:dyDescent="0.2">
      <c r="F76" s="286"/>
    </row>
    <row r="77" spans="6:6" x14ac:dyDescent="0.2">
      <c r="F77" s="286"/>
    </row>
    <row r="78" spans="6:6" x14ac:dyDescent="0.2">
      <c r="F78" s="286"/>
    </row>
    <row r="79" spans="6:6" x14ac:dyDescent="0.2">
      <c r="F79" s="286"/>
    </row>
    <row r="80" spans="6:6" x14ac:dyDescent="0.2">
      <c r="F80" s="286"/>
    </row>
    <row r="81" spans="6:6" x14ac:dyDescent="0.2">
      <c r="F81" s="286"/>
    </row>
    <row r="82" spans="6:6" x14ac:dyDescent="0.2">
      <c r="F82" s="286"/>
    </row>
    <row r="83" spans="6:6" x14ac:dyDescent="0.2">
      <c r="F83" s="286"/>
    </row>
    <row r="84" spans="6:6" x14ac:dyDescent="0.2">
      <c r="F84" s="286"/>
    </row>
    <row r="85" spans="6:6" x14ac:dyDescent="0.2">
      <c r="F85" s="286"/>
    </row>
    <row r="86" spans="6:6" x14ac:dyDescent="0.2">
      <c r="F86" s="286"/>
    </row>
    <row r="87" spans="6:6" x14ac:dyDescent="0.2">
      <c r="F87" s="286"/>
    </row>
    <row r="88" spans="6:6" x14ac:dyDescent="0.2">
      <c r="F88" s="286"/>
    </row>
    <row r="89" spans="6:6" x14ac:dyDescent="0.2">
      <c r="F89" s="286"/>
    </row>
    <row r="90" spans="6:6" x14ac:dyDescent="0.2">
      <c r="F90" s="286"/>
    </row>
    <row r="91" spans="6:6" x14ac:dyDescent="0.2">
      <c r="F91" s="286"/>
    </row>
    <row r="92" spans="6:6" x14ac:dyDescent="0.2">
      <c r="F92" s="286"/>
    </row>
    <row r="93" spans="6:6" x14ac:dyDescent="0.2">
      <c r="F93" s="286"/>
    </row>
    <row r="94" spans="6:6" x14ac:dyDescent="0.2">
      <c r="F94" s="286"/>
    </row>
    <row r="95" spans="6:6" x14ac:dyDescent="0.2">
      <c r="F95" s="286"/>
    </row>
    <row r="96" spans="6:6" x14ac:dyDescent="0.2">
      <c r="F96" s="286"/>
    </row>
    <row r="97" spans="6:6" x14ac:dyDescent="0.2">
      <c r="F97" s="286"/>
    </row>
    <row r="98" spans="6:6" x14ac:dyDescent="0.2">
      <c r="F98" s="286"/>
    </row>
    <row r="99" spans="6:6" x14ac:dyDescent="0.2">
      <c r="F99" s="286"/>
    </row>
    <row r="100" spans="6:6" x14ac:dyDescent="0.2">
      <c r="F100" s="286"/>
    </row>
    <row r="101" spans="6:6" x14ac:dyDescent="0.2">
      <c r="F101" s="286"/>
    </row>
    <row r="102" spans="6:6" x14ac:dyDescent="0.2">
      <c r="F102" s="286"/>
    </row>
    <row r="103" spans="6:6" x14ac:dyDescent="0.2">
      <c r="F103" s="286"/>
    </row>
    <row r="104" spans="6:6" x14ac:dyDescent="0.2">
      <c r="F104" s="286"/>
    </row>
    <row r="105" spans="6:6" x14ac:dyDescent="0.2">
      <c r="F105" s="286"/>
    </row>
    <row r="106" spans="6:6" x14ac:dyDescent="0.2">
      <c r="F106" s="286"/>
    </row>
    <row r="107" spans="6:6" x14ac:dyDescent="0.2">
      <c r="F107" s="286"/>
    </row>
    <row r="108" spans="6:6" x14ac:dyDescent="0.2">
      <c r="F108" s="286"/>
    </row>
    <row r="109" spans="6:6" x14ac:dyDescent="0.2">
      <c r="F109" s="286"/>
    </row>
    <row r="110" spans="6:6" x14ac:dyDescent="0.2">
      <c r="F110" s="286"/>
    </row>
    <row r="111" spans="6:6" x14ac:dyDescent="0.2">
      <c r="F111" s="286"/>
    </row>
    <row r="112" spans="6:6" x14ac:dyDescent="0.2">
      <c r="F112" s="286"/>
    </row>
    <row r="113" spans="6:6" x14ac:dyDescent="0.2">
      <c r="F113" s="286"/>
    </row>
    <row r="114" spans="6:6" x14ac:dyDescent="0.2">
      <c r="F114" s="286"/>
    </row>
    <row r="115" spans="6:6" x14ac:dyDescent="0.2">
      <c r="F115" s="286"/>
    </row>
    <row r="116" spans="6:6" x14ac:dyDescent="0.2">
      <c r="F116" s="286"/>
    </row>
    <row r="117" spans="6:6" x14ac:dyDescent="0.2">
      <c r="F117" s="286"/>
    </row>
    <row r="118" spans="6:6" x14ac:dyDescent="0.2">
      <c r="F118" s="286"/>
    </row>
    <row r="119" spans="6:6" x14ac:dyDescent="0.2">
      <c r="F119" s="286"/>
    </row>
    <row r="120" spans="6:6" x14ac:dyDescent="0.2">
      <c r="F120" s="286"/>
    </row>
    <row r="121" spans="6:6" x14ac:dyDescent="0.2">
      <c r="F121" s="286"/>
    </row>
    <row r="122" spans="6:6" x14ac:dyDescent="0.2">
      <c r="F122" s="286"/>
    </row>
    <row r="123" spans="6:6" x14ac:dyDescent="0.2">
      <c r="F123" s="286"/>
    </row>
    <row r="124" spans="6:6" x14ac:dyDescent="0.2">
      <c r="F124" s="286"/>
    </row>
    <row r="125" spans="6:6" x14ac:dyDescent="0.2">
      <c r="F125" s="286"/>
    </row>
    <row r="126" spans="6:6" x14ac:dyDescent="0.2">
      <c r="F126" s="286"/>
    </row>
    <row r="127" spans="6:6" x14ac:dyDescent="0.2">
      <c r="F127" s="286"/>
    </row>
    <row r="128" spans="6:6" x14ac:dyDescent="0.2">
      <c r="F128" s="286"/>
    </row>
    <row r="129" spans="6:6" x14ac:dyDescent="0.2">
      <c r="F129" s="286"/>
    </row>
    <row r="130" spans="6:6" x14ac:dyDescent="0.2">
      <c r="F130" s="286"/>
    </row>
    <row r="131" spans="6:6" x14ac:dyDescent="0.2">
      <c r="F131" s="286"/>
    </row>
    <row r="132" spans="6:6" x14ac:dyDescent="0.2">
      <c r="F132" s="286"/>
    </row>
    <row r="133" spans="6:6" x14ac:dyDescent="0.2">
      <c r="F133" s="286"/>
    </row>
    <row r="134" spans="6:6" x14ac:dyDescent="0.2">
      <c r="F134" s="286"/>
    </row>
    <row r="135" spans="6:6" x14ac:dyDescent="0.2">
      <c r="F135" s="286"/>
    </row>
    <row r="136" spans="6:6" x14ac:dyDescent="0.2">
      <c r="F136" s="286"/>
    </row>
    <row r="137" spans="6:6" x14ac:dyDescent="0.2">
      <c r="F137" s="286"/>
    </row>
    <row r="138" spans="6:6" x14ac:dyDescent="0.2">
      <c r="F138" s="286"/>
    </row>
    <row r="139" spans="6:6" x14ac:dyDescent="0.2">
      <c r="F139" s="286"/>
    </row>
    <row r="140" spans="6:6" x14ac:dyDescent="0.2">
      <c r="F140" s="286"/>
    </row>
    <row r="141" spans="6:6" x14ac:dyDescent="0.2">
      <c r="F141" s="286"/>
    </row>
    <row r="142" spans="6:6" x14ac:dyDescent="0.2">
      <c r="F142" s="286"/>
    </row>
    <row r="143" spans="6:6" x14ac:dyDescent="0.2">
      <c r="F143" s="286"/>
    </row>
    <row r="144" spans="6:6" x14ac:dyDescent="0.2">
      <c r="F144" s="286"/>
    </row>
    <row r="145" spans="6:6" x14ac:dyDescent="0.2">
      <c r="F145" s="286"/>
    </row>
    <row r="146" spans="6:6" x14ac:dyDescent="0.2">
      <c r="F146" s="286"/>
    </row>
    <row r="147" spans="6:6" x14ac:dyDescent="0.2">
      <c r="F147" s="286"/>
    </row>
    <row r="148" spans="6:6" x14ac:dyDescent="0.2">
      <c r="F148" s="286"/>
    </row>
    <row r="149" spans="6:6" x14ac:dyDescent="0.2">
      <c r="F149" s="286"/>
    </row>
    <row r="150" spans="6:6" x14ac:dyDescent="0.2">
      <c r="F150" s="286"/>
    </row>
    <row r="151" spans="6:6" x14ac:dyDescent="0.2">
      <c r="F151" s="286"/>
    </row>
    <row r="152" spans="6:6" x14ac:dyDescent="0.2">
      <c r="F152" s="286"/>
    </row>
    <row r="153" spans="6:6" x14ac:dyDescent="0.2">
      <c r="F153" s="286"/>
    </row>
    <row r="154" spans="6:6" x14ac:dyDescent="0.2">
      <c r="F154" s="286"/>
    </row>
  </sheetData>
  <sheetProtection formatCells="0"/>
  <mergeCells count="1">
    <mergeCell ref="A2:C2"/>
  </mergeCells>
  <phoneticPr fontId="2" type="noConversion"/>
  <hyperlinks>
    <hyperlink ref="A2" location="Index!A1" display="Back to Index" xr:uid="{9EB39C18-3AF5-4F57-B3A2-BE8980D3637A}"/>
  </hyperlinks>
  <printOptions gridLines="1"/>
  <pageMargins left="0.74803149606299213" right="0.51181102362204722" top="0.98425196850393704" bottom="0.98425196850393704" header="0.51181102362204722" footer="0.51181102362204722"/>
  <pageSetup paperSize="9" scale="89" orientation="landscape" blackAndWhite="1" r:id="rId1"/>
  <headerFooter alignWithMargins="0">
    <oddFooter>&amp;L&amp;D\&amp;T&amp;R&amp;F\&amp;A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4C58-269E-4BAB-97EC-5E6A7C61CB21}">
  <sheetPr>
    <tabColor indexed="47"/>
    <pageSetUpPr fitToPage="1"/>
  </sheetPr>
  <dimension ref="A1:K149"/>
  <sheetViews>
    <sheetView showGridLines="0" zoomScale="85" zoomScaleNormal="85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3" style="397" customWidth="1"/>
    <col min="2" max="2" width="55.5703125" style="438" customWidth="1"/>
    <col min="3" max="3" width="1.42578125" style="403" customWidth="1"/>
    <col min="4" max="8" width="11.42578125" style="439" customWidth="1"/>
    <col min="9" max="16384" width="9.42578125" style="397"/>
  </cols>
  <sheetData>
    <row r="1" spans="1:11" s="4" customFormat="1" ht="20.25" x14ac:dyDescent="0.3">
      <c r="A1" s="3" t="s">
        <v>9</v>
      </c>
      <c r="B1" s="425"/>
      <c r="D1" s="283"/>
      <c r="E1" s="283"/>
      <c r="F1" s="283"/>
      <c r="G1" s="331"/>
      <c r="H1" s="331"/>
    </row>
    <row r="2" spans="1:11" s="6" customFormat="1" ht="60.75" customHeight="1" x14ac:dyDescent="0.25">
      <c r="A2" s="729" t="s">
        <v>34</v>
      </c>
      <c r="B2" s="729"/>
      <c r="C2" s="729"/>
      <c r="D2" s="426">
        <v>46174</v>
      </c>
      <c r="E2" s="426">
        <v>45992</v>
      </c>
      <c r="F2" s="426">
        <v>45809</v>
      </c>
      <c r="G2" s="426" t="s">
        <v>471</v>
      </c>
      <c r="H2" s="426" t="s">
        <v>472</v>
      </c>
      <c r="I2" s="427"/>
    </row>
    <row r="3" spans="1:11" s="341" customFormat="1" ht="6.75" customHeight="1" x14ac:dyDescent="0.25">
      <c r="A3" s="1"/>
      <c r="B3" s="307"/>
      <c r="D3" s="428"/>
      <c r="E3" s="24"/>
      <c r="F3" s="24"/>
      <c r="G3" s="24"/>
      <c r="H3" s="24"/>
      <c r="I3" s="429"/>
    </row>
    <row r="4" spans="1:11" s="341" customFormat="1" ht="15" x14ac:dyDescent="0.25">
      <c r="A4" s="316" t="s">
        <v>153</v>
      </c>
      <c r="B4" s="307"/>
      <c r="D4" s="297"/>
      <c r="E4" s="24"/>
      <c r="F4" s="24"/>
      <c r="G4" s="24"/>
      <c r="H4" s="24"/>
      <c r="I4" s="429"/>
    </row>
    <row r="5" spans="1:11" s="294" customFormat="1" ht="15" x14ac:dyDescent="0.25">
      <c r="A5" s="341" t="s">
        <v>154</v>
      </c>
      <c r="B5" s="306"/>
      <c r="D5" s="101">
        <v>475238</v>
      </c>
      <c r="E5" s="395">
        <v>450916</v>
      </c>
      <c r="F5" s="395">
        <v>439100</v>
      </c>
      <c r="G5" s="296">
        <v>8.2300159416989196</v>
      </c>
      <c r="H5" s="296">
        <v>5.3939092868738214</v>
      </c>
      <c r="I5" s="430"/>
      <c r="J5" s="355"/>
      <c r="K5" s="355"/>
    </row>
    <row r="6" spans="1:11" s="294" customFormat="1" ht="15" x14ac:dyDescent="0.25">
      <c r="A6" s="431" t="s">
        <v>155</v>
      </c>
      <c r="B6" s="306"/>
      <c r="D6" s="122"/>
      <c r="E6" s="396"/>
      <c r="F6" s="396"/>
      <c r="G6" s="296"/>
      <c r="H6" s="296"/>
      <c r="I6" s="432"/>
    </row>
    <row r="7" spans="1:11" ht="15" x14ac:dyDescent="0.25">
      <c r="A7" s="287"/>
      <c r="B7" s="303" t="s">
        <v>47</v>
      </c>
      <c r="C7" s="286"/>
      <c r="D7" s="122">
        <v>2297</v>
      </c>
      <c r="E7" s="396">
        <v>2324</v>
      </c>
      <c r="F7" s="396">
        <v>2216</v>
      </c>
      <c r="G7" s="296">
        <v>3.6552346570397187</v>
      </c>
      <c r="H7" s="296">
        <v>-1.1617900172117057</v>
      </c>
      <c r="I7" s="432"/>
      <c r="J7" s="355"/>
      <c r="K7" s="355"/>
    </row>
    <row r="8" spans="1:11" ht="15" x14ac:dyDescent="0.25">
      <c r="A8" s="287"/>
      <c r="B8" s="303" t="s">
        <v>48</v>
      </c>
      <c r="C8" s="286"/>
      <c r="D8" s="122">
        <v>3561</v>
      </c>
      <c r="E8" s="396">
        <v>3581</v>
      </c>
      <c r="F8" s="396">
        <v>3838</v>
      </c>
      <c r="G8" s="296">
        <v>-7.2173006774361674</v>
      </c>
      <c r="H8" s="296">
        <v>-0.55850321139346848</v>
      </c>
      <c r="I8" s="432"/>
      <c r="J8" s="355"/>
      <c r="K8" s="355"/>
    </row>
    <row r="9" spans="1:11" s="294" customFormat="1" ht="15" x14ac:dyDescent="0.25">
      <c r="A9" s="341" t="s">
        <v>156</v>
      </c>
      <c r="B9" s="307"/>
      <c r="D9" s="101">
        <v>469380</v>
      </c>
      <c r="E9" s="395">
        <v>445011</v>
      </c>
      <c r="F9" s="395">
        <v>433046</v>
      </c>
      <c r="G9" s="296">
        <v>8.3903326667374767</v>
      </c>
      <c r="H9" s="296">
        <v>5.4760444123853169</v>
      </c>
      <c r="I9" s="430"/>
      <c r="J9" s="355"/>
      <c r="K9" s="355"/>
    </row>
    <row r="10" spans="1:11" ht="15" x14ac:dyDescent="0.25">
      <c r="A10" s="286"/>
      <c r="B10" s="307"/>
      <c r="C10" s="303"/>
      <c r="D10" s="101"/>
      <c r="E10" s="395"/>
      <c r="F10" s="395"/>
      <c r="G10" s="130"/>
      <c r="H10" s="130"/>
      <c r="I10" s="430"/>
      <c r="J10" s="286"/>
      <c r="K10" s="286"/>
    </row>
    <row r="11" spans="1:11" s="294" customFormat="1" ht="15" x14ac:dyDescent="0.25">
      <c r="A11" s="294" t="s">
        <v>154</v>
      </c>
      <c r="B11" s="306"/>
      <c r="D11" s="101">
        <v>475238</v>
      </c>
      <c r="E11" s="395">
        <v>450916</v>
      </c>
      <c r="F11" s="395">
        <v>439100</v>
      </c>
      <c r="G11" s="296">
        <v>8.2300159416989196</v>
      </c>
      <c r="H11" s="296">
        <v>5.3939092868738214</v>
      </c>
      <c r="I11" s="430"/>
      <c r="J11" s="355"/>
      <c r="K11" s="355"/>
    </row>
    <row r="12" spans="1:11" x14ac:dyDescent="0.2">
      <c r="A12" s="431" t="s">
        <v>157</v>
      </c>
      <c r="B12" s="298"/>
      <c r="C12" s="286"/>
      <c r="D12" s="122"/>
      <c r="E12" s="396"/>
      <c r="F12" s="396"/>
      <c r="G12" s="130"/>
      <c r="H12" s="130"/>
      <c r="I12" s="432"/>
      <c r="J12" s="286"/>
      <c r="K12" s="286"/>
    </row>
    <row r="13" spans="1:11" s="286" customFormat="1" ht="15" x14ac:dyDescent="0.25">
      <c r="B13" s="298" t="s">
        <v>20</v>
      </c>
      <c r="D13" s="122">
        <v>139635</v>
      </c>
      <c r="E13" s="396">
        <v>135158</v>
      </c>
      <c r="F13" s="396">
        <v>132549</v>
      </c>
      <c r="G13" s="296">
        <v>5.345947536382778</v>
      </c>
      <c r="H13" s="296">
        <v>3.3124195386140753</v>
      </c>
      <c r="I13" s="432"/>
      <c r="J13" s="355"/>
      <c r="K13" s="355"/>
    </row>
    <row r="14" spans="1:11" s="286" customFormat="1" ht="15" x14ac:dyDescent="0.25">
      <c r="B14" s="298" t="s">
        <v>21</v>
      </c>
      <c r="C14" s="287"/>
      <c r="D14" s="122">
        <v>329180</v>
      </c>
      <c r="E14" s="396">
        <v>310034</v>
      </c>
      <c r="F14" s="396">
        <v>302098</v>
      </c>
      <c r="G14" s="296">
        <v>8.9646406133109036</v>
      </c>
      <c r="H14" s="296">
        <v>6.1754517246495499</v>
      </c>
      <c r="I14" s="432"/>
      <c r="J14" s="355"/>
      <c r="K14" s="355"/>
    </row>
    <row r="15" spans="1:11" ht="15" x14ac:dyDescent="0.25">
      <c r="A15" s="286"/>
      <c r="B15" s="298" t="s">
        <v>23</v>
      </c>
      <c r="C15" s="287"/>
      <c r="D15" s="122">
        <v>6423</v>
      </c>
      <c r="E15" s="396">
        <v>5724</v>
      </c>
      <c r="F15" s="396">
        <v>4453</v>
      </c>
      <c r="G15" s="296">
        <v>44.239838311250843</v>
      </c>
      <c r="H15" s="296">
        <v>12.211740041928731</v>
      </c>
      <c r="I15" s="432"/>
      <c r="J15" s="355"/>
      <c r="K15" s="355"/>
    </row>
    <row r="16" spans="1:11" s="341" customFormat="1" ht="17.25" x14ac:dyDescent="0.25">
      <c r="A16" s="433" t="s">
        <v>158</v>
      </c>
      <c r="B16" s="307"/>
      <c r="D16" s="101"/>
      <c r="E16" s="395"/>
      <c r="F16" s="395"/>
      <c r="G16" s="130"/>
      <c r="H16" s="130"/>
      <c r="I16" s="430"/>
    </row>
    <row r="17" spans="1:11" ht="15" x14ac:dyDescent="0.25">
      <c r="A17" s="286"/>
      <c r="B17" s="298" t="s">
        <v>25</v>
      </c>
      <c r="C17" s="286"/>
      <c r="D17" s="122">
        <v>210852</v>
      </c>
      <c r="E17" s="396">
        <v>202317</v>
      </c>
      <c r="F17" s="396">
        <v>197458</v>
      </c>
      <c r="G17" s="296">
        <v>6.7832146583070907</v>
      </c>
      <c r="H17" s="296">
        <v>4.2186272038434725</v>
      </c>
      <c r="I17" s="432"/>
      <c r="J17" s="355"/>
      <c r="K17" s="355"/>
    </row>
    <row r="18" spans="1:11" ht="15" x14ac:dyDescent="0.25">
      <c r="A18" s="286"/>
      <c r="B18" s="298" t="s">
        <v>26</v>
      </c>
      <c r="C18" s="286"/>
      <c r="D18" s="122">
        <v>58031</v>
      </c>
      <c r="E18" s="396">
        <v>56184</v>
      </c>
      <c r="F18" s="396">
        <v>57196</v>
      </c>
      <c r="G18" s="296">
        <v>1.4598923001608588</v>
      </c>
      <c r="H18" s="296">
        <v>3.2874127865584413</v>
      </c>
      <c r="I18" s="432"/>
      <c r="J18" s="355"/>
      <c r="K18" s="355"/>
    </row>
    <row r="19" spans="1:11" ht="15" x14ac:dyDescent="0.25">
      <c r="A19" s="286"/>
      <c r="B19" s="298" t="s">
        <v>27</v>
      </c>
      <c r="C19" s="286"/>
      <c r="D19" s="122">
        <v>61416</v>
      </c>
      <c r="E19" s="396">
        <v>58429</v>
      </c>
      <c r="F19" s="396">
        <v>59236</v>
      </c>
      <c r="G19" s="296">
        <v>3.6801944763319661</v>
      </c>
      <c r="H19" s="296">
        <v>5.1121874411679036</v>
      </c>
      <c r="I19" s="432"/>
      <c r="J19" s="355"/>
      <c r="K19" s="355"/>
    </row>
    <row r="20" spans="1:11" ht="15" x14ac:dyDescent="0.25">
      <c r="A20" s="286"/>
      <c r="B20" s="298" t="s">
        <v>28</v>
      </c>
      <c r="C20" s="286"/>
      <c r="D20" s="122">
        <v>42375</v>
      </c>
      <c r="E20" s="396">
        <v>38773</v>
      </c>
      <c r="F20" s="396">
        <v>38588</v>
      </c>
      <c r="G20" s="296">
        <v>9.8139317922670166</v>
      </c>
      <c r="H20" s="296">
        <v>9.2899698243623199</v>
      </c>
      <c r="I20" s="432"/>
      <c r="J20" s="355"/>
      <c r="K20" s="355"/>
    </row>
    <row r="21" spans="1:11" ht="15" x14ac:dyDescent="0.25">
      <c r="A21" s="286"/>
      <c r="B21" s="298" t="s">
        <v>136</v>
      </c>
      <c r="C21" s="286"/>
      <c r="D21" s="122">
        <v>102564</v>
      </c>
      <c r="E21" s="396">
        <v>95213</v>
      </c>
      <c r="F21" s="396">
        <v>86622</v>
      </c>
      <c r="G21" s="296">
        <v>18.404100574911688</v>
      </c>
      <c r="H21" s="296">
        <v>7.720584373982553</v>
      </c>
      <c r="I21" s="432"/>
      <c r="J21" s="355"/>
      <c r="K21" s="355"/>
    </row>
    <row r="22" spans="1:11" ht="18.600000000000001" customHeight="1" x14ac:dyDescent="0.2">
      <c r="A22" s="431" t="s">
        <v>159</v>
      </c>
      <c r="B22" s="298"/>
      <c r="C22" s="286"/>
      <c r="D22" s="122"/>
      <c r="E22" s="396"/>
      <c r="F22" s="396"/>
      <c r="G22" s="130"/>
      <c r="H22" s="130"/>
      <c r="I22" s="432"/>
      <c r="J22" s="286"/>
      <c r="K22" s="286"/>
    </row>
    <row r="23" spans="1:11" ht="15" x14ac:dyDescent="0.25">
      <c r="A23" s="286"/>
      <c r="B23" s="298" t="s">
        <v>160</v>
      </c>
      <c r="C23" s="286"/>
      <c r="D23" s="122">
        <v>51180</v>
      </c>
      <c r="E23" s="396">
        <v>46829</v>
      </c>
      <c r="F23" s="396">
        <v>43744</v>
      </c>
      <c r="G23" s="296">
        <v>16.998902706656914</v>
      </c>
      <c r="H23" s="296">
        <v>9.2912511477930337</v>
      </c>
      <c r="I23" s="432"/>
      <c r="J23" s="355"/>
      <c r="K23" s="355"/>
    </row>
    <row r="24" spans="1:11" ht="15" x14ac:dyDescent="0.25">
      <c r="A24" s="286"/>
      <c r="B24" s="298" t="s">
        <v>161</v>
      </c>
      <c r="C24" s="286"/>
      <c r="D24" s="122">
        <v>116133</v>
      </c>
      <c r="E24" s="396">
        <v>111925</v>
      </c>
      <c r="F24" s="396">
        <v>113902</v>
      </c>
      <c r="G24" s="296">
        <v>1.9587013397482034</v>
      </c>
      <c r="H24" s="296">
        <v>3.759660486933214</v>
      </c>
      <c r="I24" s="432"/>
      <c r="J24" s="355"/>
      <c r="K24" s="355"/>
    </row>
    <row r="25" spans="1:11" ht="15" x14ac:dyDescent="0.25">
      <c r="A25" s="286"/>
      <c r="B25" s="298" t="s">
        <v>162</v>
      </c>
      <c r="C25" s="286"/>
      <c r="D25" s="122">
        <v>84776</v>
      </c>
      <c r="E25" s="396">
        <v>84012</v>
      </c>
      <c r="F25" s="396">
        <v>85512</v>
      </c>
      <c r="G25" s="296">
        <v>-0.86069791374310256</v>
      </c>
      <c r="H25" s="296">
        <v>0.90939389611008892</v>
      </c>
      <c r="I25" s="432"/>
      <c r="J25" s="355"/>
      <c r="K25" s="355"/>
    </row>
    <row r="26" spans="1:11" ht="15" x14ac:dyDescent="0.25">
      <c r="A26" s="286"/>
      <c r="B26" s="298" t="s">
        <v>163</v>
      </c>
      <c r="C26" s="286"/>
      <c r="D26" s="122">
        <v>48236</v>
      </c>
      <c r="E26" s="396">
        <v>45576</v>
      </c>
      <c r="F26" s="396">
        <v>41961</v>
      </c>
      <c r="G26" s="296">
        <v>14.95436238411858</v>
      </c>
      <c r="H26" s="296">
        <v>5.8364051255046512</v>
      </c>
      <c r="I26" s="432"/>
      <c r="J26" s="355"/>
      <c r="K26" s="355"/>
    </row>
    <row r="27" spans="1:11" ht="15" x14ac:dyDescent="0.25">
      <c r="A27" s="286"/>
      <c r="B27" s="298" t="s">
        <v>164</v>
      </c>
      <c r="C27" s="286"/>
      <c r="D27" s="122">
        <v>35384</v>
      </c>
      <c r="E27" s="396">
        <v>33703</v>
      </c>
      <c r="F27" s="396">
        <v>33092</v>
      </c>
      <c r="G27" s="296">
        <v>6.9261452919134436</v>
      </c>
      <c r="H27" s="296">
        <v>4.9876865560929184</v>
      </c>
      <c r="I27" s="432"/>
      <c r="J27" s="355"/>
      <c r="K27" s="355"/>
    </row>
    <row r="28" spans="1:11" ht="15" x14ac:dyDescent="0.25">
      <c r="A28" s="286"/>
      <c r="B28" s="286" t="s">
        <v>165</v>
      </c>
      <c r="C28" s="286"/>
      <c r="D28" s="122">
        <v>47084</v>
      </c>
      <c r="E28" s="396">
        <v>45343</v>
      </c>
      <c r="F28" s="396">
        <v>41941</v>
      </c>
      <c r="G28" s="296">
        <v>12.26246393743593</v>
      </c>
      <c r="H28" s="296">
        <v>3.8396224334516837</v>
      </c>
      <c r="I28" s="432"/>
      <c r="J28" s="355"/>
      <c r="K28" s="355"/>
    </row>
    <row r="29" spans="1:11" ht="29.25" x14ac:dyDescent="0.25">
      <c r="A29" s="286"/>
      <c r="B29" s="298" t="s">
        <v>166</v>
      </c>
      <c r="C29" s="298"/>
      <c r="D29" s="122">
        <v>46592</v>
      </c>
      <c r="E29" s="396">
        <v>44437</v>
      </c>
      <c r="F29" s="396">
        <v>41331</v>
      </c>
      <c r="G29" s="296">
        <v>12.728944375892182</v>
      </c>
      <c r="H29" s="296">
        <v>4.8495623016855394</v>
      </c>
      <c r="I29" s="432"/>
      <c r="J29" s="355"/>
      <c r="K29" s="355"/>
    </row>
    <row r="30" spans="1:11" ht="15" x14ac:dyDescent="0.25">
      <c r="A30" s="286"/>
      <c r="B30" s="298" t="s">
        <v>23</v>
      </c>
      <c r="C30" s="286"/>
      <c r="D30" s="122">
        <v>45853</v>
      </c>
      <c r="E30" s="396">
        <v>39091</v>
      </c>
      <c r="F30" s="396">
        <v>37617</v>
      </c>
      <c r="G30" s="296">
        <v>21.894356275088398</v>
      </c>
      <c r="H30" s="296">
        <v>17.298099306745797</v>
      </c>
      <c r="I30" s="432"/>
      <c r="J30" s="355"/>
      <c r="K30" s="355"/>
    </row>
    <row r="31" spans="1:11" ht="20.100000000000001" customHeight="1" x14ac:dyDescent="0.2">
      <c r="A31" s="431" t="s">
        <v>167</v>
      </c>
      <c r="B31" s="298"/>
      <c r="C31" s="286"/>
      <c r="D31" s="122"/>
      <c r="E31" s="396"/>
      <c r="F31" s="396"/>
      <c r="G31" s="130"/>
      <c r="H31" s="130"/>
      <c r="I31" s="432"/>
      <c r="J31" s="286"/>
      <c r="K31" s="286"/>
    </row>
    <row r="32" spans="1:11" ht="15" x14ac:dyDescent="0.25">
      <c r="A32" s="286"/>
      <c r="B32" s="298" t="s">
        <v>168</v>
      </c>
      <c r="C32" s="286"/>
      <c r="D32" s="122">
        <v>176809</v>
      </c>
      <c r="E32" s="396">
        <v>168298</v>
      </c>
      <c r="F32" s="396">
        <v>168077</v>
      </c>
      <c r="G32" s="296">
        <v>5.1952378969162938</v>
      </c>
      <c r="H32" s="296">
        <v>5.0571010944871597</v>
      </c>
      <c r="I32" s="432"/>
      <c r="J32" s="355"/>
      <c r="K32" s="355"/>
    </row>
    <row r="33" spans="1:11" ht="15" x14ac:dyDescent="0.25">
      <c r="A33" s="286"/>
      <c r="B33" s="298" t="s">
        <v>169</v>
      </c>
      <c r="C33" s="286"/>
      <c r="D33" s="122">
        <v>130622</v>
      </c>
      <c r="E33" s="396">
        <v>120367</v>
      </c>
      <c r="F33" s="396">
        <v>108154</v>
      </c>
      <c r="G33" s="296">
        <v>20.774081402444654</v>
      </c>
      <c r="H33" s="296">
        <v>8.5197770152948937</v>
      </c>
      <c r="I33" s="432"/>
      <c r="J33" s="355"/>
      <c r="K33" s="355"/>
    </row>
    <row r="34" spans="1:11" ht="15" x14ac:dyDescent="0.25">
      <c r="A34" s="286"/>
      <c r="B34" s="298" t="s">
        <v>170</v>
      </c>
      <c r="C34" s="286"/>
      <c r="D34" s="122">
        <v>38631</v>
      </c>
      <c r="E34" s="396">
        <v>40366</v>
      </c>
      <c r="F34" s="396">
        <v>40918</v>
      </c>
      <c r="G34" s="296">
        <v>-5.5892272349577166</v>
      </c>
      <c r="H34" s="296">
        <v>-4.2981717286825543</v>
      </c>
      <c r="I34" s="432"/>
      <c r="J34" s="355"/>
      <c r="K34" s="355"/>
    </row>
    <row r="35" spans="1:11" ht="15" x14ac:dyDescent="0.25">
      <c r="A35" s="286"/>
      <c r="B35" s="298" t="s">
        <v>171</v>
      </c>
      <c r="C35" s="286"/>
      <c r="D35" s="122">
        <v>23760</v>
      </c>
      <c r="E35" s="396">
        <v>23071</v>
      </c>
      <c r="F35" s="396">
        <v>26987</v>
      </c>
      <c r="G35" s="296">
        <v>-11.957609219253717</v>
      </c>
      <c r="H35" s="296">
        <v>2.9864331845173675</v>
      </c>
      <c r="I35" s="432"/>
      <c r="J35" s="355"/>
      <c r="K35" s="355"/>
    </row>
    <row r="36" spans="1:11" ht="15" x14ac:dyDescent="0.25">
      <c r="A36" s="286"/>
      <c r="B36" s="298" t="s">
        <v>172</v>
      </c>
      <c r="C36" s="286"/>
      <c r="D36" s="122">
        <v>26351</v>
      </c>
      <c r="E36" s="396">
        <v>24366</v>
      </c>
      <c r="F36" s="396">
        <v>22332</v>
      </c>
      <c r="G36" s="296">
        <v>17.996596811749967</v>
      </c>
      <c r="H36" s="296">
        <v>8.1465977181318205</v>
      </c>
      <c r="I36" s="432"/>
      <c r="J36" s="355"/>
      <c r="K36" s="355"/>
    </row>
    <row r="37" spans="1:11" ht="15" x14ac:dyDescent="0.25">
      <c r="A37" s="286"/>
      <c r="B37" s="298" t="s">
        <v>23</v>
      </c>
      <c r="C37" s="286"/>
      <c r="D37" s="122">
        <v>79065</v>
      </c>
      <c r="E37" s="396">
        <v>74448</v>
      </c>
      <c r="F37" s="396">
        <v>72632</v>
      </c>
      <c r="G37" s="296">
        <v>8.8569776407093173</v>
      </c>
      <c r="H37" s="296">
        <v>6.2016441005802614</v>
      </c>
      <c r="I37" s="432"/>
      <c r="J37" s="355"/>
      <c r="K37" s="355"/>
    </row>
    <row r="38" spans="1:11" x14ac:dyDescent="0.2">
      <c r="A38" s="286"/>
      <c r="B38" s="298"/>
      <c r="C38" s="321"/>
      <c r="D38" s="293"/>
      <c r="E38" s="8"/>
      <c r="F38" s="8"/>
      <c r="G38" s="293"/>
      <c r="H38" s="293"/>
      <c r="I38" s="286"/>
      <c r="J38" s="286"/>
      <c r="K38" s="286"/>
    </row>
    <row r="39" spans="1:11" x14ac:dyDescent="0.2">
      <c r="A39" s="286"/>
      <c r="B39" s="298"/>
      <c r="C39" s="321"/>
      <c r="D39" s="293"/>
      <c r="E39" s="8"/>
      <c r="F39" s="8"/>
      <c r="G39" s="293"/>
      <c r="H39" s="293"/>
      <c r="I39" s="286"/>
      <c r="J39" s="286"/>
      <c r="K39" s="286"/>
    </row>
    <row r="40" spans="1:11" s="286" customFormat="1" x14ac:dyDescent="0.2">
      <c r="A40" s="422" t="s">
        <v>119</v>
      </c>
      <c r="B40" s="434" t="s">
        <v>173</v>
      </c>
      <c r="C40" s="321"/>
      <c r="D40" s="8"/>
      <c r="E40" s="8"/>
      <c r="F40" s="8"/>
      <c r="G40" s="8"/>
      <c r="H40" s="8"/>
    </row>
    <row r="41" spans="1:11" s="315" customFormat="1" x14ac:dyDescent="0.2">
      <c r="A41" s="422"/>
      <c r="B41" s="434"/>
      <c r="C41" s="435"/>
      <c r="D41" s="435"/>
      <c r="E41" s="435"/>
      <c r="F41" s="436"/>
    </row>
    <row r="43" spans="1:11" x14ac:dyDescent="0.2">
      <c r="A43" s="286"/>
      <c r="B43" s="298"/>
      <c r="C43" s="321"/>
      <c r="D43" s="293"/>
      <c r="E43" s="293"/>
      <c r="F43" s="293"/>
      <c r="G43" s="292"/>
      <c r="H43" s="292"/>
      <c r="I43" s="286"/>
      <c r="J43" s="286"/>
      <c r="K43" s="286"/>
    </row>
    <row r="44" spans="1:11" x14ac:dyDescent="0.2">
      <c r="A44" s="286"/>
      <c r="B44" s="298"/>
      <c r="C44" s="321"/>
      <c r="D44" s="293"/>
      <c r="E44" s="293"/>
      <c r="F44" s="293"/>
      <c r="G44" s="292"/>
      <c r="H44" s="292"/>
      <c r="I44" s="286"/>
      <c r="J44" s="286"/>
      <c r="K44" s="286"/>
    </row>
    <row r="45" spans="1:11" x14ac:dyDescent="0.2">
      <c r="A45" s="286"/>
      <c r="B45" s="298"/>
      <c r="C45" s="321"/>
      <c r="D45" s="293"/>
      <c r="E45" s="293"/>
      <c r="F45" s="293"/>
      <c r="G45" s="292"/>
      <c r="H45" s="292"/>
      <c r="I45" s="286"/>
      <c r="J45" s="286"/>
      <c r="K45" s="286"/>
    </row>
    <row r="46" spans="1:11" x14ac:dyDescent="0.2">
      <c r="A46" s="286"/>
      <c r="B46" s="437"/>
      <c r="C46" s="321"/>
      <c r="D46" s="293"/>
      <c r="E46" s="293"/>
      <c r="F46" s="293"/>
      <c r="G46" s="292"/>
      <c r="H46" s="292"/>
      <c r="I46" s="286"/>
      <c r="J46" s="286"/>
      <c r="K46" s="286"/>
    </row>
    <row r="47" spans="1:11" x14ac:dyDescent="0.2">
      <c r="A47" s="286"/>
      <c r="B47" s="437"/>
      <c r="C47" s="321"/>
      <c r="D47" s="293"/>
      <c r="E47" s="293"/>
      <c r="F47" s="293"/>
      <c r="G47" s="292"/>
      <c r="H47" s="292"/>
      <c r="I47" s="286"/>
      <c r="J47" s="286"/>
      <c r="K47" s="286"/>
    </row>
    <row r="48" spans="1:11" x14ac:dyDescent="0.2">
      <c r="A48" s="286"/>
      <c r="B48" s="298"/>
      <c r="C48" s="321"/>
      <c r="D48" s="293"/>
      <c r="E48" s="293"/>
      <c r="F48" s="293"/>
      <c r="G48" s="292"/>
      <c r="H48" s="292"/>
      <c r="I48" s="286"/>
      <c r="J48" s="286"/>
      <c r="K48" s="286"/>
    </row>
    <row r="49" spans="1:11" x14ac:dyDescent="0.2">
      <c r="A49" s="286"/>
      <c r="B49" s="298"/>
      <c r="C49" s="321"/>
      <c r="D49" s="293"/>
      <c r="E49" s="293"/>
      <c r="F49" s="293"/>
      <c r="G49" s="292"/>
      <c r="H49" s="292"/>
      <c r="I49" s="286"/>
      <c r="J49" s="286"/>
      <c r="K49" s="286"/>
    </row>
    <row r="50" spans="1:11" x14ac:dyDescent="0.2">
      <c r="A50" s="286"/>
      <c r="B50" s="298"/>
      <c r="C50" s="321"/>
      <c r="D50" s="293"/>
      <c r="E50" s="293"/>
      <c r="F50" s="293"/>
      <c r="G50" s="292"/>
      <c r="H50" s="292"/>
      <c r="I50" s="286"/>
      <c r="J50" s="286"/>
      <c r="K50" s="286"/>
    </row>
    <row r="51" spans="1:11" x14ac:dyDescent="0.2">
      <c r="A51" s="286"/>
      <c r="B51" s="298"/>
      <c r="C51" s="321"/>
      <c r="D51" s="293"/>
      <c r="E51" s="293"/>
      <c r="F51" s="293"/>
      <c r="G51" s="292"/>
      <c r="H51" s="292"/>
      <c r="I51" s="286"/>
      <c r="J51" s="286"/>
      <c r="K51" s="286"/>
    </row>
    <row r="52" spans="1:11" x14ac:dyDescent="0.2">
      <c r="A52" s="286"/>
      <c r="B52" s="298"/>
      <c r="C52" s="321"/>
      <c r="D52" s="293"/>
      <c r="E52" s="293"/>
      <c r="F52" s="293"/>
      <c r="G52" s="292"/>
      <c r="H52" s="292"/>
      <c r="I52" s="286"/>
      <c r="J52" s="286"/>
      <c r="K52" s="286"/>
    </row>
    <row r="53" spans="1:11" x14ac:dyDescent="0.2">
      <c r="A53" s="286"/>
      <c r="B53" s="298"/>
      <c r="C53" s="321"/>
      <c r="D53" s="293"/>
      <c r="E53" s="293"/>
      <c r="F53" s="293"/>
      <c r="G53" s="292"/>
      <c r="H53" s="292"/>
      <c r="I53" s="286"/>
      <c r="J53" s="286"/>
      <c r="K53" s="286"/>
    </row>
    <row r="54" spans="1:11" x14ac:dyDescent="0.2">
      <c r="A54" s="286"/>
      <c r="B54" s="298"/>
      <c r="C54" s="321"/>
      <c r="D54" s="293"/>
      <c r="E54" s="293"/>
      <c r="F54" s="293"/>
      <c r="G54" s="292"/>
      <c r="H54" s="292"/>
      <c r="I54" s="286"/>
      <c r="J54" s="286"/>
      <c r="K54" s="286"/>
    </row>
    <row r="55" spans="1:11" x14ac:dyDescent="0.2">
      <c r="A55" s="286"/>
      <c r="B55" s="298"/>
      <c r="C55" s="321"/>
      <c r="D55" s="293"/>
      <c r="E55" s="293"/>
      <c r="F55" s="293"/>
      <c r="G55" s="396"/>
      <c r="H55" s="396"/>
      <c r="I55" s="286"/>
      <c r="J55" s="286"/>
      <c r="K55" s="286"/>
    </row>
    <row r="56" spans="1:11" x14ac:dyDescent="0.2">
      <c r="A56" s="286"/>
      <c r="B56" s="298"/>
      <c r="C56" s="321"/>
      <c r="D56" s="293"/>
      <c r="E56" s="293"/>
      <c r="F56" s="293"/>
      <c r="G56" s="8"/>
      <c r="H56" s="8"/>
      <c r="I56" s="286"/>
      <c r="J56" s="286"/>
      <c r="K56" s="286"/>
    </row>
    <row r="57" spans="1:11" x14ac:dyDescent="0.2">
      <c r="A57" s="286"/>
      <c r="B57" s="298"/>
      <c r="C57" s="321"/>
      <c r="D57" s="293"/>
      <c r="E57" s="293"/>
      <c r="F57" s="293"/>
      <c r="G57" s="8"/>
      <c r="H57" s="8"/>
      <c r="I57" s="286"/>
      <c r="J57" s="286"/>
      <c r="K57" s="286"/>
    </row>
    <row r="58" spans="1:11" x14ac:dyDescent="0.2">
      <c r="A58" s="286"/>
      <c r="B58" s="298"/>
      <c r="C58" s="321"/>
      <c r="D58" s="293"/>
      <c r="E58" s="293"/>
      <c r="F58" s="293"/>
      <c r="G58" s="8"/>
      <c r="H58" s="8"/>
      <c r="I58" s="286"/>
      <c r="J58" s="286"/>
      <c r="K58" s="286"/>
    </row>
    <row r="59" spans="1:11" x14ac:dyDescent="0.2">
      <c r="A59" s="286"/>
      <c r="B59" s="298"/>
      <c r="C59" s="321"/>
      <c r="D59" s="293"/>
      <c r="E59" s="293"/>
      <c r="F59" s="293"/>
      <c r="G59" s="8"/>
      <c r="H59" s="8"/>
      <c r="I59" s="286"/>
      <c r="J59" s="286"/>
      <c r="K59" s="286"/>
    </row>
    <row r="60" spans="1:11" x14ac:dyDescent="0.2">
      <c r="A60" s="286"/>
      <c r="B60" s="298"/>
      <c r="C60" s="321"/>
      <c r="D60" s="293"/>
      <c r="E60" s="293"/>
      <c r="F60" s="293"/>
      <c r="G60" s="8"/>
      <c r="H60" s="8"/>
      <c r="I60" s="286"/>
      <c r="J60" s="286"/>
      <c r="K60" s="286"/>
    </row>
    <row r="61" spans="1:11" x14ac:dyDescent="0.2">
      <c r="A61" s="286"/>
      <c r="B61" s="298"/>
      <c r="C61" s="321"/>
      <c r="D61" s="293"/>
      <c r="E61" s="293"/>
      <c r="F61" s="293"/>
      <c r="G61" s="8"/>
      <c r="H61" s="8"/>
      <c r="I61" s="286"/>
      <c r="J61" s="286"/>
      <c r="K61" s="286"/>
    </row>
    <row r="62" spans="1:11" x14ac:dyDescent="0.2">
      <c r="A62" s="286"/>
      <c r="B62" s="298"/>
      <c r="C62" s="321"/>
      <c r="D62" s="293"/>
      <c r="E62" s="293"/>
      <c r="F62" s="293"/>
      <c r="G62" s="8"/>
      <c r="H62" s="8"/>
      <c r="I62" s="286"/>
      <c r="J62" s="286"/>
      <c r="K62" s="286"/>
    </row>
    <row r="63" spans="1:11" x14ac:dyDescent="0.2">
      <c r="A63" s="286"/>
      <c r="B63" s="298"/>
      <c r="C63" s="321"/>
      <c r="D63" s="293"/>
      <c r="E63" s="293"/>
      <c r="F63" s="293"/>
      <c r="G63" s="8"/>
      <c r="H63" s="8"/>
      <c r="I63" s="286"/>
      <c r="J63" s="286"/>
      <c r="K63" s="286"/>
    </row>
    <row r="64" spans="1:11" x14ac:dyDescent="0.2">
      <c r="A64" s="286"/>
      <c r="B64" s="298"/>
      <c r="C64" s="321"/>
      <c r="D64" s="293"/>
      <c r="E64" s="293"/>
      <c r="F64" s="293"/>
      <c r="G64" s="8"/>
      <c r="H64" s="8"/>
      <c r="I64" s="286"/>
      <c r="J64" s="286"/>
      <c r="K64" s="286"/>
    </row>
    <row r="65" spans="2:8" x14ac:dyDescent="0.2">
      <c r="B65" s="298"/>
      <c r="C65" s="321"/>
      <c r="D65" s="293"/>
      <c r="E65" s="293"/>
      <c r="F65" s="293"/>
      <c r="G65" s="8"/>
      <c r="H65" s="8"/>
    </row>
    <row r="66" spans="2:8" x14ac:dyDescent="0.2">
      <c r="B66" s="298"/>
      <c r="C66" s="321"/>
      <c r="D66" s="293"/>
      <c r="E66" s="293"/>
      <c r="F66" s="293"/>
      <c r="G66" s="8"/>
      <c r="H66" s="8"/>
    </row>
    <row r="67" spans="2:8" x14ac:dyDescent="0.2">
      <c r="B67" s="298"/>
      <c r="C67" s="321"/>
      <c r="D67" s="293"/>
      <c r="E67" s="293"/>
      <c r="F67" s="293"/>
      <c r="G67" s="8"/>
      <c r="H67" s="8"/>
    </row>
    <row r="68" spans="2:8" x14ac:dyDescent="0.2">
      <c r="B68" s="298"/>
      <c r="C68" s="321"/>
      <c r="D68" s="293"/>
      <c r="E68" s="293"/>
      <c r="F68" s="293"/>
      <c r="G68" s="8"/>
      <c r="H68" s="8"/>
    </row>
    <row r="69" spans="2:8" x14ac:dyDescent="0.2">
      <c r="B69" s="298"/>
      <c r="C69" s="321"/>
      <c r="D69" s="293"/>
      <c r="E69" s="293"/>
      <c r="F69" s="293"/>
      <c r="G69" s="8"/>
      <c r="H69" s="8"/>
    </row>
    <row r="70" spans="2:8" x14ac:dyDescent="0.2">
      <c r="B70" s="298"/>
      <c r="C70" s="321"/>
      <c r="D70" s="293"/>
      <c r="E70" s="293"/>
      <c r="F70" s="293"/>
      <c r="G70" s="8"/>
      <c r="H70" s="8"/>
    </row>
    <row r="71" spans="2:8" x14ac:dyDescent="0.2">
      <c r="B71" s="298"/>
      <c r="C71" s="321"/>
      <c r="D71" s="293"/>
      <c r="E71" s="293"/>
      <c r="F71" s="293"/>
      <c r="G71" s="8"/>
      <c r="H71" s="8"/>
    </row>
    <row r="72" spans="2:8" x14ac:dyDescent="0.2">
      <c r="B72" s="298"/>
      <c r="C72" s="321"/>
      <c r="D72" s="293"/>
      <c r="E72" s="293"/>
      <c r="F72" s="293"/>
      <c r="G72" s="8"/>
      <c r="H72" s="8"/>
    </row>
    <row r="73" spans="2:8" x14ac:dyDescent="0.2">
      <c r="B73" s="298"/>
      <c r="C73" s="321"/>
      <c r="D73" s="293"/>
      <c r="E73" s="293"/>
      <c r="F73" s="293"/>
      <c r="G73" s="8"/>
      <c r="H73" s="8"/>
    </row>
    <row r="74" spans="2:8" x14ac:dyDescent="0.2">
      <c r="B74" s="298"/>
      <c r="C74" s="321"/>
      <c r="D74" s="293"/>
      <c r="E74" s="293"/>
      <c r="F74" s="293"/>
      <c r="G74" s="8"/>
      <c r="H74" s="8"/>
    </row>
    <row r="75" spans="2:8" x14ac:dyDescent="0.2">
      <c r="B75" s="298"/>
      <c r="C75" s="321"/>
      <c r="D75" s="293"/>
      <c r="E75" s="293"/>
      <c r="F75" s="293"/>
      <c r="G75" s="8"/>
      <c r="H75" s="8"/>
    </row>
    <row r="76" spans="2:8" x14ac:dyDescent="0.2">
      <c r="B76" s="298"/>
      <c r="C76" s="321"/>
      <c r="D76" s="293"/>
      <c r="E76" s="293"/>
      <c r="F76" s="293"/>
      <c r="G76" s="8"/>
      <c r="H76" s="8"/>
    </row>
    <row r="77" spans="2:8" x14ac:dyDescent="0.2">
      <c r="B77" s="298"/>
      <c r="C77" s="321"/>
      <c r="D77" s="293"/>
      <c r="E77" s="293"/>
      <c r="F77" s="293"/>
      <c r="G77" s="8"/>
      <c r="H77" s="8"/>
    </row>
    <row r="78" spans="2:8" x14ac:dyDescent="0.2">
      <c r="B78" s="298"/>
      <c r="C78" s="321"/>
      <c r="D78" s="293"/>
      <c r="E78" s="293"/>
      <c r="F78" s="293"/>
      <c r="G78" s="8"/>
      <c r="H78" s="8"/>
    </row>
    <row r="79" spans="2:8" x14ac:dyDescent="0.2">
      <c r="B79" s="298"/>
      <c r="C79" s="321"/>
      <c r="D79" s="293"/>
      <c r="E79" s="293"/>
      <c r="F79" s="293"/>
      <c r="G79" s="8"/>
      <c r="H79" s="8"/>
    </row>
    <row r="80" spans="2:8" x14ac:dyDescent="0.2">
      <c r="B80" s="298"/>
      <c r="C80" s="321"/>
      <c r="D80" s="293"/>
      <c r="E80" s="293"/>
      <c r="F80" s="293"/>
      <c r="G80" s="8"/>
      <c r="H80" s="8"/>
    </row>
    <row r="81" spans="4:6" x14ac:dyDescent="0.2">
      <c r="D81" s="293"/>
      <c r="E81" s="293"/>
      <c r="F81" s="293"/>
    </row>
    <row r="82" spans="4:6" x14ac:dyDescent="0.2">
      <c r="D82" s="293"/>
      <c r="E82" s="293"/>
      <c r="F82" s="293"/>
    </row>
    <row r="83" spans="4:6" x14ac:dyDescent="0.2">
      <c r="D83" s="293"/>
      <c r="E83" s="293"/>
      <c r="F83" s="293"/>
    </row>
    <row r="84" spans="4:6" x14ac:dyDescent="0.2">
      <c r="D84" s="293"/>
      <c r="E84" s="293"/>
      <c r="F84" s="293"/>
    </row>
    <row r="85" spans="4:6" x14ac:dyDescent="0.2">
      <c r="D85" s="293"/>
      <c r="E85" s="293"/>
      <c r="F85" s="293"/>
    </row>
    <row r="86" spans="4:6" x14ac:dyDescent="0.2">
      <c r="D86" s="293"/>
      <c r="E86" s="293"/>
      <c r="F86" s="293"/>
    </row>
    <row r="87" spans="4:6" x14ac:dyDescent="0.2">
      <c r="D87" s="293"/>
      <c r="E87" s="293"/>
      <c r="F87" s="293"/>
    </row>
    <row r="88" spans="4:6" x14ac:dyDescent="0.2">
      <c r="D88" s="293"/>
      <c r="E88" s="293"/>
      <c r="F88" s="293"/>
    </row>
    <row r="89" spans="4:6" x14ac:dyDescent="0.2">
      <c r="D89" s="293"/>
      <c r="E89" s="293"/>
      <c r="F89" s="293"/>
    </row>
    <row r="90" spans="4:6" x14ac:dyDescent="0.2">
      <c r="D90" s="293"/>
      <c r="E90" s="293"/>
      <c r="F90" s="293"/>
    </row>
    <row r="91" spans="4:6" x14ac:dyDescent="0.2">
      <c r="D91" s="293"/>
      <c r="E91" s="293"/>
      <c r="F91" s="293"/>
    </row>
    <row r="92" spans="4:6" x14ac:dyDescent="0.2">
      <c r="D92" s="293"/>
      <c r="E92" s="293"/>
      <c r="F92" s="293"/>
    </row>
    <row r="93" spans="4:6" x14ac:dyDescent="0.2">
      <c r="D93" s="293"/>
      <c r="E93" s="293"/>
      <c r="F93" s="293"/>
    </row>
    <row r="94" spans="4:6" x14ac:dyDescent="0.2">
      <c r="D94" s="293"/>
      <c r="E94" s="293"/>
      <c r="F94" s="293"/>
    </row>
    <row r="95" spans="4:6" x14ac:dyDescent="0.2">
      <c r="D95" s="293"/>
      <c r="E95" s="293"/>
      <c r="F95" s="293"/>
    </row>
    <row r="96" spans="4:6" x14ac:dyDescent="0.2">
      <c r="D96" s="293"/>
      <c r="E96" s="293"/>
      <c r="F96" s="293"/>
    </row>
    <row r="97" spans="4:6" x14ac:dyDescent="0.2">
      <c r="D97" s="293"/>
      <c r="E97" s="293"/>
      <c r="F97" s="293"/>
    </row>
    <row r="98" spans="4:6" x14ac:dyDescent="0.2">
      <c r="D98" s="293"/>
      <c r="E98" s="293"/>
      <c r="F98" s="293"/>
    </row>
    <row r="99" spans="4:6" x14ac:dyDescent="0.2">
      <c r="D99" s="293"/>
      <c r="E99" s="293"/>
      <c r="F99" s="293"/>
    </row>
    <row r="100" spans="4:6" x14ac:dyDescent="0.2">
      <c r="D100" s="293"/>
      <c r="E100" s="293"/>
      <c r="F100" s="293"/>
    </row>
    <row r="101" spans="4:6" x14ac:dyDescent="0.2">
      <c r="D101" s="293"/>
      <c r="E101" s="293"/>
      <c r="F101" s="293"/>
    </row>
    <row r="102" spans="4:6" x14ac:dyDescent="0.2">
      <c r="D102" s="293"/>
      <c r="E102" s="293"/>
      <c r="F102" s="293"/>
    </row>
    <row r="103" spans="4:6" x14ac:dyDescent="0.2">
      <c r="D103" s="293"/>
      <c r="E103" s="293"/>
      <c r="F103" s="293"/>
    </row>
    <row r="104" spans="4:6" x14ac:dyDescent="0.2">
      <c r="D104" s="293"/>
      <c r="E104" s="293"/>
      <c r="F104" s="293"/>
    </row>
    <row r="105" spans="4:6" x14ac:dyDescent="0.2">
      <c r="D105" s="293"/>
      <c r="E105" s="293"/>
      <c r="F105" s="293"/>
    </row>
    <row r="106" spans="4:6" x14ac:dyDescent="0.2">
      <c r="D106" s="293"/>
      <c r="E106" s="293"/>
      <c r="F106" s="293"/>
    </row>
    <row r="107" spans="4:6" x14ac:dyDescent="0.2">
      <c r="D107" s="293"/>
      <c r="E107" s="293"/>
      <c r="F107" s="293"/>
    </row>
    <row r="108" spans="4:6" x14ac:dyDescent="0.2">
      <c r="D108" s="293"/>
      <c r="E108" s="293"/>
      <c r="F108" s="293"/>
    </row>
    <row r="109" spans="4:6" x14ac:dyDescent="0.2">
      <c r="D109" s="293"/>
      <c r="E109" s="293"/>
      <c r="F109" s="293"/>
    </row>
    <row r="110" spans="4:6" x14ac:dyDescent="0.2">
      <c r="D110" s="293"/>
      <c r="E110" s="293"/>
      <c r="F110" s="293"/>
    </row>
    <row r="111" spans="4:6" x14ac:dyDescent="0.2">
      <c r="D111" s="293"/>
      <c r="E111" s="293"/>
      <c r="F111" s="293"/>
    </row>
    <row r="112" spans="4:6" x14ac:dyDescent="0.2">
      <c r="D112" s="293"/>
      <c r="E112" s="293"/>
      <c r="F112" s="293"/>
    </row>
    <row r="113" spans="4:6" x14ac:dyDescent="0.2">
      <c r="D113" s="293"/>
      <c r="E113" s="293"/>
      <c r="F113" s="293"/>
    </row>
    <row r="114" spans="4:6" x14ac:dyDescent="0.2">
      <c r="D114" s="293"/>
      <c r="E114" s="293"/>
      <c r="F114" s="293"/>
    </row>
    <row r="115" spans="4:6" x14ac:dyDescent="0.2">
      <c r="D115" s="293"/>
      <c r="E115" s="293"/>
      <c r="F115" s="293"/>
    </row>
    <row r="116" spans="4:6" x14ac:dyDescent="0.2">
      <c r="D116" s="293"/>
      <c r="E116" s="293"/>
      <c r="F116" s="293"/>
    </row>
    <row r="117" spans="4:6" x14ac:dyDescent="0.2">
      <c r="D117" s="293"/>
      <c r="E117" s="293"/>
      <c r="F117" s="293"/>
    </row>
    <row r="118" spans="4:6" x14ac:dyDescent="0.2">
      <c r="D118" s="293"/>
      <c r="E118" s="293"/>
      <c r="F118" s="293"/>
    </row>
    <row r="119" spans="4:6" x14ac:dyDescent="0.2">
      <c r="D119" s="293"/>
      <c r="E119" s="293"/>
      <c r="F119" s="293"/>
    </row>
    <row r="120" spans="4:6" x14ac:dyDescent="0.2">
      <c r="D120" s="293"/>
      <c r="E120" s="293"/>
      <c r="F120" s="293"/>
    </row>
    <row r="121" spans="4:6" x14ac:dyDescent="0.2">
      <c r="D121" s="293"/>
      <c r="E121" s="293"/>
      <c r="F121" s="293"/>
    </row>
    <row r="122" spans="4:6" x14ac:dyDescent="0.2">
      <c r="D122" s="293"/>
      <c r="E122" s="293"/>
      <c r="F122" s="293"/>
    </row>
    <row r="123" spans="4:6" x14ac:dyDescent="0.2">
      <c r="D123" s="293"/>
      <c r="E123" s="293"/>
      <c r="F123" s="293"/>
    </row>
    <row r="124" spans="4:6" x14ac:dyDescent="0.2">
      <c r="D124" s="293"/>
      <c r="E124" s="293"/>
      <c r="F124" s="293"/>
    </row>
    <row r="125" spans="4:6" x14ac:dyDescent="0.2">
      <c r="D125" s="293"/>
      <c r="E125" s="293"/>
      <c r="F125" s="293"/>
    </row>
    <row r="126" spans="4:6" x14ac:dyDescent="0.2">
      <c r="D126" s="293"/>
      <c r="E126" s="293"/>
      <c r="F126" s="293"/>
    </row>
    <row r="127" spans="4:6" x14ac:dyDescent="0.2">
      <c r="D127" s="293"/>
      <c r="E127" s="293"/>
      <c r="F127" s="293"/>
    </row>
    <row r="128" spans="4:6" x14ac:dyDescent="0.2">
      <c r="D128" s="293"/>
      <c r="E128" s="293"/>
      <c r="F128" s="293"/>
    </row>
    <row r="129" spans="4:6" x14ac:dyDescent="0.2">
      <c r="D129" s="293"/>
      <c r="E129" s="293"/>
      <c r="F129" s="293"/>
    </row>
    <row r="130" spans="4:6" x14ac:dyDescent="0.2">
      <c r="D130" s="293"/>
      <c r="E130" s="293"/>
      <c r="F130" s="293"/>
    </row>
    <row r="131" spans="4:6" x14ac:dyDescent="0.2">
      <c r="D131" s="293"/>
      <c r="E131" s="293"/>
      <c r="F131" s="293"/>
    </row>
    <row r="132" spans="4:6" x14ac:dyDescent="0.2">
      <c r="D132" s="293"/>
      <c r="E132" s="293"/>
      <c r="F132" s="293"/>
    </row>
    <row r="133" spans="4:6" x14ac:dyDescent="0.2">
      <c r="D133" s="293"/>
      <c r="E133" s="293"/>
      <c r="F133" s="293"/>
    </row>
    <row r="134" spans="4:6" x14ac:dyDescent="0.2">
      <c r="D134" s="293"/>
      <c r="E134" s="293"/>
      <c r="F134" s="293"/>
    </row>
    <row r="135" spans="4:6" x14ac:dyDescent="0.2">
      <c r="D135" s="293"/>
      <c r="E135" s="293"/>
      <c r="F135" s="293"/>
    </row>
    <row r="136" spans="4:6" x14ac:dyDescent="0.2">
      <c r="D136" s="293"/>
      <c r="E136" s="293"/>
      <c r="F136" s="293"/>
    </row>
    <row r="137" spans="4:6" x14ac:dyDescent="0.2">
      <c r="D137" s="293"/>
      <c r="E137" s="293"/>
      <c r="F137" s="293"/>
    </row>
    <row r="138" spans="4:6" x14ac:dyDescent="0.2">
      <c r="D138" s="293"/>
      <c r="E138" s="293"/>
      <c r="F138" s="293"/>
    </row>
    <row r="139" spans="4:6" x14ac:dyDescent="0.2">
      <c r="D139" s="293"/>
      <c r="E139" s="293"/>
      <c r="F139" s="293"/>
    </row>
    <row r="140" spans="4:6" x14ac:dyDescent="0.2">
      <c r="D140" s="293"/>
      <c r="E140" s="293"/>
      <c r="F140" s="293"/>
    </row>
    <row r="141" spans="4:6" x14ac:dyDescent="0.2">
      <c r="D141" s="293"/>
      <c r="E141" s="293"/>
      <c r="F141" s="293"/>
    </row>
    <row r="142" spans="4:6" x14ac:dyDescent="0.2">
      <c r="D142" s="293"/>
      <c r="E142" s="293"/>
      <c r="F142" s="293"/>
    </row>
    <row r="143" spans="4:6" x14ac:dyDescent="0.2">
      <c r="D143" s="440"/>
      <c r="E143" s="440"/>
      <c r="F143" s="440"/>
    </row>
    <row r="144" spans="4:6" x14ac:dyDescent="0.2">
      <c r="D144" s="440"/>
      <c r="E144" s="440"/>
      <c r="F144" s="440"/>
    </row>
    <row r="145" spans="4:6" x14ac:dyDescent="0.2">
      <c r="D145" s="440"/>
      <c r="E145" s="440"/>
      <c r="F145" s="440"/>
    </row>
    <row r="146" spans="4:6" x14ac:dyDescent="0.2">
      <c r="D146" s="440"/>
      <c r="E146" s="440"/>
      <c r="F146" s="440"/>
    </row>
    <row r="147" spans="4:6" x14ac:dyDescent="0.2">
      <c r="D147" s="440"/>
      <c r="E147" s="440"/>
      <c r="F147" s="440"/>
    </row>
    <row r="148" spans="4:6" x14ac:dyDescent="0.2">
      <c r="D148" s="440"/>
      <c r="E148" s="440"/>
      <c r="F148" s="440"/>
    </row>
    <row r="149" spans="4:6" x14ac:dyDescent="0.2">
      <c r="D149" s="440"/>
      <c r="E149" s="440"/>
      <c r="F149" s="440"/>
    </row>
  </sheetData>
  <sheetProtection formatCells="0"/>
  <mergeCells count="1">
    <mergeCell ref="A2:C2"/>
  </mergeCells>
  <phoneticPr fontId="2" type="noConversion"/>
  <hyperlinks>
    <hyperlink ref="A2" location="Index!A1" display="Back to Index" xr:uid="{4570E3E2-D5B3-4B0A-8D90-E46D7D46934D}"/>
  </hyperlinks>
  <printOptions gridLines="1"/>
  <pageMargins left="0.74803149606299213" right="3.937007874015748E-2" top="0.78740157480314965" bottom="0.78740157480314965" header="0" footer="0"/>
  <pageSetup paperSize="9" scale="69" fitToHeight="0" orientation="landscape" blackAndWhite="1" r:id="rId1"/>
  <headerFooter alignWithMargins="0">
    <oddFooter>&amp;L&amp;8&amp;Z&amp;F&amp;A&amp;R&amp;8&amp;D&amp;T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418A-7E49-4B7F-ADC5-0D68CC309504}">
  <sheetPr>
    <tabColor indexed="47"/>
    <pageSetUpPr fitToPage="1"/>
  </sheetPr>
  <dimension ref="A1:H158"/>
  <sheetViews>
    <sheetView showGridLines="0" zoomScale="70" zoomScaleNormal="70" workbookViewId="0"/>
  </sheetViews>
  <sheetFormatPr defaultColWidth="9.42578125" defaultRowHeight="14.25" x14ac:dyDescent="0.2"/>
  <cols>
    <col min="1" max="1" width="2.42578125" style="397" customWidth="1"/>
    <col min="2" max="2" width="4.42578125" style="397" customWidth="1"/>
    <col min="3" max="3" width="86.7109375" style="403" bestFit="1" customWidth="1"/>
    <col min="4" max="6" width="11.42578125" style="439" customWidth="1"/>
    <col min="7" max="8" width="11.42578125" style="397" customWidth="1"/>
    <col min="9" max="16384" width="9.42578125" style="397"/>
  </cols>
  <sheetData>
    <row r="1" spans="1:8" s="4" customFormat="1" ht="20.25" x14ac:dyDescent="0.3">
      <c r="A1" s="3" t="s">
        <v>174</v>
      </c>
      <c r="D1" s="331"/>
      <c r="E1" s="331"/>
      <c r="F1" s="331"/>
    </row>
    <row r="2" spans="1:8" s="6" customFormat="1" ht="60" x14ac:dyDescent="0.25">
      <c r="A2" s="441" t="s">
        <v>34</v>
      </c>
      <c r="B2" s="442"/>
      <c r="C2" s="442"/>
      <c r="D2" s="443">
        <v>46174</v>
      </c>
      <c r="E2" s="443">
        <v>45992</v>
      </c>
      <c r="F2" s="443">
        <v>45809</v>
      </c>
      <c r="G2" s="443" t="s">
        <v>471</v>
      </c>
      <c r="H2" s="443" t="s">
        <v>472</v>
      </c>
    </row>
    <row r="3" spans="1:8" s="341" customFormat="1" ht="9.75" customHeight="1" x14ac:dyDescent="0.25">
      <c r="A3" s="1"/>
      <c r="D3" s="146"/>
      <c r="E3" s="24"/>
      <c r="F3" s="24"/>
    </row>
    <row r="4" spans="1:8" s="294" customFormat="1" ht="15" customHeight="1" x14ac:dyDescent="0.25">
      <c r="A4" s="294" t="s">
        <v>175</v>
      </c>
      <c r="D4" s="146"/>
      <c r="E4" s="295"/>
      <c r="F4" s="295"/>
    </row>
    <row r="5" spans="1:8" s="294" customFormat="1" ht="15" customHeight="1" x14ac:dyDescent="0.25">
      <c r="B5" s="294" t="s">
        <v>176</v>
      </c>
      <c r="D5" s="101">
        <v>70772</v>
      </c>
      <c r="E5" s="295">
        <v>63779</v>
      </c>
      <c r="F5" s="295">
        <v>57980</v>
      </c>
      <c r="G5" s="296">
        <v>22.062780269058301</v>
      </c>
      <c r="H5" s="179">
        <v>10.964424026717268</v>
      </c>
    </row>
    <row r="6" spans="1:8" ht="15" customHeight="1" x14ac:dyDescent="0.2">
      <c r="A6" s="286"/>
      <c r="B6" s="286"/>
      <c r="C6" s="287" t="s">
        <v>177</v>
      </c>
      <c r="D6" s="112">
        <v>1949</v>
      </c>
      <c r="E6" s="191">
        <v>945</v>
      </c>
      <c r="F6" s="191">
        <v>2949</v>
      </c>
      <c r="G6" s="296">
        <v>-33.909799932180398</v>
      </c>
      <c r="H6" s="179" t="s">
        <v>494</v>
      </c>
    </row>
    <row r="7" spans="1:8" ht="15" customHeight="1" x14ac:dyDescent="0.2">
      <c r="A7" s="286"/>
      <c r="B7" s="286"/>
      <c r="C7" s="287" t="s">
        <v>178</v>
      </c>
      <c r="D7" s="112">
        <v>36198</v>
      </c>
      <c r="E7" s="191">
        <v>31257</v>
      </c>
      <c r="F7" s="191">
        <v>25458</v>
      </c>
      <c r="G7" s="296">
        <v>42.187131746405846</v>
      </c>
      <c r="H7" s="179">
        <v>15.807659084365099</v>
      </c>
    </row>
    <row r="8" spans="1:8" ht="15" customHeight="1" x14ac:dyDescent="0.2">
      <c r="A8" s="286"/>
      <c r="B8" s="286"/>
      <c r="C8" s="287" t="s">
        <v>179</v>
      </c>
      <c r="D8" s="112">
        <v>27071</v>
      </c>
      <c r="E8" s="191">
        <v>23851</v>
      </c>
      <c r="F8" s="191">
        <v>21486</v>
      </c>
      <c r="G8" s="296">
        <v>25.99367029693753</v>
      </c>
      <c r="H8" s="179">
        <v>13.500482160077155</v>
      </c>
    </row>
    <row r="9" spans="1:8" ht="15" customHeight="1" x14ac:dyDescent="0.25">
      <c r="A9" s="286"/>
      <c r="B9" s="341"/>
      <c r="C9" s="287" t="s">
        <v>180</v>
      </c>
      <c r="D9" s="112">
        <v>1876</v>
      </c>
      <c r="E9" s="191">
        <v>1885</v>
      </c>
      <c r="F9" s="191">
        <v>1740</v>
      </c>
      <c r="G9" s="296">
        <v>7.8160919540229967</v>
      </c>
      <c r="H9" s="179">
        <v>-0.4774535809018543</v>
      </c>
    </row>
    <row r="10" spans="1:8" ht="15" x14ac:dyDescent="0.25">
      <c r="A10" s="286"/>
      <c r="B10" s="341"/>
      <c r="C10" s="287" t="s">
        <v>181</v>
      </c>
      <c r="D10" s="112">
        <v>3678</v>
      </c>
      <c r="E10" s="8">
        <v>5841</v>
      </c>
      <c r="F10" s="8">
        <v>6347</v>
      </c>
      <c r="G10" s="296">
        <v>-42.051362848589889</v>
      </c>
      <c r="H10" s="179">
        <v>-37.031330251669239</v>
      </c>
    </row>
    <row r="11" spans="1:8" ht="15" x14ac:dyDescent="0.25">
      <c r="A11" s="286"/>
      <c r="B11" s="341"/>
      <c r="C11" s="287"/>
      <c r="D11" s="98"/>
      <c r="E11" s="8"/>
      <c r="F11" s="8"/>
      <c r="G11" s="293"/>
      <c r="H11" s="315"/>
    </row>
    <row r="12" spans="1:8" s="6" customFormat="1" ht="60" x14ac:dyDescent="0.25">
      <c r="A12" s="441"/>
      <c r="B12" s="442"/>
      <c r="C12" s="442"/>
      <c r="D12" s="190" t="s">
        <v>449</v>
      </c>
      <c r="E12" s="443" t="s">
        <v>450</v>
      </c>
      <c r="F12" s="443" t="s">
        <v>37</v>
      </c>
      <c r="G12" s="443" t="s">
        <v>467</v>
      </c>
      <c r="H12" s="443" t="s">
        <v>468</v>
      </c>
    </row>
    <row r="13" spans="1:8" ht="15" x14ac:dyDescent="0.25">
      <c r="A13" s="291" t="s">
        <v>182</v>
      </c>
      <c r="B13" s="286"/>
      <c r="C13" s="286"/>
      <c r="D13" s="98"/>
      <c r="E13" s="8"/>
      <c r="F13" s="444"/>
      <c r="G13" s="192"/>
      <c r="H13" s="391"/>
    </row>
    <row r="14" spans="1:8" s="294" customFormat="1" ht="15" x14ac:dyDescent="0.25">
      <c r="B14" s="294" t="s">
        <v>183</v>
      </c>
      <c r="D14" s="110">
        <v>-113</v>
      </c>
      <c r="E14" s="132">
        <v>-395</v>
      </c>
      <c r="F14" s="132">
        <v>-750</v>
      </c>
      <c r="G14" s="179">
        <v>84.933333333333323</v>
      </c>
      <c r="H14" s="179">
        <v>71.392405063291136</v>
      </c>
    </row>
    <row r="15" spans="1:8" s="294" customFormat="1" ht="15" x14ac:dyDescent="0.25">
      <c r="C15" s="294" t="s">
        <v>184</v>
      </c>
      <c r="D15" s="110"/>
      <c r="E15" s="386"/>
      <c r="F15" s="132"/>
      <c r="G15" s="193"/>
      <c r="H15" s="445"/>
    </row>
    <row r="16" spans="1:8" s="294" customFormat="1" ht="15" x14ac:dyDescent="0.25">
      <c r="C16" s="334" t="s">
        <v>473</v>
      </c>
      <c r="D16" s="110">
        <v>0</v>
      </c>
      <c r="E16" s="386">
        <v>-1</v>
      </c>
      <c r="F16" s="132">
        <v>0</v>
      </c>
      <c r="G16" s="661">
        <v>0</v>
      </c>
      <c r="H16" s="661" t="s">
        <v>151</v>
      </c>
    </row>
    <row r="17" spans="1:8" x14ac:dyDescent="0.2">
      <c r="A17" s="286"/>
      <c r="B17" s="286"/>
      <c r="C17" s="334" t="s">
        <v>484</v>
      </c>
      <c r="D17" s="112">
        <v>-136</v>
      </c>
      <c r="E17" s="130">
        <v>175</v>
      </c>
      <c r="F17" s="130">
        <v>417</v>
      </c>
      <c r="G17" s="179" t="s">
        <v>151</v>
      </c>
      <c r="H17" s="179" t="s">
        <v>151</v>
      </c>
    </row>
    <row r="18" spans="1:8" x14ac:dyDescent="0.2">
      <c r="A18" s="286"/>
      <c r="B18" s="286"/>
      <c r="C18" s="334" t="s">
        <v>485</v>
      </c>
      <c r="D18" s="112">
        <v>-58</v>
      </c>
      <c r="E18" s="130">
        <v>41</v>
      </c>
      <c r="F18" s="130">
        <v>-103</v>
      </c>
      <c r="G18" s="179">
        <v>43.689320388349515</v>
      </c>
      <c r="H18" s="179" t="s">
        <v>151</v>
      </c>
    </row>
    <row r="19" spans="1:8" x14ac:dyDescent="0.2">
      <c r="A19" s="286"/>
      <c r="B19" s="286"/>
      <c r="C19" s="334" t="s">
        <v>482</v>
      </c>
      <c r="D19" s="112">
        <v>27</v>
      </c>
      <c r="E19" s="130">
        <v>-33</v>
      </c>
      <c r="F19" s="130">
        <v>-39</v>
      </c>
      <c r="G19" s="179" t="s">
        <v>151</v>
      </c>
      <c r="H19" s="179" t="s">
        <v>151</v>
      </c>
    </row>
    <row r="20" spans="1:8" ht="15" x14ac:dyDescent="0.25">
      <c r="A20" s="286"/>
      <c r="B20" s="286"/>
      <c r="C20" s="294" t="s">
        <v>185</v>
      </c>
      <c r="D20" s="112"/>
      <c r="E20" s="130"/>
      <c r="F20" s="130"/>
      <c r="G20" s="193"/>
      <c r="H20" s="445"/>
    </row>
    <row r="21" spans="1:8" x14ac:dyDescent="0.2">
      <c r="A21" s="286"/>
      <c r="B21" s="286"/>
      <c r="C21" s="334" t="s">
        <v>473</v>
      </c>
      <c r="D21" s="112">
        <v>-1</v>
      </c>
      <c r="E21" s="130">
        <v>14</v>
      </c>
      <c r="F21" s="130">
        <v>0</v>
      </c>
      <c r="G21" s="179" t="s">
        <v>151</v>
      </c>
      <c r="H21" s="179" t="s">
        <v>151</v>
      </c>
    </row>
    <row r="22" spans="1:8" x14ac:dyDescent="0.2">
      <c r="A22" s="286"/>
      <c r="B22" s="286"/>
      <c r="C22" s="334" t="s">
        <v>484</v>
      </c>
      <c r="D22" s="112">
        <v>-98</v>
      </c>
      <c r="E22" s="130">
        <v>61</v>
      </c>
      <c r="F22" s="130">
        <v>66</v>
      </c>
      <c r="G22" s="179" t="s">
        <v>151</v>
      </c>
      <c r="H22" s="179" t="s">
        <v>151</v>
      </c>
    </row>
    <row r="23" spans="1:8" x14ac:dyDescent="0.2">
      <c r="A23" s="286"/>
      <c r="B23" s="286"/>
      <c r="C23" s="334" t="s">
        <v>482</v>
      </c>
      <c r="D23" s="112">
        <v>8</v>
      </c>
      <c r="E23" s="130">
        <v>-15</v>
      </c>
      <c r="F23" s="130">
        <v>-5</v>
      </c>
      <c r="G23" s="179" t="s">
        <v>151</v>
      </c>
      <c r="H23" s="179" t="s">
        <v>151</v>
      </c>
    </row>
    <row r="24" spans="1:8" x14ac:dyDescent="0.2">
      <c r="A24" s="286"/>
      <c r="B24" s="286"/>
      <c r="C24" s="334" t="s">
        <v>486</v>
      </c>
      <c r="D24" s="112">
        <v>-2</v>
      </c>
      <c r="E24" s="130">
        <v>40</v>
      </c>
      <c r="F24" s="130">
        <v>19</v>
      </c>
      <c r="G24" s="179" t="s">
        <v>151</v>
      </c>
      <c r="H24" s="179" t="s">
        <v>151</v>
      </c>
    </row>
    <row r="25" spans="1:8" s="294" customFormat="1" ht="15" x14ac:dyDescent="0.25">
      <c r="B25" s="294" t="s">
        <v>186</v>
      </c>
      <c r="D25" s="110">
        <v>-373</v>
      </c>
      <c r="E25" s="132">
        <v>-113</v>
      </c>
      <c r="F25" s="132">
        <v>-395</v>
      </c>
      <c r="G25" s="179">
        <v>5.5696202531645529</v>
      </c>
      <c r="H25" s="179" t="s">
        <v>495</v>
      </c>
    </row>
    <row r="26" spans="1:8" s="294" customFormat="1" ht="15" x14ac:dyDescent="0.25">
      <c r="D26" s="110"/>
      <c r="E26" s="132"/>
      <c r="F26" s="132"/>
      <c r="G26" s="193"/>
      <c r="H26" s="445"/>
    </row>
    <row r="27" spans="1:8" ht="15" x14ac:dyDescent="0.25">
      <c r="A27" s="291" t="s">
        <v>187</v>
      </c>
      <c r="B27" s="286"/>
      <c r="C27" s="321"/>
      <c r="D27" s="112"/>
      <c r="E27" s="296"/>
      <c r="F27" s="130"/>
      <c r="G27" s="193"/>
      <c r="H27" s="446"/>
    </row>
    <row r="28" spans="1:8" s="294" customFormat="1" ht="15" x14ac:dyDescent="0.25">
      <c r="B28" s="294" t="s">
        <v>188</v>
      </c>
      <c r="D28" s="110">
        <v>91</v>
      </c>
      <c r="E28" s="132">
        <v>67</v>
      </c>
      <c r="F28" s="132">
        <v>-764</v>
      </c>
      <c r="G28" s="179" t="s">
        <v>151</v>
      </c>
      <c r="H28" s="179">
        <v>35.820895522388049</v>
      </c>
    </row>
    <row r="29" spans="1:8" x14ac:dyDescent="0.2">
      <c r="A29" s="286"/>
      <c r="B29" s="286"/>
      <c r="C29" s="334" t="s">
        <v>473</v>
      </c>
      <c r="D29" s="112">
        <v>4</v>
      </c>
      <c r="E29" s="130">
        <v>-3</v>
      </c>
      <c r="F29" s="130">
        <v>-7</v>
      </c>
      <c r="G29" s="179" t="s">
        <v>151</v>
      </c>
      <c r="H29" s="179" t="s">
        <v>151</v>
      </c>
    </row>
    <row r="30" spans="1:8" x14ac:dyDescent="0.2">
      <c r="A30" s="286"/>
      <c r="B30" s="286"/>
      <c r="C30" s="334" t="s">
        <v>423</v>
      </c>
      <c r="D30" s="112">
        <v>354</v>
      </c>
      <c r="E30" s="130">
        <v>853</v>
      </c>
      <c r="F30" s="130">
        <v>1531</v>
      </c>
      <c r="G30" s="179">
        <v>-76.877857609405623</v>
      </c>
      <c r="H30" s="179">
        <v>-58.49941383352872</v>
      </c>
    </row>
    <row r="31" spans="1:8" x14ac:dyDescent="0.2">
      <c r="A31" s="286"/>
      <c r="B31" s="286"/>
      <c r="C31" s="334" t="s">
        <v>483</v>
      </c>
      <c r="D31" s="112">
        <v>-580</v>
      </c>
      <c r="E31" s="130">
        <v>-809</v>
      </c>
      <c r="F31" s="130">
        <v>-574</v>
      </c>
      <c r="G31" s="179">
        <v>-1.0452961672473782</v>
      </c>
      <c r="H31" s="179">
        <v>28.30655129789864</v>
      </c>
    </row>
    <row r="32" spans="1:8" x14ac:dyDescent="0.2">
      <c r="A32" s="286"/>
      <c r="B32" s="286"/>
      <c r="C32" s="334" t="s">
        <v>482</v>
      </c>
      <c r="D32" s="112">
        <v>39</v>
      </c>
      <c r="E32" s="130">
        <v>-17</v>
      </c>
      <c r="F32" s="130">
        <v>-119</v>
      </c>
      <c r="G32" s="179" t="s">
        <v>151</v>
      </c>
      <c r="H32" s="179" t="s">
        <v>151</v>
      </c>
    </row>
    <row r="33" spans="2:8" s="294" customFormat="1" ht="15" x14ac:dyDescent="0.25">
      <c r="B33" s="294" t="s">
        <v>189</v>
      </c>
      <c r="D33" s="110">
        <v>-92</v>
      </c>
      <c r="E33" s="132">
        <v>91</v>
      </c>
      <c r="F33" s="132">
        <v>67</v>
      </c>
      <c r="G33" s="179" t="s">
        <v>151</v>
      </c>
      <c r="H33" s="179" t="s">
        <v>151</v>
      </c>
    </row>
    <row r="34" spans="2:8" x14ac:dyDescent="0.2">
      <c r="B34" s="286"/>
      <c r="C34" s="321"/>
      <c r="D34" s="204"/>
      <c r="E34" s="204"/>
      <c r="F34" s="447"/>
      <c r="G34" s="315"/>
      <c r="H34" s="315"/>
    </row>
    <row r="35" spans="2:8" x14ac:dyDescent="0.2">
      <c r="B35" s="286"/>
      <c r="C35" s="321"/>
      <c r="D35" s="204"/>
      <c r="E35" s="204"/>
      <c r="F35" s="447"/>
      <c r="G35" s="391"/>
      <c r="H35" s="391"/>
    </row>
    <row r="36" spans="2:8" s="326" customFormat="1" ht="12.75" x14ac:dyDescent="0.2">
      <c r="B36" s="70" t="s">
        <v>190</v>
      </c>
      <c r="C36" s="70" t="s">
        <v>152</v>
      </c>
      <c r="D36" s="328"/>
      <c r="E36" s="328"/>
      <c r="F36" s="328"/>
    </row>
    <row r="37" spans="2:8" x14ac:dyDescent="0.2">
      <c r="B37" s="286"/>
      <c r="C37" s="321"/>
      <c r="D37" s="292"/>
      <c r="E37" s="292"/>
      <c r="F37" s="8"/>
      <c r="G37" s="286"/>
      <c r="H37" s="286"/>
    </row>
    <row r="38" spans="2:8" x14ac:dyDescent="0.2">
      <c r="B38" s="286"/>
      <c r="C38" s="321"/>
      <c r="D38" s="292"/>
      <c r="E38" s="292"/>
      <c r="F38" s="8"/>
      <c r="G38" s="286"/>
      <c r="H38" s="286"/>
    </row>
    <row r="39" spans="2:8" x14ac:dyDescent="0.2">
      <c r="B39" s="286"/>
      <c r="C39" s="321"/>
      <c r="D39" s="292"/>
      <c r="E39" s="292"/>
      <c r="F39" s="8"/>
      <c r="G39" s="286"/>
      <c r="H39" s="286"/>
    </row>
    <row r="40" spans="2:8" x14ac:dyDescent="0.2">
      <c r="B40" s="286"/>
      <c r="C40" s="321"/>
      <c r="D40" s="292"/>
      <c r="E40" s="292"/>
      <c r="F40" s="8"/>
      <c r="G40" s="286"/>
      <c r="H40" s="286"/>
    </row>
    <row r="41" spans="2:8" x14ac:dyDescent="0.2">
      <c r="B41" s="286"/>
      <c r="C41" s="321"/>
      <c r="D41" s="292"/>
      <c r="E41" s="292"/>
      <c r="F41" s="8"/>
      <c r="G41" s="286"/>
      <c r="H41" s="286"/>
    </row>
    <row r="42" spans="2:8" x14ac:dyDescent="0.2">
      <c r="B42" s="286"/>
      <c r="C42" s="321"/>
      <c r="D42" s="292"/>
      <c r="E42" s="292"/>
      <c r="F42" s="8"/>
      <c r="G42" s="286"/>
      <c r="H42" s="286"/>
    </row>
    <row r="43" spans="2:8" x14ac:dyDescent="0.2">
      <c r="B43" s="286"/>
      <c r="C43" s="321"/>
      <c r="D43" s="292"/>
      <c r="E43" s="292"/>
      <c r="F43" s="8"/>
      <c r="G43" s="286"/>
      <c r="H43" s="286"/>
    </row>
    <row r="44" spans="2:8" x14ac:dyDescent="0.2">
      <c r="B44" s="286"/>
      <c r="C44" s="321"/>
      <c r="D44" s="292"/>
      <c r="E44" s="292"/>
      <c r="F44" s="8"/>
      <c r="G44" s="286"/>
      <c r="H44" s="286"/>
    </row>
    <row r="45" spans="2:8" x14ac:dyDescent="0.2">
      <c r="B45" s="286"/>
      <c r="C45" s="321"/>
      <c r="D45" s="292"/>
      <c r="E45" s="292"/>
      <c r="F45" s="8"/>
      <c r="G45" s="286"/>
      <c r="H45" s="286"/>
    </row>
    <row r="46" spans="2:8" x14ac:dyDescent="0.2">
      <c r="B46" s="286"/>
      <c r="C46" s="321"/>
      <c r="D46" s="292"/>
      <c r="E46" s="292"/>
      <c r="F46" s="8"/>
      <c r="G46" s="286"/>
      <c r="H46" s="286"/>
    </row>
    <row r="47" spans="2:8" x14ac:dyDescent="0.2">
      <c r="B47" s="286"/>
      <c r="C47" s="321"/>
      <c r="D47" s="292"/>
      <c r="E47" s="292"/>
      <c r="F47" s="8"/>
      <c r="G47" s="286"/>
      <c r="H47" s="286"/>
    </row>
    <row r="48" spans="2:8" x14ac:dyDescent="0.2">
      <c r="B48" s="286"/>
      <c r="C48" s="321"/>
      <c r="D48" s="293"/>
      <c r="E48" s="293"/>
      <c r="F48" s="8"/>
      <c r="G48" s="286"/>
      <c r="H48" s="286"/>
    </row>
    <row r="49" spans="2:8" x14ac:dyDescent="0.2">
      <c r="B49" s="286"/>
      <c r="C49" s="321"/>
      <c r="D49" s="293"/>
      <c r="E49" s="293"/>
      <c r="F49" s="8"/>
      <c r="G49" s="286"/>
      <c r="H49" s="286"/>
    </row>
    <row r="50" spans="2:8" x14ac:dyDescent="0.2">
      <c r="B50" s="286"/>
      <c r="C50" s="321"/>
      <c r="D50" s="293"/>
      <c r="E50" s="293"/>
      <c r="F50" s="8"/>
      <c r="G50" s="286"/>
      <c r="H50" s="286"/>
    </row>
    <row r="51" spans="2:8" x14ac:dyDescent="0.2">
      <c r="B51" s="286"/>
      <c r="C51" s="321"/>
      <c r="D51" s="293"/>
      <c r="E51" s="293"/>
      <c r="F51" s="8"/>
      <c r="G51" s="286"/>
      <c r="H51" s="286"/>
    </row>
    <row r="52" spans="2:8" x14ac:dyDescent="0.2">
      <c r="B52" s="286"/>
      <c r="C52" s="321"/>
      <c r="D52" s="293"/>
      <c r="E52" s="293"/>
      <c r="F52" s="8"/>
      <c r="G52" s="286"/>
      <c r="H52" s="286"/>
    </row>
    <row r="53" spans="2:8" x14ac:dyDescent="0.2">
      <c r="B53" s="286"/>
      <c r="C53" s="321"/>
      <c r="D53" s="293"/>
      <c r="E53" s="293"/>
      <c r="F53" s="8"/>
      <c r="G53" s="286"/>
      <c r="H53" s="286"/>
    </row>
    <row r="54" spans="2:8" x14ac:dyDescent="0.2">
      <c r="B54" s="286"/>
      <c r="C54" s="321"/>
      <c r="D54" s="293"/>
      <c r="E54" s="293"/>
      <c r="F54" s="8"/>
      <c r="G54" s="286"/>
      <c r="H54" s="286"/>
    </row>
    <row r="55" spans="2:8" x14ac:dyDescent="0.2">
      <c r="B55" s="286"/>
      <c r="C55" s="321"/>
      <c r="D55" s="293"/>
      <c r="E55" s="293"/>
      <c r="F55" s="8"/>
      <c r="G55" s="286"/>
      <c r="H55" s="286"/>
    </row>
    <row r="56" spans="2:8" x14ac:dyDescent="0.2">
      <c r="B56" s="286"/>
      <c r="C56" s="321"/>
      <c r="D56" s="293"/>
      <c r="E56" s="293"/>
      <c r="F56" s="8"/>
      <c r="G56" s="286"/>
      <c r="H56" s="286"/>
    </row>
    <row r="57" spans="2:8" x14ac:dyDescent="0.2">
      <c r="B57" s="286"/>
      <c r="C57" s="321"/>
      <c r="D57" s="293"/>
      <c r="E57" s="293"/>
      <c r="F57" s="8"/>
      <c r="G57" s="286"/>
      <c r="H57" s="286"/>
    </row>
    <row r="58" spans="2:8" x14ac:dyDescent="0.2">
      <c r="B58" s="286"/>
      <c r="C58" s="321"/>
      <c r="D58" s="293"/>
      <c r="E58" s="293"/>
      <c r="F58" s="8"/>
      <c r="G58" s="286"/>
      <c r="H58" s="286"/>
    </row>
    <row r="59" spans="2:8" x14ac:dyDescent="0.2">
      <c r="B59" s="286"/>
      <c r="C59" s="321"/>
      <c r="D59" s="293"/>
      <c r="E59" s="293"/>
      <c r="F59" s="8"/>
      <c r="G59" s="286"/>
      <c r="H59" s="286"/>
    </row>
    <row r="60" spans="2:8" x14ac:dyDescent="0.2">
      <c r="B60" s="286"/>
      <c r="C60" s="321"/>
      <c r="D60" s="293"/>
      <c r="E60" s="293"/>
      <c r="F60" s="8"/>
      <c r="G60" s="286"/>
      <c r="H60" s="286"/>
    </row>
    <row r="61" spans="2:8" x14ac:dyDescent="0.2">
      <c r="B61" s="286"/>
      <c r="C61" s="321"/>
      <c r="D61" s="293"/>
      <c r="E61" s="293"/>
      <c r="F61" s="8"/>
      <c r="G61" s="286"/>
      <c r="H61" s="286"/>
    </row>
    <row r="62" spans="2:8" x14ac:dyDescent="0.2">
      <c r="B62" s="286"/>
      <c r="C62" s="321"/>
      <c r="D62" s="293"/>
      <c r="E62" s="293"/>
      <c r="F62" s="8"/>
      <c r="G62" s="286"/>
      <c r="H62" s="286"/>
    </row>
    <row r="63" spans="2:8" x14ac:dyDescent="0.2">
      <c r="B63" s="286"/>
      <c r="C63" s="321"/>
      <c r="D63" s="293"/>
      <c r="E63" s="293"/>
      <c r="F63" s="8"/>
      <c r="G63" s="286"/>
      <c r="H63" s="286"/>
    </row>
    <row r="64" spans="2:8" x14ac:dyDescent="0.2">
      <c r="B64" s="286"/>
      <c r="C64" s="321"/>
      <c r="D64" s="293"/>
      <c r="E64" s="293"/>
      <c r="F64" s="8"/>
      <c r="G64" s="286"/>
      <c r="H64" s="286"/>
    </row>
    <row r="65" spans="4:6" x14ac:dyDescent="0.2">
      <c r="D65" s="293"/>
      <c r="E65" s="293"/>
      <c r="F65" s="8"/>
    </row>
    <row r="66" spans="4:6" x14ac:dyDescent="0.2">
      <c r="D66" s="293"/>
      <c r="E66" s="293"/>
      <c r="F66" s="8"/>
    </row>
    <row r="67" spans="4:6" x14ac:dyDescent="0.2">
      <c r="D67" s="293"/>
      <c r="E67" s="293"/>
      <c r="F67" s="8"/>
    </row>
    <row r="68" spans="4:6" x14ac:dyDescent="0.2">
      <c r="D68" s="293"/>
      <c r="E68" s="293"/>
      <c r="F68" s="8"/>
    </row>
    <row r="69" spans="4:6" x14ac:dyDescent="0.2">
      <c r="D69" s="293"/>
      <c r="E69" s="293"/>
      <c r="F69" s="8"/>
    </row>
    <row r="70" spans="4:6" x14ac:dyDescent="0.2">
      <c r="D70" s="293"/>
      <c r="E70" s="293"/>
      <c r="F70" s="8"/>
    </row>
    <row r="71" spans="4:6" x14ac:dyDescent="0.2">
      <c r="D71" s="293"/>
      <c r="E71" s="293"/>
      <c r="F71" s="8"/>
    </row>
    <row r="72" spans="4:6" x14ac:dyDescent="0.2">
      <c r="D72" s="293"/>
      <c r="E72" s="293"/>
      <c r="F72" s="8"/>
    </row>
    <row r="73" spans="4:6" x14ac:dyDescent="0.2">
      <c r="D73" s="293"/>
      <c r="E73" s="293"/>
      <c r="F73" s="8"/>
    </row>
    <row r="74" spans="4:6" x14ac:dyDescent="0.2">
      <c r="D74" s="293"/>
      <c r="E74" s="293"/>
      <c r="F74" s="8"/>
    </row>
    <row r="75" spans="4:6" x14ac:dyDescent="0.2">
      <c r="D75" s="293"/>
      <c r="E75" s="293"/>
      <c r="F75" s="8"/>
    </row>
    <row r="76" spans="4:6" x14ac:dyDescent="0.2">
      <c r="D76" s="293"/>
      <c r="E76" s="293"/>
      <c r="F76" s="8"/>
    </row>
    <row r="77" spans="4:6" x14ac:dyDescent="0.2">
      <c r="D77" s="293"/>
      <c r="E77" s="293"/>
      <c r="F77" s="8"/>
    </row>
    <row r="78" spans="4:6" x14ac:dyDescent="0.2">
      <c r="D78" s="293"/>
      <c r="E78" s="293"/>
      <c r="F78" s="8"/>
    </row>
    <row r="79" spans="4:6" x14ac:dyDescent="0.2">
      <c r="D79" s="293"/>
      <c r="E79" s="293"/>
      <c r="F79" s="8"/>
    </row>
    <row r="80" spans="4:6" x14ac:dyDescent="0.2">
      <c r="D80" s="293"/>
      <c r="E80" s="293"/>
      <c r="F80" s="8"/>
    </row>
    <row r="81" spans="4:6" x14ac:dyDescent="0.2">
      <c r="D81" s="293"/>
      <c r="E81" s="293"/>
      <c r="F81" s="8"/>
    </row>
    <row r="82" spans="4:6" x14ac:dyDescent="0.2">
      <c r="D82" s="293"/>
      <c r="E82" s="293"/>
      <c r="F82" s="8"/>
    </row>
    <row r="83" spans="4:6" x14ac:dyDescent="0.2">
      <c r="D83" s="293"/>
      <c r="E83" s="293"/>
      <c r="F83" s="8"/>
    </row>
    <row r="84" spans="4:6" x14ac:dyDescent="0.2">
      <c r="D84" s="293"/>
      <c r="E84" s="293"/>
      <c r="F84" s="8"/>
    </row>
    <row r="85" spans="4:6" x14ac:dyDescent="0.2">
      <c r="D85" s="293"/>
      <c r="E85" s="293"/>
      <c r="F85" s="8"/>
    </row>
    <row r="86" spans="4:6" x14ac:dyDescent="0.2">
      <c r="D86" s="293"/>
      <c r="E86" s="293"/>
      <c r="F86" s="8"/>
    </row>
    <row r="87" spans="4:6" x14ac:dyDescent="0.2">
      <c r="D87" s="293"/>
      <c r="E87" s="293"/>
      <c r="F87" s="8"/>
    </row>
    <row r="88" spans="4:6" x14ac:dyDescent="0.2">
      <c r="D88" s="293"/>
      <c r="E88" s="293"/>
      <c r="F88" s="8"/>
    </row>
    <row r="89" spans="4:6" x14ac:dyDescent="0.2">
      <c r="D89" s="293"/>
      <c r="E89" s="293"/>
      <c r="F89" s="8"/>
    </row>
    <row r="90" spans="4:6" x14ac:dyDescent="0.2">
      <c r="D90" s="293"/>
      <c r="E90" s="293"/>
      <c r="F90" s="8"/>
    </row>
    <row r="91" spans="4:6" x14ac:dyDescent="0.2">
      <c r="D91" s="293"/>
      <c r="E91" s="293"/>
      <c r="F91" s="8"/>
    </row>
    <row r="92" spans="4:6" x14ac:dyDescent="0.2">
      <c r="D92" s="293"/>
      <c r="E92" s="293"/>
      <c r="F92" s="8"/>
    </row>
    <row r="93" spans="4:6" x14ac:dyDescent="0.2">
      <c r="D93" s="293"/>
      <c r="E93" s="293"/>
      <c r="F93" s="8"/>
    </row>
    <row r="94" spans="4:6" x14ac:dyDescent="0.2">
      <c r="D94" s="293"/>
      <c r="E94" s="293"/>
      <c r="F94" s="8"/>
    </row>
    <row r="95" spans="4:6" x14ac:dyDescent="0.2">
      <c r="D95" s="293"/>
      <c r="E95" s="293"/>
      <c r="F95" s="8"/>
    </row>
    <row r="96" spans="4:6" x14ac:dyDescent="0.2">
      <c r="D96" s="293"/>
      <c r="E96" s="293"/>
      <c r="F96" s="8"/>
    </row>
    <row r="97" spans="4:6" x14ac:dyDescent="0.2">
      <c r="D97" s="293"/>
      <c r="E97" s="293"/>
      <c r="F97" s="8"/>
    </row>
    <row r="98" spans="4:6" x14ac:dyDescent="0.2">
      <c r="D98" s="293"/>
      <c r="E98" s="293"/>
      <c r="F98" s="8"/>
    </row>
    <row r="99" spans="4:6" x14ac:dyDescent="0.2">
      <c r="D99" s="293"/>
      <c r="E99" s="293"/>
      <c r="F99" s="8"/>
    </row>
    <row r="100" spans="4:6" x14ac:dyDescent="0.2">
      <c r="D100" s="293"/>
      <c r="E100" s="293"/>
      <c r="F100" s="8"/>
    </row>
    <row r="101" spans="4:6" x14ac:dyDescent="0.2">
      <c r="D101" s="293"/>
      <c r="E101" s="293"/>
      <c r="F101" s="8"/>
    </row>
    <row r="102" spans="4:6" x14ac:dyDescent="0.2">
      <c r="D102" s="293"/>
      <c r="E102" s="293"/>
      <c r="F102" s="8"/>
    </row>
    <row r="103" spans="4:6" x14ac:dyDescent="0.2">
      <c r="D103" s="293"/>
      <c r="E103" s="293"/>
      <c r="F103" s="8"/>
    </row>
    <row r="104" spans="4:6" x14ac:dyDescent="0.2">
      <c r="D104" s="293"/>
      <c r="E104" s="293"/>
      <c r="F104" s="8"/>
    </row>
    <row r="105" spans="4:6" x14ac:dyDescent="0.2">
      <c r="D105" s="293"/>
      <c r="E105" s="293"/>
      <c r="F105" s="8"/>
    </row>
    <row r="106" spans="4:6" x14ac:dyDescent="0.2">
      <c r="D106" s="293"/>
      <c r="E106" s="293"/>
      <c r="F106" s="8"/>
    </row>
    <row r="107" spans="4:6" x14ac:dyDescent="0.2">
      <c r="D107" s="293"/>
      <c r="E107" s="293"/>
      <c r="F107" s="8"/>
    </row>
    <row r="108" spans="4:6" x14ac:dyDescent="0.2">
      <c r="D108" s="293"/>
      <c r="E108" s="293"/>
      <c r="F108" s="8"/>
    </row>
    <row r="109" spans="4:6" x14ac:dyDescent="0.2">
      <c r="D109" s="293"/>
      <c r="E109" s="293"/>
      <c r="F109" s="8"/>
    </row>
    <row r="110" spans="4:6" x14ac:dyDescent="0.2">
      <c r="D110" s="293"/>
      <c r="E110" s="293"/>
      <c r="F110" s="8"/>
    </row>
    <row r="111" spans="4:6" x14ac:dyDescent="0.2">
      <c r="D111" s="293"/>
      <c r="E111" s="293"/>
      <c r="F111" s="8"/>
    </row>
    <row r="112" spans="4:6" x14ac:dyDescent="0.2">
      <c r="D112" s="293"/>
      <c r="E112" s="293"/>
      <c r="F112" s="8"/>
    </row>
    <row r="113" spans="4:6" x14ac:dyDescent="0.2">
      <c r="D113" s="293"/>
      <c r="E113" s="293"/>
      <c r="F113" s="8"/>
    </row>
    <row r="114" spans="4:6" x14ac:dyDescent="0.2">
      <c r="D114" s="293"/>
      <c r="E114" s="293"/>
      <c r="F114" s="8"/>
    </row>
    <row r="115" spans="4:6" x14ac:dyDescent="0.2">
      <c r="D115" s="293"/>
      <c r="E115" s="293"/>
      <c r="F115" s="8"/>
    </row>
    <row r="116" spans="4:6" x14ac:dyDescent="0.2">
      <c r="D116" s="293"/>
      <c r="E116" s="293"/>
      <c r="F116" s="8"/>
    </row>
    <row r="117" spans="4:6" x14ac:dyDescent="0.2">
      <c r="D117" s="293"/>
      <c r="E117" s="293"/>
      <c r="F117" s="8"/>
    </row>
    <row r="118" spans="4:6" x14ac:dyDescent="0.2">
      <c r="D118" s="293"/>
      <c r="E118" s="293"/>
      <c r="F118" s="8"/>
    </row>
    <row r="119" spans="4:6" x14ac:dyDescent="0.2">
      <c r="D119" s="293"/>
      <c r="E119" s="293"/>
      <c r="F119" s="8"/>
    </row>
    <row r="120" spans="4:6" x14ac:dyDescent="0.2">
      <c r="D120" s="293"/>
      <c r="E120" s="293"/>
      <c r="F120" s="8"/>
    </row>
    <row r="121" spans="4:6" x14ac:dyDescent="0.2">
      <c r="D121" s="293"/>
      <c r="E121" s="293"/>
      <c r="F121" s="8"/>
    </row>
    <row r="122" spans="4:6" x14ac:dyDescent="0.2">
      <c r="D122" s="293"/>
      <c r="E122" s="293"/>
      <c r="F122" s="8"/>
    </row>
    <row r="123" spans="4:6" x14ac:dyDescent="0.2">
      <c r="D123" s="293"/>
      <c r="E123" s="293"/>
      <c r="F123" s="8"/>
    </row>
    <row r="124" spans="4:6" x14ac:dyDescent="0.2">
      <c r="D124" s="293"/>
      <c r="E124" s="293"/>
      <c r="F124" s="8"/>
    </row>
    <row r="125" spans="4:6" x14ac:dyDescent="0.2">
      <c r="D125" s="293"/>
      <c r="E125" s="293"/>
      <c r="F125" s="8"/>
    </row>
    <row r="126" spans="4:6" x14ac:dyDescent="0.2">
      <c r="D126" s="293"/>
      <c r="E126" s="293"/>
      <c r="F126" s="8"/>
    </row>
    <row r="127" spans="4:6" x14ac:dyDescent="0.2">
      <c r="D127" s="293"/>
      <c r="E127" s="293"/>
      <c r="F127" s="8"/>
    </row>
    <row r="128" spans="4:6" x14ac:dyDescent="0.2">
      <c r="D128" s="293"/>
      <c r="E128" s="293"/>
      <c r="F128" s="8"/>
    </row>
    <row r="129" spans="4:6" x14ac:dyDescent="0.2">
      <c r="D129" s="293"/>
      <c r="E129" s="293"/>
      <c r="F129" s="8"/>
    </row>
    <row r="130" spans="4:6" x14ac:dyDescent="0.2">
      <c r="D130" s="293"/>
      <c r="E130" s="293"/>
      <c r="F130" s="8"/>
    </row>
    <row r="131" spans="4:6" x14ac:dyDescent="0.2">
      <c r="D131" s="293"/>
      <c r="E131" s="293"/>
      <c r="F131" s="8"/>
    </row>
    <row r="132" spans="4:6" x14ac:dyDescent="0.2">
      <c r="D132" s="293"/>
      <c r="E132" s="293"/>
      <c r="F132" s="8"/>
    </row>
    <row r="133" spans="4:6" x14ac:dyDescent="0.2">
      <c r="D133" s="293"/>
      <c r="E133" s="293"/>
      <c r="F133" s="8"/>
    </row>
    <row r="134" spans="4:6" x14ac:dyDescent="0.2">
      <c r="D134" s="293"/>
      <c r="E134" s="293"/>
      <c r="F134" s="8"/>
    </row>
    <row r="135" spans="4:6" x14ac:dyDescent="0.2">
      <c r="D135" s="293"/>
      <c r="E135" s="293"/>
      <c r="F135" s="8"/>
    </row>
    <row r="136" spans="4:6" x14ac:dyDescent="0.2">
      <c r="D136" s="293"/>
      <c r="E136" s="293"/>
      <c r="F136" s="8"/>
    </row>
    <row r="137" spans="4:6" x14ac:dyDescent="0.2">
      <c r="D137" s="293"/>
      <c r="E137" s="293"/>
      <c r="F137" s="8"/>
    </row>
    <row r="138" spans="4:6" x14ac:dyDescent="0.2">
      <c r="D138" s="293"/>
      <c r="E138" s="293"/>
      <c r="F138" s="8"/>
    </row>
    <row r="139" spans="4:6" x14ac:dyDescent="0.2">
      <c r="D139" s="293"/>
      <c r="E139" s="293"/>
      <c r="F139" s="8"/>
    </row>
    <row r="140" spans="4:6" x14ac:dyDescent="0.2">
      <c r="D140" s="293"/>
      <c r="E140" s="293"/>
      <c r="F140" s="8"/>
    </row>
    <row r="141" spans="4:6" x14ac:dyDescent="0.2">
      <c r="D141" s="293"/>
      <c r="E141" s="293"/>
      <c r="F141" s="8"/>
    </row>
    <row r="142" spans="4:6" x14ac:dyDescent="0.2">
      <c r="D142" s="293"/>
      <c r="E142" s="293"/>
      <c r="F142" s="8"/>
    </row>
    <row r="143" spans="4:6" x14ac:dyDescent="0.2">
      <c r="D143" s="293"/>
      <c r="E143" s="293"/>
      <c r="F143" s="8"/>
    </row>
    <row r="144" spans="4:6" x14ac:dyDescent="0.2">
      <c r="D144" s="293"/>
      <c r="E144" s="293"/>
      <c r="F144" s="8"/>
    </row>
    <row r="145" spans="4:6" x14ac:dyDescent="0.2">
      <c r="D145" s="293"/>
      <c r="E145" s="293"/>
      <c r="F145" s="8"/>
    </row>
    <row r="146" spans="4:6" x14ac:dyDescent="0.2">
      <c r="D146" s="293"/>
      <c r="E146" s="293"/>
      <c r="F146" s="8"/>
    </row>
    <row r="147" spans="4:6" x14ac:dyDescent="0.2">
      <c r="D147" s="293"/>
      <c r="E147" s="293"/>
      <c r="F147" s="8"/>
    </row>
    <row r="148" spans="4:6" x14ac:dyDescent="0.2">
      <c r="D148" s="293"/>
      <c r="E148" s="293"/>
      <c r="F148" s="8"/>
    </row>
    <row r="149" spans="4:6" x14ac:dyDescent="0.2">
      <c r="D149" s="293"/>
      <c r="E149" s="293"/>
      <c r="F149" s="8"/>
    </row>
    <row r="150" spans="4:6" x14ac:dyDescent="0.2">
      <c r="D150" s="293"/>
      <c r="E150" s="293"/>
      <c r="F150" s="8"/>
    </row>
    <row r="151" spans="4:6" x14ac:dyDescent="0.2">
      <c r="D151" s="293"/>
      <c r="E151" s="293"/>
      <c r="F151" s="8"/>
    </row>
    <row r="152" spans="4:6" x14ac:dyDescent="0.2">
      <c r="D152" s="293"/>
      <c r="E152" s="293"/>
      <c r="F152" s="8"/>
    </row>
    <row r="153" spans="4:6" x14ac:dyDescent="0.2">
      <c r="D153" s="440"/>
      <c r="E153" s="440"/>
      <c r="F153" s="8"/>
    </row>
    <row r="154" spans="4:6" x14ac:dyDescent="0.2">
      <c r="D154" s="440"/>
      <c r="E154" s="440"/>
      <c r="F154" s="8"/>
    </row>
    <row r="155" spans="4:6" x14ac:dyDescent="0.2">
      <c r="D155" s="440"/>
      <c r="E155" s="440"/>
      <c r="F155" s="8"/>
    </row>
    <row r="156" spans="4:6" x14ac:dyDescent="0.2">
      <c r="D156" s="440"/>
      <c r="E156" s="440"/>
      <c r="F156" s="8"/>
    </row>
    <row r="157" spans="4:6" x14ac:dyDescent="0.2">
      <c r="D157" s="440"/>
      <c r="E157" s="440"/>
      <c r="F157" s="8"/>
    </row>
    <row r="158" spans="4:6" x14ac:dyDescent="0.2">
      <c r="D158" s="440"/>
      <c r="E158" s="440"/>
      <c r="F158" s="8"/>
    </row>
  </sheetData>
  <sheetProtection formatCells="0"/>
  <phoneticPr fontId="2" type="noConversion"/>
  <hyperlinks>
    <hyperlink ref="A2" location="Index!A1" display="Back to Index" xr:uid="{6F36A317-27B2-411E-8CC0-E50824BA43D4}"/>
  </hyperlinks>
  <pageMargins left="0.74803149606299213" right="0.74803149606299213" top="0.98425196850393704" bottom="0.98425196850393704" header="0.51181102362204722" footer="0.51181102362204722"/>
  <pageSetup scale="8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6ED6-77E9-4C24-8DFB-4AE3ACC340FA}">
  <sheetPr>
    <tabColor rgb="FFFFCC99"/>
    <pageSetUpPr fitToPage="1"/>
  </sheetPr>
  <dimension ref="A1:L46"/>
  <sheetViews>
    <sheetView showGridLines="0" zoomScale="85" zoomScaleNormal="85" workbookViewId="0"/>
  </sheetViews>
  <sheetFormatPr defaultColWidth="9.42578125" defaultRowHeight="14.25" x14ac:dyDescent="0.2"/>
  <cols>
    <col min="1" max="1" width="2.42578125" style="397" customWidth="1"/>
    <col min="2" max="2" width="2.5703125" style="397" customWidth="1"/>
    <col min="3" max="3" width="38.42578125" style="403" customWidth="1"/>
    <col min="4" max="6" width="11.42578125" style="439" customWidth="1"/>
    <col min="7" max="8" width="11.42578125" style="456" customWidth="1"/>
    <col min="9" max="16384" width="9.42578125" style="397"/>
  </cols>
  <sheetData>
    <row r="1" spans="1:12" s="4" customFormat="1" ht="20.25" x14ac:dyDescent="0.3">
      <c r="A1" s="3" t="s">
        <v>11</v>
      </c>
      <c r="D1" s="331"/>
      <c r="E1" s="331"/>
      <c r="F1" s="331"/>
      <c r="G1" s="448"/>
      <c r="H1" s="448"/>
    </row>
    <row r="2" spans="1:12" s="6" customFormat="1" ht="60" x14ac:dyDescent="0.25">
      <c r="A2" s="729" t="s">
        <v>34</v>
      </c>
      <c r="B2" s="729"/>
      <c r="C2" s="729"/>
      <c r="D2" s="449">
        <v>46174</v>
      </c>
      <c r="E2" s="449">
        <v>45992</v>
      </c>
      <c r="F2" s="449">
        <v>45809</v>
      </c>
      <c r="G2" s="426" t="s">
        <v>471</v>
      </c>
      <c r="H2" s="426" t="s">
        <v>472</v>
      </c>
    </row>
    <row r="3" spans="1:12" s="341" customFormat="1" ht="6.6" customHeight="1" x14ac:dyDescent="0.25">
      <c r="A3" s="1"/>
      <c r="D3" s="333"/>
      <c r="E3" s="450"/>
      <c r="F3" s="450"/>
      <c r="G3" s="194"/>
      <c r="H3" s="194"/>
    </row>
    <row r="4" spans="1:12" s="341" customFormat="1" ht="14.25" customHeight="1" x14ac:dyDescent="0.25">
      <c r="A4" s="316" t="s">
        <v>191</v>
      </c>
      <c r="D4" s="333"/>
      <c r="E4" s="295"/>
      <c r="F4" s="295"/>
      <c r="G4" s="194"/>
      <c r="H4" s="194"/>
      <c r="J4" s="286"/>
      <c r="K4" s="286"/>
      <c r="L4" s="286"/>
    </row>
    <row r="5" spans="1:12" s="294" customFormat="1" ht="15" x14ac:dyDescent="0.25">
      <c r="A5" s="341" t="s">
        <v>192</v>
      </c>
      <c r="D5" s="101">
        <v>638203</v>
      </c>
      <c r="E5" s="295">
        <v>610023</v>
      </c>
      <c r="F5" s="295">
        <v>573965</v>
      </c>
      <c r="G5" s="296">
        <v>11.191971635901155</v>
      </c>
      <c r="H5" s="296">
        <v>4.6194979533558556</v>
      </c>
      <c r="I5" s="286"/>
      <c r="J5" s="286"/>
      <c r="K5" s="286"/>
      <c r="L5" s="286"/>
    </row>
    <row r="6" spans="1:12" s="294" customFormat="1" ht="15" x14ac:dyDescent="0.25">
      <c r="B6" s="341" t="s">
        <v>168</v>
      </c>
      <c r="D6" s="101">
        <v>243856</v>
      </c>
      <c r="E6" s="295">
        <v>230646</v>
      </c>
      <c r="F6" s="295">
        <v>215550</v>
      </c>
      <c r="G6" s="296">
        <v>13.131987937833456</v>
      </c>
      <c r="H6" s="296">
        <v>5.7273917605334512</v>
      </c>
      <c r="I6" s="286"/>
      <c r="J6" s="451"/>
      <c r="K6" s="286"/>
      <c r="L6" s="286"/>
    </row>
    <row r="7" spans="1:12" x14ac:dyDescent="0.2">
      <c r="A7" s="286"/>
      <c r="B7" s="287"/>
      <c r="C7" s="286" t="s">
        <v>193</v>
      </c>
      <c r="D7" s="122">
        <v>32608</v>
      </c>
      <c r="E7" s="8">
        <v>32837</v>
      </c>
      <c r="F7" s="8">
        <v>35316</v>
      </c>
      <c r="G7" s="296">
        <v>-7.6679125608789196</v>
      </c>
      <c r="H7" s="296">
        <v>-0.69738404848189717</v>
      </c>
      <c r="I7" s="286"/>
      <c r="J7" s="451"/>
      <c r="K7" s="286"/>
      <c r="L7" s="286"/>
    </row>
    <row r="8" spans="1:12" x14ac:dyDescent="0.2">
      <c r="A8" s="286"/>
      <c r="B8" s="287"/>
      <c r="C8" s="286" t="s">
        <v>194</v>
      </c>
      <c r="D8" s="122">
        <v>164209</v>
      </c>
      <c r="E8" s="8">
        <v>153918</v>
      </c>
      <c r="F8" s="8">
        <v>140565</v>
      </c>
      <c r="G8" s="296">
        <v>16.820687937964649</v>
      </c>
      <c r="H8" s="296">
        <v>6.6860276250990891</v>
      </c>
      <c r="I8" s="286"/>
      <c r="J8" s="451"/>
      <c r="K8" s="286"/>
      <c r="L8" s="286"/>
    </row>
    <row r="9" spans="1:12" x14ac:dyDescent="0.2">
      <c r="A9" s="286"/>
      <c r="B9" s="287"/>
      <c r="C9" s="286" t="s">
        <v>195</v>
      </c>
      <c r="D9" s="122">
        <v>46708</v>
      </c>
      <c r="E9" s="8">
        <v>43573</v>
      </c>
      <c r="F9" s="8">
        <v>39556</v>
      </c>
      <c r="G9" s="296">
        <v>18.08069572251998</v>
      </c>
      <c r="H9" s="296">
        <v>7.1948224818121354</v>
      </c>
      <c r="I9" s="286"/>
      <c r="J9" s="451"/>
      <c r="K9" s="286"/>
      <c r="L9" s="286"/>
    </row>
    <row r="10" spans="1:12" x14ac:dyDescent="0.2">
      <c r="A10" s="286"/>
      <c r="B10" s="286"/>
      <c r="C10" s="303" t="s">
        <v>23</v>
      </c>
      <c r="D10" s="122">
        <v>331</v>
      </c>
      <c r="E10" s="8">
        <v>318</v>
      </c>
      <c r="F10" s="8">
        <v>113</v>
      </c>
      <c r="G10" s="296" t="s">
        <v>494</v>
      </c>
      <c r="H10" s="296">
        <v>4.088050314465419</v>
      </c>
      <c r="I10" s="286"/>
      <c r="J10" s="451"/>
      <c r="K10" s="286"/>
      <c r="L10" s="286"/>
    </row>
    <row r="11" spans="1:12" s="341" customFormat="1" ht="14.25" customHeight="1" x14ac:dyDescent="0.25">
      <c r="B11" s="341" t="s">
        <v>169</v>
      </c>
      <c r="D11" s="101">
        <v>243695</v>
      </c>
      <c r="E11" s="295">
        <v>241063</v>
      </c>
      <c r="F11" s="295">
        <v>220143</v>
      </c>
      <c r="G11" s="296">
        <v>10.698500520116472</v>
      </c>
      <c r="H11" s="296">
        <v>1.0918307662312277</v>
      </c>
      <c r="I11" s="286"/>
      <c r="J11" s="451"/>
      <c r="K11" s="286"/>
      <c r="L11" s="286"/>
    </row>
    <row r="12" spans="1:12" x14ac:dyDescent="0.2">
      <c r="A12" s="286"/>
      <c r="B12" s="287"/>
      <c r="C12" s="286" t="s">
        <v>193</v>
      </c>
      <c r="D12" s="122">
        <v>159240</v>
      </c>
      <c r="E12" s="8">
        <v>157800</v>
      </c>
      <c r="F12" s="8">
        <v>148331</v>
      </c>
      <c r="G12" s="296">
        <v>7.3544977111999588</v>
      </c>
      <c r="H12" s="296">
        <v>0.91254752851710474</v>
      </c>
      <c r="I12" s="286"/>
      <c r="J12" s="451"/>
      <c r="K12" s="286"/>
      <c r="L12" s="286"/>
    </row>
    <row r="13" spans="1:12" x14ac:dyDescent="0.2">
      <c r="A13" s="286"/>
      <c r="B13" s="287"/>
      <c r="C13" s="286" t="s">
        <v>194</v>
      </c>
      <c r="D13" s="122">
        <v>29034</v>
      </c>
      <c r="E13" s="8">
        <v>27713</v>
      </c>
      <c r="F13" s="8">
        <v>24791</v>
      </c>
      <c r="G13" s="296">
        <v>17.115082086240974</v>
      </c>
      <c r="H13" s="296">
        <v>4.766715981669245</v>
      </c>
      <c r="I13" s="286"/>
      <c r="J13" s="451"/>
      <c r="K13" s="286"/>
      <c r="L13" s="286"/>
    </row>
    <row r="14" spans="1:12" x14ac:dyDescent="0.2">
      <c r="A14" s="286"/>
      <c r="B14" s="287"/>
      <c r="C14" s="286" t="s">
        <v>195</v>
      </c>
      <c r="D14" s="122">
        <v>52939</v>
      </c>
      <c r="E14" s="8">
        <v>53731</v>
      </c>
      <c r="F14" s="8">
        <v>45294</v>
      </c>
      <c r="G14" s="296">
        <v>16.87861526913057</v>
      </c>
      <c r="H14" s="296">
        <v>-1.4740094172823848</v>
      </c>
      <c r="I14" s="286"/>
      <c r="J14" s="451"/>
      <c r="K14" s="286"/>
      <c r="L14" s="286"/>
    </row>
    <row r="15" spans="1:12" x14ac:dyDescent="0.2">
      <c r="A15" s="286"/>
      <c r="B15" s="286"/>
      <c r="C15" s="303" t="s">
        <v>23</v>
      </c>
      <c r="D15" s="122">
        <v>2482</v>
      </c>
      <c r="E15" s="8">
        <v>1819</v>
      </c>
      <c r="F15" s="8">
        <v>1727</v>
      </c>
      <c r="G15" s="296">
        <v>43.717429067747538</v>
      </c>
      <c r="H15" s="296">
        <v>36.448598130841113</v>
      </c>
      <c r="I15" s="286"/>
      <c r="J15" s="451"/>
      <c r="K15" s="286"/>
      <c r="L15" s="286"/>
    </row>
    <row r="16" spans="1:12" s="294" customFormat="1" ht="15" x14ac:dyDescent="0.25">
      <c r="B16" s="294" t="s">
        <v>170</v>
      </c>
      <c r="D16" s="101">
        <v>33527</v>
      </c>
      <c r="E16" s="295">
        <v>32181</v>
      </c>
      <c r="F16" s="295">
        <v>34850</v>
      </c>
      <c r="G16" s="296">
        <v>-3.7962697274031565</v>
      </c>
      <c r="H16" s="296">
        <v>4.1825922127963766</v>
      </c>
      <c r="I16" s="286"/>
      <c r="J16" s="451"/>
      <c r="K16" s="286"/>
      <c r="L16" s="286"/>
    </row>
    <row r="17" spans="2:12" x14ac:dyDescent="0.2">
      <c r="B17" s="287"/>
      <c r="C17" s="286" t="s">
        <v>193</v>
      </c>
      <c r="D17" s="122">
        <v>15877</v>
      </c>
      <c r="E17" s="8">
        <v>14601</v>
      </c>
      <c r="F17" s="8">
        <v>15885</v>
      </c>
      <c r="G17" s="296">
        <v>-5.0361976707580247E-2</v>
      </c>
      <c r="H17" s="296">
        <v>8.7391274570234998</v>
      </c>
      <c r="I17" s="286"/>
      <c r="J17" s="451"/>
      <c r="K17" s="286"/>
      <c r="L17" s="286"/>
    </row>
    <row r="18" spans="2:12" x14ac:dyDescent="0.2">
      <c r="B18" s="287"/>
      <c r="C18" s="286" t="s">
        <v>194</v>
      </c>
      <c r="D18" s="122">
        <v>9637</v>
      </c>
      <c r="E18" s="8">
        <v>9646</v>
      </c>
      <c r="F18" s="8">
        <v>9941</v>
      </c>
      <c r="G18" s="296">
        <v>-3.0580424504576986</v>
      </c>
      <c r="H18" s="296">
        <v>-9.330292349160052E-2</v>
      </c>
      <c r="I18" s="286"/>
      <c r="J18" s="451"/>
      <c r="K18" s="286"/>
      <c r="L18" s="286"/>
    </row>
    <row r="19" spans="2:12" x14ac:dyDescent="0.2">
      <c r="B19" s="287"/>
      <c r="C19" s="286" t="s">
        <v>195</v>
      </c>
      <c r="D19" s="122">
        <v>7777</v>
      </c>
      <c r="E19" s="8">
        <v>7594</v>
      </c>
      <c r="F19" s="8">
        <v>8852</v>
      </c>
      <c r="G19" s="296">
        <v>-12.144148215092631</v>
      </c>
      <c r="H19" s="296">
        <v>2.4097972083223507</v>
      </c>
      <c r="I19" s="286"/>
      <c r="J19" s="451"/>
      <c r="K19" s="286"/>
      <c r="L19" s="286"/>
    </row>
    <row r="20" spans="2:12" x14ac:dyDescent="0.2">
      <c r="B20" s="286"/>
      <c r="C20" s="303" t="s">
        <v>23</v>
      </c>
      <c r="D20" s="122">
        <v>236</v>
      </c>
      <c r="E20" s="8">
        <v>340</v>
      </c>
      <c r="F20" s="8">
        <v>172</v>
      </c>
      <c r="G20" s="296">
        <v>37.209302325581397</v>
      </c>
      <c r="H20" s="296">
        <v>-30.588235294117649</v>
      </c>
      <c r="I20" s="286"/>
      <c r="J20" s="451"/>
      <c r="K20" s="286"/>
      <c r="L20" s="286"/>
    </row>
    <row r="21" spans="2:12" s="294" customFormat="1" ht="15" x14ac:dyDescent="0.25">
      <c r="B21" s="294" t="s">
        <v>171</v>
      </c>
      <c r="D21" s="101">
        <v>27238</v>
      </c>
      <c r="E21" s="295">
        <v>22413</v>
      </c>
      <c r="F21" s="295">
        <v>22790</v>
      </c>
      <c r="G21" s="296">
        <v>19.517332163229483</v>
      </c>
      <c r="H21" s="296">
        <v>21.527684825770766</v>
      </c>
      <c r="I21" s="286"/>
      <c r="J21" s="451"/>
      <c r="K21" s="286"/>
      <c r="L21" s="286"/>
    </row>
    <row r="22" spans="2:12" x14ac:dyDescent="0.2">
      <c r="B22" s="287"/>
      <c r="C22" s="286" t="s">
        <v>193</v>
      </c>
      <c r="D22" s="122">
        <v>20640</v>
      </c>
      <c r="E22" s="8">
        <v>16395</v>
      </c>
      <c r="F22" s="8">
        <v>16635</v>
      </c>
      <c r="G22" s="296">
        <v>24.07574391343552</v>
      </c>
      <c r="H22" s="296">
        <v>25.892040256175662</v>
      </c>
      <c r="I22" s="286"/>
      <c r="J22" s="451"/>
      <c r="K22" s="286"/>
      <c r="L22" s="286"/>
    </row>
    <row r="23" spans="2:12" x14ac:dyDescent="0.2">
      <c r="B23" s="287"/>
      <c r="C23" s="286" t="s">
        <v>194</v>
      </c>
      <c r="D23" s="122">
        <v>6568</v>
      </c>
      <c r="E23" s="8">
        <v>5986</v>
      </c>
      <c r="F23" s="8">
        <v>6123</v>
      </c>
      <c r="G23" s="296">
        <v>7.2676792422015302</v>
      </c>
      <c r="H23" s="296">
        <v>9.7226862679585793</v>
      </c>
      <c r="I23" s="286"/>
      <c r="J23" s="451"/>
      <c r="K23" s="286"/>
      <c r="L23" s="286"/>
    </row>
    <row r="24" spans="2:12" x14ac:dyDescent="0.2">
      <c r="B24" s="287"/>
      <c r="C24" s="286" t="s">
        <v>195</v>
      </c>
      <c r="D24" s="122">
        <v>30</v>
      </c>
      <c r="E24" s="8">
        <v>31</v>
      </c>
      <c r="F24" s="8">
        <v>32</v>
      </c>
      <c r="G24" s="296">
        <v>-6.25</v>
      </c>
      <c r="H24" s="296">
        <v>-3.2258064516129004</v>
      </c>
      <c r="I24" s="286"/>
      <c r="J24" s="451"/>
      <c r="K24" s="286"/>
      <c r="L24" s="286"/>
    </row>
    <row r="25" spans="2:12" x14ac:dyDescent="0.2">
      <c r="B25" s="286"/>
      <c r="C25" s="303" t="s">
        <v>23</v>
      </c>
      <c r="D25" s="122" t="s">
        <v>196</v>
      </c>
      <c r="E25" s="8">
        <v>1</v>
      </c>
      <c r="F25" s="8" t="s">
        <v>196</v>
      </c>
      <c r="G25" s="296" t="s">
        <v>197</v>
      </c>
      <c r="H25" s="296" t="s">
        <v>197</v>
      </c>
      <c r="I25" s="286"/>
      <c r="J25" s="451"/>
      <c r="K25" s="286"/>
      <c r="L25" s="286"/>
    </row>
    <row r="26" spans="2:12" s="294" customFormat="1" ht="15" x14ac:dyDescent="0.25">
      <c r="B26" s="294" t="s">
        <v>198</v>
      </c>
      <c r="D26" s="101">
        <v>30623</v>
      </c>
      <c r="E26" s="295">
        <v>27632</v>
      </c>
      <c r="F26" s="295">
        <v>22548</v>
      </c>
      <c r="G26" s="296">
        <v>35.812488912542136</v>
      </c>
      <c r="H26" s="296">
        <v>10.824406485234505</v>
      </c>
      <c r="I26" s="286"/>
      <c r="J26" s="451"/>
      <c r="K26" s="286"/>
      <c r="L26" s="286"/>
    </row>
    <row r="27" spans="2:12" x14ac:dyDescent="0.2">
      <c r="B27" s="287"/>
      <c r="C27" s="286" t="s">
        <v>193</v>
      </c>
      <c r="D27" s="122">
        <v>14319</v>
      </c>
      <c r="E27" s="8">
        <v>13339</v>
      </c>
      <c r="F27" s="8">
        <v>12244</v>
      </c>
      <c r="G27" s="296">
        <v>16.947076118915394</v>
      </c>
      <c r="H27" s="296">
        <v>7.3468775770297645</v>
      </c>
      <c r="I27" s="286"/>
      <c r="J27" s="452"/>
      <c r="K27" s="286"/>
      <c r="L27" s="286"/>
    </row>
    <row r="28" spans="2:12" x14ac:dyDescent="0.2">
      <c r="B28" s="287"/>
      <c r="C28" s="286" t="s">
        <v>194</v>
      </c>
      <c r="D28" s="122">
        <v>3645</v>
      </c>
      <c r="E28" s="8">
        <v>3719</v>
      </c>
      <c r="F28" s="8">
        <v>2393</v>
      </c>
      <c r="G28" s="296">
        <v>52.319264521521113</v>
      </c>
      <c r="H28" s="296">
        <v>-1.9897821995159992</v>
      </c>
      <c r="I28" s="286"/>
      <c r="J28" s="451"/>
      <c r="K28" s="286"/>
      <c r="L28" s="286"/>
    </row>
    <row r="29" spans="2:12" x14ac:dyDescent="0.2">
      <c r="B29" s="287"/>
      <c r="C29" s="286" t="s">
        <v>195</v>
      </c>
      <c r="D29" s="122">
        <v>8625</v>
      </c>
      <c r="E29" s="8">
        <v>7478</v>
      </c>
      <c r="F29" s="8">
        <v>5649</v>
      </c>
      <c r="G29" s="296">
        <v>52.681890600106215</v>
      </c>
      <c r="H29" s="296">
        <v>15.338325755549608</v>
      </c>
      <c r="I29" s="286"/>
      <c r="J29" s="451"/>
      <c r="K29" s="286"/>
      <c r="L29" s="286"/>
    </row>
    <row r="30" spans="2:12" x14ac:dyDescent="0.2">
      <c r="B30" s="286"/>
      <c r="C30" s="303" t="s">
        <v>23</v>
      </c>
      <c r="D30" s="122">
        <v>4034</v>
      </c>
      <c r="E30" s="8">
        <v>3096</v>
      </c>
      <c r="F30" s="8">
        <v>2262</v>
      </c>
      <c r="G30" s="296">
        <v>78.337754199823166</v>
      </c>
      <c r="H30" s="296">
        <v>30.297157622739014</v>
      </c>
      <c r="I30" s="286"/>
      <c r="J30" s="451"/>
      <c r="K30" s="286"/>
      <c r="L30" s="286"/>
    </row>
    <row r="31" spans="2:12" s="294" customFormat="1" ht="15" x14ac:dyDescent="0.25">
      <c r="B31" s="294" t="s">
        <v>23</v>
      </c>
      <c r="D31" s="101">
        <v>59264</v>
      </c>
      <c r="E31" s="295">
        <v>56088</v>
      </c>
      <c r="F31" s="295">
        <v>58084</v>
      </c>
      <c r="G31" s="296">
        <v>2.0315405275118881</v>
      </c>
      <c r="H31" s="296">
        <v>5.6625303095136248</v>
      </c>
      <c r="I31" s="286"/>
      <c r="J31" s="451"/>
      <c r="K31" s="286"/>
      <c r="L31" s="286"/>
    </row>
    <row r="32" spans="2:12" x14ac:dyDescent="0.2">
      <c r="B32" s="287"/>
      <c r="C32" s="286" t="s">
        <v>193</v>
      </c>
      <c r="D32" s="122">
        <v>41050</v>
      </c>
      <c r="E32" s="8">
        <v>36603</v>
      </c>
      <c r="F32" s="8">
        <v>40125</v>
      </c>
      <c r="G32" s="296">
        <v>2.3052959501557613</v>
      </c>
      <c r="H32" s="296">
        <v>12.149277381635383</v>
      </c>
      <c r="I32" s="286"/>
      <c r="J32" s="451"/>
      <c r="K32" s="286"/>
      <c r="L32" s="286"/>
    </row>
    <row r="33" spans="2:12" x14ac:dyDescent="0.2">
      <c r="B33" s="287"/>
      <c r="C33" s="286" t="s">
        <v>194</v>
      </c>
      <c r="D33" s="122">
        <v>7914</v>
      </c>
      <c r="E33" s="8">
        <v>8006</v>
      </c>
      <c r="F33" s="8">
        <v>7679</v>
      </c>
      <c r="G33" s="296">
        <v>3.0602943091548429</v>
      </c>
      <c r="H33" s="296">
        <v>-1.1491381463902051</v>
      </c>
      <c r="I33" s="286"/>
      <c r="J33" s="451"/>
      <c r="K33" s="286"/>
      <c r="L33" s="286"/>
    </row>
    <row r="34" spans="2:12" x14ac:dyDescent="0.2">
      <c r="B34" s="287"/>
      <c r="C34" s="286" t="s">
        <v>195</v>
      </c>
      <c r="D34" s="122">
        <v>9791</v>
      </c>
      <c r="E34" s="8">
        <v>11091</v>
      </c>
      <c r="F34" s="8">
        <v>9925</v>
      </c>
      <c r="G34" s="296">
        <v>-1.3501259445843794</v>
      </c>
      <c r="H34" s="296">
        <v>-11.721215399873774</v>
      </c>
      <c r="I34" s="286"/>
      <c r="J34" s="451"/>
      <c r="K34" s="286"/>
      <c r="L34" s="286"/>
    </row>
    <row r="35" spans="2:12" x14ac:dyDescent="0.2">
      <c r="B35" s="286"/>
      <c r="C35" s="303" t="s">
        <v>23</v>
      </c>
      <c r="D35" s="122">
        <v>509</v>
      </c>
      <c r="E35" s="8">
        <v>388</v>
      </c>
      <c r="F35" s="8">
        <v>355</v>
      </c>
      <c r="G35" s="296">
        <v>43.380281690140855</v>
      </c>
      <c r="H35" s="296">
        <v>31.185567010309278</v>
      </c>
      <c r="I35" s="286"/>
      <c r="J35" s="451"/>
      <c r="K35" s="286"/>
      <c r="L35" s="286"/>
    </row>
    <row r="36" spans="2:12" s="294" customFormat="1" ht="15" x14ac:dyDescent="0.25">
      <c r="B36" s="294" t="s">
        <v>199</v>
      </c>
      <c r="D36" s="101">
        <v>638203</v>
      </c>
      <c r="E36" s="295">
        <v>610023</v>
      </c>
      <c r="F36" s="295">
        <v>573965</v>
      </c>
      <c r="G36" s="296">
        <v>11.191971635901155</v>
      </c>
      <c r="H36" s="296">
        <v>4.6194979533558556</v>
      </c>
      <c r="I36" s="286"/>
      <c r="J36" s="451"/>
      <c r="K36" s="286"/>
      <c r="L36" s="286"/>
    </row>
    <row r="37" spans="2:12" x14ac:dyDescent="0.2">
      <c r="B37" s="287"/>
      <c r="C37" s="286" t="s">
        <v>193</v>
      </c>
      <c r="D37" s="122">
        <v>283734</v>
      </c>
      <c r="E37" s="8">
        <v>271575</v>
      </c>
      <c r="F37" s="8">
        <v>268536</v>
      </c>
      <c r="G37" s="296">
        <v>5.6595763696487555</v>
      </c>
      <c r="H37" s="296">
        <v>4.4772162386081282</v>
      </c>
      <c r="I37" s="286"/>
      <c r="J37" s="451"/>
      <c r="K37" s="286"/>
      <c r="L37" s="286"/>
    </row>
    <row r="38" spans="2:12" x14ac:dyDescent="0.2">
      <c r="B38" s="287"/>
      <c r="C38" s="286" t="s">
        <v>194</v>
      </c>
      <c r="D38" s="122">
        <v>221007</v>
      </c>
      <c r="E38" s="8">
        <v>208988</v>
      </c>
      <c r="F38" s="8">
        <v>191492</v>
      </c>
      <c r="G38" s="296">
        <v>15.413176529567817</v>
      </c>
      <c r="H38" s="296">
        <v>5.7510479070568721</v>
      </c>
      <c r="I38" s="286"/>
      <c r="J38" s="451"/>
      <c r="K38" s="286"/>
      <c r="L38" s="286"/>
    </row>
    <row r="39" spans="2:12" x14ac:dyDescent="0.2">
      <c r="B39" s="287"/>
      <c r="C39" s="286" t="s">
        <v>195</v>
      </c>
      <c r="D39" s="122">
        <v>125870</v>
      </c>
      <c r="E39" s="8">
        <v>123498</v>
      </c>
      <c r="F39" s="8">
        <v>109308</v>
      </c>
      <c r="G39" s="296">
        <v>15.151681487173851</v>
      </c>
      <c r="H39" s="296">
        <v>1.9206788773907357</v>
      </c>
      <c r="I39" s="286"/>
      <c r="J39" s="451"/>
      <c r="K39" s="286"/>
      <c r="L39" s="286"/>
    </row>
    <row r="40" spans="2:12" x14ac:dyDescent="0.2">
      <c r="B40" s="286"/>
      <c r="C40" s="303" t="s">
        <v>23</v>
      </c>
      <c r="D40" s="122">
        <v>7592</v>
      </c>
      <c r="E40" s="8">
        <v>5962</v>
      </c>
      <c r="F40" s="8">
        <v>4629</v>
      </c>
      <c r="G40" s="296">
        <v>64.009505292719808</v>
      </c>
      <c r="H40" s="296">
        <v>27.339818852733977</v>
      </c>
      <c r="I40" s="286"/>
      <c r="J40" s="451"/>
      <c r="K40" s="286"/>
      <c r="L40" s="286"/>
    </row>
    <row r="41" spans="2:12" x14ac:dyDescent="0.2">
      <c r="B41" s="286"/>
      <c r="C41" s="286"/>
      <c r="D41" s="293"/>
      <c r="E41" s="8"/>
      <c r="F41" s="8"/>
      <c r="G41" s="149"/>
      <c r="H41" s="149"/>
      <c r="I41" s="286"/>
      <c r="J41" s="286"/>
      <c r="K41" s="286"/>
      <c r="L41" s="286"/>
    </row>
    <row r="42" spans="2:12" x14ac:dyDescent="0.2">
      <c r="B42" s="286"/>
      <c r="C42" s="321"/>
      <c r="D42" s="293"/>
      <c r="E42" s="453"/>
      <c r="F42" s="453"/>
      <c r="G42" s="130"/>
      <c r="H42" s="130"/>
      <c r="I42" s="286"/>
      <c r="J42" s="286"/>
      <c r="K42" s="286"/>
      <c r="L42" s="286"/>
    </row>
    <row r="43" spans="2:12" s="315" customFormat="1" x14ac:dyDescent="0.2">
      <c r="B43" s="454"/>
      <c r="C43" s="455" t="s">
        <v>200</v>
      </c>
      <c r="D43" s="293"/>
      <c r="E43" s="293"/>
      <c r="F43" s="293"/>
      <c r="G43" s="149"/>
      <c r="H43" s="149"/>
    </row>
    <row r="44" spans="2:12" x14ac:dyDescent="0.2">
      <c r="B44" s="70"/>
      <c r="C44" s="422" t="s">
        <v>201</v>
      </c>
      <c r="D44" s="8"/>
      <c r="E44" s="8"/>
      <c r="F44" s="8"/>
      <c r="G44" s="130"/>
      <c r="H44" s="130"/>
      <c r="I44" s="286"/>
      <c r="J44" s="286"/>
      <c r="K44" s="286"/>
      <c r="L44" s="286"/>
    </row>
    <row r="45" spans="2:12" x14ac:dyDescent="0.2">
      <c r="B45" s="286"/>
      <c r="C45" s="321"/>
      <c r="D45" s="8"/>
      <c r="E45" s="8"/>
      <c r="F45" s="8"/>
      <c r="G45" s="130"/>
      <c r="H45" s="130"/>
      <c r="I45" s="286"/>
      <c r="J45" s="286"/>
      <c r="K45" s="286"/>
      <c r="L45" s="286"/>
    </row>
    <row r="46" spans="2:12" x14ac:dyDescent="0.2">
      <c r="B46" s="286"/>
      <c r="C46" s="321"/>
      <c r="D46" s="8"/>
      <c r="E46" s="8"/>
      <c r="F46" s="8"/>
      <c r="G46" s="130"/>
      <c r="H46" s="130"/>
      <c r="I46" s="286"/>
      <c r="J46" s="286"/>
      <c r="K46" s="286"/>
      <c r="L46" s="286"/>
    </row>
  </sheetData>
  <sheetProtection formatCells="0"/>
  <mergeCells count="1">
    <mergeCell ref="A2:C2"/>
  </mergeCells>
  <phoneticPr fontId="2" type="noConversion"/>
  <hyperlinks>
    <hyperlink ref="A2" location="Index!A1" display="Back to Index" xr:uid="{7FCD424B-F3D1-4A8B-80C8-D9FD4036797F}"/>
  </hyperlinks>
  <pageMargins left="0.23622047244094491" right="0.27559055118110237" top="0.98425196850393704" bottom="0.98425196850393704" header="0.51181102362204722" footer="0.51181102362204722"/>
  <pageSetup orientation="portrait" verticalDpi="598" r:id="rId1"/>
  <headerFooter alignWithMargins="0">
    <oddFooter>&amp;L&amp;8&amp;Z&amp;F&amp;A&amp;R&amp;8&amp;D&amp;T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AED85-1CF1-43CC-8FD0-0BBFF2DE93C3}">
  <sheetPr>
    <tabColor indexed="47"/>
    <pageSetUpPr fitToPage="1"/>
  </sheetPr>
  <dimension ref="A1:K147"/>
  <sheetViews>
    <sheetView showGridLines="0" zoomScale="70" zoomScaleNormal="70" workbookViewId="0"/>
  </sheetViews>
  <sheetFormatPr defaultColWidth="9.42578125" defaultRowHeight="14.25" x14ac:dyDescent="0.2"/>
  <cols>
    <col min="1" max="1" width="2.42578125" style="397" customWidth="1"/>
    <col min="2" max="2" width="3.42578125" style="397" customWidth="1"/>
    <col min="3" max="3" width="42.85546875" style="403" customWidth="1"/>
    <col min="4" max="8" width="11.42578125" style="439" customWidth="1"/>
    <col min="9" max="9" width="10.5703125" style="397" bestFit="1" customWidth="1"/>
    <col min="10" max="16384" width="9.42578125" style="397"/>
  </cols>
  <sheetData>
    <row r="1" spans="1:11" s="4" customFormat="1" ht="20.25" x14ac:dyDescent="0.3">
      <c r="A1" s="3" t="s">
        <v>12</v>
      </c>
      <c r="D1" s="331"/>
      <c r="E1" s="331"/>
      <c r="F1" s="331"/>
      <c r="G1" s="331"/>
      <c r="H1" s="331"/>
    </row>
    <row r="2" spans="1:11" s="6" customFormat="1" ht="57.75" customHeight="1" x14ac:dyDescent="0.25">
      <c r="A2" s="729" t="s">
        <v>34</v>
      </c>
      <c r="B2" s="729"/>
      <c r="C2" s="729"/>
      <c r="D2" s="449">
        <v>46174</v>
      </c>
      <c r="E2" s="449">
        <v>45992</v>
      </c>
      <c r="F2" s="449">
        <v>45809</v>
      </c>
      <c r="G2" s="426" t="s">
        <v>471</v>
      </c>
      <c r="H2" s="426" t="s">
        <v>472</v>
      </c>
    </row>
    <row r="3" spans="1:11" s="341" customFormat="1" ht="7.5" customHeight="1" x14ac:dyDescent="0.25">
      <c r="A3" s="1"/>
      <c r="D3" s="333"/>
      <c r="E3" s="295"/>
      <c r="F3" s="295"/>
      <c r="G3" s="24"/>
      <c r="H3" s="24"/>
    </row>
    <row r="4" spans="1:11" s="341" customFormat="1" ht="15" customHeight="1" x14ac:dyDescent="0.25">
      <c r="A4" s="316" t="s">
        <v>202</v>
      </c>
      <c r="D4" s="333"/>
      <c r="E4" s="295"/>
      <c r="F4" s="295"/>
      <c r="G4" s="295"/>
      <c r="H4" s="295"/>
    </row>
    <row r="5" spans="1:11" s="294" customFormat="1" ht="15" customHeight="1" x14ac:dyDescent="0.25">
      <c r="A5" s="341" t="s">
        <v>203</v>
      </c>
      <c r="D5" s="101">
        <v>86402</v>
      </c>
      <c r="E5" s="295">
        <v>79551</v>
      </c>
      <c r="F5" s="295">
        <v>76297</v>
      </c>
      <c r="G5" s="296">
        <v>13.24429531960627</v>
      </c>
      <c r="H5" s="296">
        <v>8.612085328908492</v>
      </c>
      <c r="I5" s="286"/>
      <c r="J5" s="286"/>
      <c r="K5" s="286"/>
    </row>
    <row r="6" spans="1:11" ht="15" customHeight="1" x14ac:dyDescent="0.25">
      <c r="A6" s="286"/>
      <c r="B6" s="341"/>
      <c r="C6" s="303" t="s">
        <v>204</v>
      </c>
      <c r="D6" s="122">
        <v>0</v>
      </c>
      <c r="E6" s="8">
        <v>1276</v>
      </c>
      <c r="F6" s="8">
        <v>1260</v>
      </c>
      <c r="G6" s="296">
        <v>-100</v>
      </c>
      <c r="H6" s="296">
        <v>-100</v>
      </c>
      <c r="I6" s="286"/>
      <c r="J6" s="185"/>
      <c r="K6" s="185"/>
    </row>
    <row r="7" spans="1:11" ht="15" customHeight="1" x14ac:dyDescent="0.25">
      <c r="A7" s="286"/>
      <c r="B7" s="341"/>
      <c r="C7" s="303" t="s">
        <v>205</v>
      </c>
      <c r="D7" s="122">
        <v>6631</v>
      </c>
      <c r="E7" s="8">
        <v>5669</v>
      </c>
      <c r="F7" s="8">
        <v>5246</v>
      </c>
      <c r="G7" s="296">
        <v>26.401067479984739</v>
      </c>
      <c r="H7" s="296">
        <v>16.969483153995423</v>
      </c>
      <c r="I7" s="286"/>
      <c r="J7" s="185"/>
      <c r="K7" s="185"/>
    </row>
    <row r="8" spans="1:11" ht="15" customHeight="1" x14ac:dyDescent="0.25">
      <c r="A8" s="286"/>
      <c r="B8" s="341"/>
      <c r="C8" s="303" t="s">
        <v>206</v>
      </c>
      <c r="D8" s="122">
        <v>16623</v>
      </c>
      <c r="E8" s="8">
        <v>12557</v>
      </c>
      <c r="F8" s="8">
        <v>12341</v>
      </c>
      <c r="G8" s="296">
        <v>34.697350295762085</v>
      </c>
      <c r="H8" s="296">
        <v>32.380345623954774</v>
      </c>
      <c r="I8" s="286"/>
      <c r="J8" s="185"/>
      <c r="K8" s="185"/>
    </row>
    <row r="9" spans="1:11" ht="15" customHeight="1" x14ac:dyDescent="0.25">
      <c r="A9" s="286"/>
      <c r="B9" s="341"/>
      <c r="C9" s="303" t="s">
        <v>207</v>
      </c>
      <c r="D9" s="122">
        <v>12660</v>
      </c>
      <c r="E9" s="8">
        <v>14463</v>
      </c>
      <c r="F9" s="8">
        <v>14475</v>
      </c>
      <c r="G9" s="296">
        <v>-12.538860103626948</v>
      </c>
      <c r="H9" s="296">
        <v>-12.466293300145193</v>
      </c>
      <c r="I9" s="286"/>
      <c r="J9" s="185"/>
      <c r="K9" s="185"/>
    </row>
    <row r="10" spans="1:11" ht="15" customHeight="1" x14ac:dyDescent="0.2">
      <c r="A10" s="286"/>
      <c r="B10" s="286"/>
      <c r="C10" s="286" t="s">
        <v>208</v>
      </c>
      <c r="D10" s="122">
        <v>19734</v>
      </c>
      <c r="E10" s="191">
        <v>20115</v>
      </c>
      <c r="F10" s="191">
        <v>18953</v>
      </c>
      <c r="G10" s="296">
        <v>4.1207196749854846</v>
      </c>
      <c r="H10" s="296">
        <v>-1.8941088739746426</v>
      </c>
      <c r="I10" s="286"/>
      <c r="J10" s="185"/>
      <c r="K10" s="185"/>
    </row>
    <row r="11" spans="1:11" ht="15" customHeight="1" x14ac:dyDescent="0.2">
      <c r="A11" s="286"/>
      <c r="B11" s="286"/>
      <c r="C11" s="303" t="s">
        <v>209</v>
      </c>
      <c r="D11" s="122">
        <v>30754</v>
      </c>
      <c r="E11" s="8">
        <v>25471</v>
      </c>
      <c r="F11" s="8">
        <v>24022</v>
      </c>
      <c r="G11" s="296">
        <v>28.024311048205817</v>
      </c>
      <c r="H11" s="296">
        <v>20.741235130148006</v>
      </c>
      <c r="I11" s="286"/>
      <c r="J11" s="185"/>
      <c r="K11" s="185"/>
    </row>
    <row r="12" spans="1:11" ht="15" customHeight="1" x14ac:dyDescent="0.2">
      <c r="A12" s="286"/>
      <c r="B12" s="286"/>
      <c r="C12" s="286"/>
      <c r="D12" s="122"/>
      <c r="E12" s="8"/>
      <c r="F12" s="8"/>
      <c r="G12" s="130"/>
      <c r="H12" s="130"/>
      <c r="I12" s="286"/>
      <c r="J12" s="457"/>
      <c r="K12" s="286"/>
    </row>
    <row r="13" spans="1:11" s="341" customFormat="1" ht="15" customHeight="1" x14ac:dyDescent="0.25">
      <c r="A13" s="341" t="s">
        <v>203</v>
      </c>
      <c r="D13" s="101">
        <v>86402</v>
      </c>
      <c r="E13" s="295">
        <v>79551</v>
      </c>
      <c r="F13" s="295">
        <v>76297</v>
      </c>
      <c r="G13" s="296">
        <v>13.24429531960627</v>
      </c>
      <c r="H13" s="296">
        <v>8.612085328908492</v>
      </c>
      <c r="I13" s="286"/>
      <c r="J13" s="185"/>
      <c r="K13" s="185"/>
    </row>
    <row r="14" spans="1:11" ht="15" customHeight="1" x14ac:dyDescent="0.2">
      <c r="A14" s="286"/>
      <c r="B14" s="286"/>
      <c r="C14" s="286" t="s">
        <v>210</v>
      </c>
      <c r="D14" s="122">
        <v>57740</v>
      </c>
      <c r="E14" s="8">
        <v>52235</v>
      </c>
      <c r="F14" s="8">
        <v>49244</v>
      </c>
      <c r="G14" s="296">
        <v>17.252863292990007</v>
      </c>
      <c r="H14" s="296">
        <v>10.538910692064718</v>
      </c>
      <c r="I14" s="286"/>
      <c r="J14" s="185"/>
      <c r="K14" s="185"/>
    </row>
    <row r="15" spans="1:11" ht="15" customHeight="1" x14ac:dyDescent="0.2">
      <c r="A15" s="286"/>
      <c r="B15" s="286"/>
      <c r="C15" s="286" t="s">
        <v>211</v>
      </c>
      <c r="D15" s="122">
        <v>28662</v>
      </c>
      <c r="E15" s="8">
        <v>27316</v>
      </c>
      <c r="F15" s="8">
        <v>27053</v>
      </c>
      <c r="G15" s="296">
        <v>5.9475843714190679</v>
      </c>
      <c r="H15" s="296">
        <v>4.9275150095182241</v>
      </c>
      <c r="I15" s="286"/>
      <c r="J15" s="185"/>
      <c r="K15" s="185"/>
    </row>
    <row r="16" spans="1:11" ht="15" customHeight="1" x14ac:dyDescent="0.2">
      <c r="A16" s="286"/>
      <c r="B16" s="286"/>
      <c r="C16" s="321"/>
      <c r="D16" s="296"/>
      <c r="E16" s="8"/>
      <c r="F16" s="8"/>
      <c r="G16" s="458"/>
      <c r="H16" s="458"/>
      <c r="I16" s="286"/>
      <c r="J16" s="286"/>
      <c r="K16" s="286"/>
    </row>
    <row r="17" spans="1:8" ht="15" customHeight="1" x14ac:dyDescent="0.2">
      <c r="A17" s="286"/>
      <c r="B17" s="286"/>
      <c r="C17" s="321"/>
      <c r="D17" s="293"/>
      <c r="E17" s="453"/>
      <c r="F17" s="453"/>
      <c r="G17" s="292"/>
      <c r="H17" s="292"/>
    </row>
    <row r="18" spans="1:8" s="286" customFormat="1" x14ac:dyDescent="0.2">
      <c r="B18" s="326" t="s">
        <v>119</v>
      </c>
      <c r="C18" s="459" t="s">
        <v>212</v>
      </c>
      <c r="D18" s="8"/>
      <c r="E18" s="8"/>
      <c r="F18" s="8"/>
      <c r="G18" s="8"/>
      <c r="H18" s="8"/>
    </row>
    <row r="19" spans="1:8" s="286" customFormat="1" x14ac:dyDescent="0.2">
      <c r="B19" s="326" t="s">
        <v>121</v>
      </c>
      <c r="C19" s="326" t="s">
        <v>213</v>
      </c>
      <c r="D19" s="8"/>
      <c r="E19" s="8"/>
      <c r="F19" s="8"/>
      <c r="G19" s="8"/>
      <c r="H19" s="8"/>
    </row>
    <row r="20" spans="1:8" s="286" customFormat="1" x14ac:dyDescent="0.2">
      <c r="B20" s="326" t="s">
        <v>84</v>
      </c>
      <c r="C20" s="459" t="s">
        <v>214</v>
      </c>
      <c r="D20" s="8"/>
      <c r="E20" s="8"/>
      <c r="F20" s="8"/>
      <c r="G20" s="8"/>
      <c r="H20" s="8"/>
    </row>
    <row r="21" spans="1:8" x14ac:dyDescent="0.2">
      <c r="A21" s="286"/>
      <c r="B21" s="286"/>
      <c r="C21" s="321"/>
      <c r="D21" s="453"/>
      <c r="E21" s="453"/>
      <c r="F21" s="453"/>
      <c r="G21" s="8"/>
      <c r="H21" s="8"/>
    </row>
    <row r="22" spans="1:8" x14ac:dyDescent="0.2">
      <c r="A22" s="286"/>
      <c r="B22" s="286"/>
      <c r="C22" s="321"/>
      <c r="D22" s="453"/>
      <c r="E22" s="453"/>
      <c r="F22" s="453"/>
      <c r="G22" s="8"/>
      <c r="H22" s="8"/>
    </row>
    <row r="23" spans="1:8" x14ac:dyDescent="0.2">
      <c r="A23" s="286"/>
      <c r="B23" s="286"/>
      <c r="C23" s="321"/>
      <c r="D23" s="453"/>
      <c r="E23" s="453"/>
      <c r="F23" s="453"/>
      <c r="G23" s="8"/>
      <c r="H23" s="8"/>
    </row>
    <row r="24" spans="1:8" x14ac:dyDescent="0.2">
      <c r="A24" s="286"/>
      <c r="B24" s="286"/>
      <c r="C24" s="321"/>
      <c r="D24" s="8"/>
      <c r="E24" s="8"/>
      <c r="F24" s="8"/>
      <c r="G24" s="8"/>
      <c r="H24" s="8"/>
    </row>
    <row r="25" spans="1:8" x14ac:dyDescent="0.2">
      <c r="A25" s="286"/>
      <c r="B25" s="286"/>
      <c r="C25" s="303"/>
      <c r="D25" s="8"/>
      <c r="E25" s="8"/>
      <c r="F25" s="8"/>
      <c r="G25" s="8"/>
      <c r="H25" s="8"/>
    </row>
    <row r="26" spans="1:8" x14ac:dyDescent="0.2">
      <c r="A26" s="286"/>
      <c r="B26" s="286"/>
      <c r="C26" s="321"/>
      <c r="D26" s="8"/>
      <c r="E26" s="8"/>
      <c r="F26" s="8"/>
      <c r="G26" s="8"/>
      <c r="H26" s="8"/>
    </row>
    <row r="27" spans="1:8" x14ac:dyDescent="0.2">
      <c r="A27" s="286"/>
      <c r="B27" s="286"/>
      <c r="C27" s="321"/>
      <c r="D27" s="8"/>
      <c r="E27" s="8"/>
      <c r="F27" s="8"/>
      <c r="G27" s="8"/>
      <c r="H27" s="8"/>
    </row>
    <row r="28" spans="1:8" x14ac:dyDescent="0.2">
      <c r="A28" s="286"/>
      <c r="B28" s="286"/>
      <c r="C28" s="321"/>
      <c r="D28" s="8"/>
      <c r="E28" s="8"/>
      <c r="F28" s="8"/>
      <c r="G28" s="8"/>
      <c r="H28" s="8"/>
    </row>
    <row r="29" spans="1:8" x14ac:dyDescent="0.2">
      <c r="A29" s="286"/>
      <c r="B29" s="286"/>
      <c r="C29" s="321"/>
      <c r="D29" s="8"/>
      <c r="E29" s="8"/>
      <c r="F29" s="8"/>
      <c r="G29" s="8"/>
      <c r="H29" s="8"/>
    </row>
    <row r="30" spans="1:8" x14ac:dyDescent="0.2">
      <c r="A30" s="286"/>
      <c r="B30" s="286"/>
      <c r="C30" s="321"/>
      <c r="D30" s="8"/>
      <c r="E30" s="8"/>
      <c r="F30" s="8"/>
      <c r="G30" s="8"/>
      <c r="H30" s="8"/>
    </row>
    <row r="31" spans="1:8" s="439" customFormat="1" x14ac:dyDescent="0.2">
      <c r="A31" s="286"/>
      <c r="B31" s="286"/>
      <c r="C31" s="321"/>
      <c r="D31" s="8"/>
      <c r="E31" s="8"/>
      <c r="F31" s="8"/>
      <c r="G31" s="8"/>
      <c r="H31" s="8"/>
    </row>
    <row r="32" spans="1:8" s="439" customFormat="1" x14ac:dyDescent="0.2">
      <c r="A32" s="286"/>
      <c r="B32" s="286"/>
      <c r="C32" s="321"/>
      <c r="D32" s="8"/>
      <c r="E32" s="8"/>
      <c r="F32" s="8"/>
      <c r="G32" s="8"/>
      <c r="H32" s="8"/>
    </row>
    <row r="33" spans="1:6" s="439" customFormat="1" x14ac:dyDescent="0.2">
      <c r="A33" s="286"/>
      <c r="B33" s="286"/>
      <c r="C33" s="321"/>
      <c r="D33" s="8"/>
      <c r="E33" s="8"/>
      <c r="F33" s="8"/>
    </row>
    <row r="34" spans="1:6" s="439" customFormat="1" x14ac:dyDescent="0.2">
      <c r="A34" s="286"/>
      <c r="B34" s="286"/>
      <c r="C34" s="321"/>
      <c r="D34" s="8"/>
      <c r="E34" s="8"/>
      <c r="F34" s="8"/>
    </row>
    <row r="35" spans="1:6" s="439" customFormat="1" x14ac:dyDescent="0.2">
      <c r="A35" s="286"/>
      <c r="B35" s="286"/>
      <c r="C35" s="321"/>
      <c r="D35" s="8"/>
      <c r="E35" s="8"/>
      <c r="F35" s="8"/>
    </row>
    <row r="36" spans="1:6" s="439" customFormat="1" x14ac:dyDescent="0.2">
      <c r="A36" s="286"/>
      <c r="B36" s="286"/>
      <c r="C36" s="321"/>
      <c r="D36" s="8"/>
      <c r="E36" s="8"/>
      <c r="F36" s="8"/>
    </row>
    <row r="37" spans="1:6" s="439" customFormat="1" x14ac:dyDescent="0.2">
      <c r="A37" s="286"/>
      <c r="B37" s="286"/>
      <c r="C37" s="321"/>
      <c r="D37" s="8"/>
      <c r="E37" s="8"/>
      <c r="F37" s="8"/>
    </row>
    <row r="38" spans="1:6" s="439" customFormat="1" x14ac:dyDescent="0.2">
      <c r="A38" s="286"/>
      <c r="B38" s="286"/>
      <c r="C38" s="321"/>
      <c r="D38" s="8"/>
      <c r="E38" s="8"/>
      <c r="F38" s="8"/>
    </row>
    <row r="39" spans="1:6" s="439" customFormat="1" x14ac:dyDescent="0.2">
      <c r="A39" s="286"/>
      <c r="B39" s="286"/>
      <c r="C39" s="321"/>
      <c r="D39" s="8"/>
      <c r="E39" s="8"/>
      <c r="F39" s="8"/>
    </row>
    <row r="40" spans="1:6" s="439" customFormat="1" x14ac:dyDescent="0.2">
      <c r="A40" s="286"/>
      <c r="B40" s="286"/>
      <c r="C40" s="321"/>
      <c r="D40" s="8"/>
      <c r="E40" s="8"/>
      <c r="F40" s="8"/>
    </row>
    <row r="41" spans="1:6" s="439" customFormat="1" x14ac:dyDescent="0.2">
      <c r="A41" s="286"/>
      <c r="B41" s="286"/>
      <c r="C41" s="321"/>
      <c r="D41" s="8"/>
      <c r="E41" s="8"/>
      <c r="F41" s="8"/>
    </row>
    <row r="42" spans="1:6" s="439" customFormat="1" x14ac:dyDescent="0.2">
      <c r="A42" s="286"/>
      <c r="B42" s="286"/>
      <c r="C42" s="321"/>
      <c r="D42" s="8"/>
      <c r="E42" s="8"/>
      <c r="F42" s="8"/>
    </row>
    <row r="43" spans="1:6" s="439" customFormat="1" x14ac:dyDescent="0.2">
      <c r="A43" s="286"/>
      <c r="B43" s="286"/>
      <c r="C43" s="321"/>
      <c r="D43" s="8"/>
      <c r="E43" s="8"/>
      <c r="F43" s="8"/>
    </row>
    <row r="44" spans="1:6" s="439" customFormat="1" x14ac:dyDescent="0.2">
      <c r="A44" s="286"/>
      <c r="B44" s="286"/>
      <c r="C44" s="321"/>
      <c r="D44" s="8"/>
      <c r="E44" s="8"/>
      <c r="F44" s="8"/>
    </row>
    <row r="45" spans="1:6" s="439" customFormat="1" x14ac:dyDescent="0.2">
      <c r="A45" s="286"/>
      <c r="B45" s="286"/>
      <c r="C45" s="321"/>
      <c r="D45" s="8"/>
      <c r="E45" s="8"/>
      <c r="F45" s="8"/>
    </row>
    <row r="46" spans="1:6" s="439" customFormat="1" x14ac:dyDescent="0.2">
      <c r="A46" s="286"/>
      <c r="B46" s="286"/>
      <c r="C46" s="321"/>
      <c r="D46" s="8"/>
      <c r="E46" s="8"/>
      <c r="F46" s="8"/>
    </row>
    <row r="47" spans="1:6" s="439" customFormat="1" x14ac:dyDescent="0.2">
      <c r="A47" s="286"/>
      <c r="B47" s="286"/>
      <c r="C47" s="321"/>
      <c r="D47" s="8"/>
      <c r="E47" s="8"/>
      <c r="F47" s="8"/>
    </row>
    <row r="48" spans="1:6" s="439" customFormat="1" x14ac:dyDescent="0.2">
      <c r="A48" s="286"/>
      <c r="B48" s="286"/>
      <c r="C48" s="321"/>
      <c r="D48" s="8"/>
      <c r="E48" s="8"/>
      <c r="F48" s="8"/>
    </row>
    <row r="49" spans="1:6" s="439" customFormat="1" x14ac:dyDescent="0.2">
      <c r="A49" s="286"/>
      <c r="B49" s="286"/>
      <c r="C49" s="321"/>
      <c r="D49" s="8"/>
      <c r="E49" s="8"/>
      <c r="F49" s="8"/>
    </row>
    <row r="50" spans="1:6" s="439" customFormat="1" x14ac:dyDescent="0.2">
      <c r="A50" s="286"/>
      <c r="B50" s="286"/>
      <c r="C50" s="321"/>
      <c r="D50" s="8"/>
      <c r="E50" s="8"/>
      <c r="F50" s="8"/>
    </row>
    <row r="51" spans="1:6" s="439" customFormat="1" x14ac:dyDescent="0.2">
      <c r="A51" s="286"/>
      <c r="B51" s="286"/>
      <c r="C51" s="321"/>
      <c r="D51" s="8"/>
      <c r="E51" s="8"/>
      <c r="F51" s="8"/>
    </row>
    <row r="52" spans="1:6" s="439" customFormat="1" x14ac:dyDescent="0.2">
      <c r="A52" s="286"/>
      <c r="B52" s="286"/>
      <c r="C52" s="321"/>
      <c r="D52" s="8"/>
      <c r="E52" s="8"/>
      <c r="F52" s="8"/>
    </row>
    <row r="53" spans="1:6" s="439" customFormat="1" x14ac:dyDescent="0.2">
      <c r="A53" s="286"/>
      <c r="B53" s="286"/>
      <c r="C53" s="321"/>
      <c r="D53" s="8"/>
      <c r="E53" s="8"/>
      <c r="F53" s="8"/>
    </row>
    <row r="54" spans="1:6" s="439" customFormat="1" x14ac:dyDescent="0.2">
      <c r="A54" s="286"/>
      <c r="B54" s="286"/>
      <c r="C54" s="321"/>
      <c r="D54" s="8"/>
      <c r="E54" s="8"/>
      <c r="F54" s="8"/>
    </row>
    <row r="55" spans="1:6" s="439" customFormat="1" x14ac:dyDescent="0.2">
      <c r="A55" s="286"/>
      <c r="B55" s="286"/>
      <c r="C55" s="321"/>
      <c r="D55" s="8"/>
      <c r="E55" s="8"/>
      <c r="F55" s="8"/>
    </row>
    <row r="56" spans="1:6" s="439" customFormat="1" x14ac:dyDescent="0.2">
      <c r="A56" s="286"/>
      <c r="B56" s="286"/>
      <c r="C56" s="321"/>
      <c r="D56" s="8"/>
      <c r="E56" s="8"/>
      <c r="F56" s="8"/>
    </row>
    <row r="57" spans="1:6" s="439" customFormat="1" x14ac:dyDescent="0.2">
      <c r="A57" s="286"/>
      <c r="B57" s="286"/>
      <c r="C57" s="321"/>
      <c r="D57" s="8"/>
      <c r="E57" s="8"/>
      <c r="F57" s="8"/>
    </row>
    <row r="58" spans="1:6" s="439" customFormat="1" x14ac:dyDescent="0.2">
      <c r="A58" s="286"/>
      <c r="B58" s="286"/>
      <c r="C58" s="321"/>
      <c r="D58" s="8"/>
      <c r="E58" s="8"/>
      <c r="F58" s="8"/>
    </row>
    <row r="59" spans="1:6" s="439" customFormat="1" x14ac:dyDescent="0.2">
      <c r="A59" s="286"/>
      <c r="B59" s="286"/>
      <c r="C59" s="321"/>
      <c r="D59" s="8"/>
      <c r="E59" s="8"/>
      <c r="F59" s="8"/>
    </row>
    <row r="60" spans="1:6" s="439" customFormat="1" x14ac:dyDescent="0.2">
      <c r="A60" s="286"/>
      <c r="B60" s="286"/>
      <c r="C60" s="321"/>
      <c r="D60" s="8"/>
      <c r="E60" s="8"/>
      <c r="F60" s="8"/>
    </row>
    <row r="61" spans="1:6" s="439" customFormat="1" x14ac:dyDescent="0.2">
      <c r="A61" s="286"/>
      <c r="B61" s="286"/>
      <c r="C61" s="321"/>
      <c r="D61" s="8"/>
      <c r="E61" s="8"/>
      <c r="F61" s="8"/>
    </row>
    <row r="62" spans="1:6" s="439" customFormat="1" x14ac:dyDescent="0.2">
      <c r="A62" s="286"/>
      <c r="B62" s="286"/>
      <c r="C62" s="321"/>
      <c r="D62" s="8"/>
      <c r="E62" s="8"/>
      <c r="F62" s="8"/>
    </row>
    <row r="63" spans="1:6" s="439" customFormat="1" x14ac:dyDescent="0.2">
      <c r="A63" s="286"/>
      <c r="B63" s="286"/>
      <c r="C63" s="321"/>
      <c r="D63" s="8"/>
      <c r="E63" s="8"/>
      <c r="F63" s="8"/>
    </row>
    <row r="64" spans="1:6" s="439" customFormat="1" x14ac:dyDescent="0.2">
      <c r="A64" s="286"/>
      <c r="B64" s="286"/>
      <c r="C64" s="321"/>
      <c r="D64" s="8"/>
      <c r="E64" s="8"/>
      <c r="F64" s="8"/>
    </row>
    <row r="65" spans="1:6" s="439" customFormat="1" x14ac:dyDescent="0.2">
      <c r="A65" s="286"/>
      <c r="B65" s="286"/>
      <c r="C65" s="321"/>
      <c r="D65" s="8"/>
      <c r="E65" s="8"/>
      <c r="F65" s="8"/>
    </row>
    <row r="66" spans="1:6" s="439" customFormat="1" x14ac:dyDescent="0.2">
      <c r="A66" s="286"/>
      <c r="B66" s="286"/>
      <c r="C66" s="321"/>
      <c r="D66" s="8"/>
      <c r="E66" s="8"/>
      <c r="F66" s="8"/>
    </row>
    <row r="67" spans="1:6" s="439" customFormat="1" x14ac:dyDescent="0.2">
      <c r="A67" s="286"/>
      <c r="B67" s="286"/>
      <c r="C67" s="321"/>
      <c r="D67" s="8"/>
      <c r="E67" s="8"/>
      <c r="F67" s="8"/>
    </row>
    <row r="68" spans="1:6" s="439" customFormat="1" x14ac:dyDescent="0.2">
      <c r="A68" s="286"/>
      <c r="B68" s="286"/>
      <c r="C68" s="321"/>
      <c r="D68" s="8"/>
      <c r="E68" s="8"/>
      <c r="F68" s="8"/>
    </row>
    <row r="69" spans="1:6" s="439" customFormat="1" x14ac:dyDescent="0.2">
      <c r="A69" s="286"/>
      <c r="B69" s="286"/>
      <c r="C69" s="321"/>
      <c r="D69" s="8"/>
      <c r="E69" s="8"/>
      <c r="F69" s="8"/>
    </row>
    <row r="70" spans="1:6" s="439" customFormat="1" x14ac:dyDescent="0.2">
      <c r="A70" s="286"/>
      <c r="B70" s="286"/>
      <c r="C70" s="321"/>
      <c r="D70" s="8"/>
      <c r="E70" s="8"/>
      <c r="F70" s="8"/>
    </row>
    <row r="71" spans="1:6" s="439" customFormat="1" x14ac:dyDescent="0.2">
      <c r="A71" s="286"/>
      <c r="B71" s="286"/>
      <c r="C71" s="321"/>
      <c r="D71" s="8"/>
      <c r="E71" s="8"/>
      <c r="F71" s="8"/>
    </row>
    <row r="72" spans="1:6" s="439" customFormat="1" x14ac:dyDescent="0.2">
      <c r="A72" s="286"/>
      <c r="B72" s="286"/>
      <c r="C72" s="321"/>
      <c r="D72" s="8"/>
      <c r="E72" s="8"/>
      <c r="F72" s="8"/>
    </row>
    <row r="73" spans="1:6" s="439" customFormat="1" x14ac:dyDescent="0.2">
      <c r="A73" s="286"/>
      <c r="B73" s="286"/>
      <c r="C73" s="321"/>
      <c r="D73" s="8"/>
      <c r="E73" s="8"/>
      <c r="F73" s="8"/>
    </row>
    <row r="74" spans="1:6" s="439" customFormat="1" x14ac:dyDescent="0.2">
      <c r="A74" s="286"/>
      <c r="B74" s="286"/>
      <c r="C74" s="321"/>
      <c r="D74" s="8"/>
      <c r="E74" s="8"/>
      <c r="F74" s="8"/>
    </row>
    <row r="75" spans="1:6" s="439" customFormat="1" x14ac:dyDescent="0.2">
      <c r="A75" s="286"/>
      <c r="B75" s="286"/>
      <c r="C75" s="321"/>
      <c r="D75" s="8"/>
      <c r="E75" s="8"/>
      <c r="F75" s="8"/>
    </row>
    <row r="76" spans="1:6" s="439" customFormat="1" x14ac:dyDescent="0.2">
      <c r="A76" s="286"/>
      <c r="B76" s="286"/>
      <c r="C76" s="321"/>
      <c r="D76" s="8"/>
      <c r="E76" s="8"/>
      <c r="F76" s="8"/>
    </row>
    <row r="77" spans="1:6" s="439" customFormat="1" x14ac:dyDescent="0.2">
      <c r="A77" s="286"/>
      <c r="B77" s="286"/>
      <c r="C77" s="321"/>
      <c r="D77" s="8"/>
      <c r="E77" s="8"/>
      <c r="F77" s="8"/>
    </row>
    <row r="78" spans="1:6" s="439" customFormat="1" x14ac:dyDescent="0.2">
      <c r="A78" s="286"/>
      <c r="B78" s="286"/>
      <c r="C78" s="321"/>
      <c r="D78" s="8"/>
      <c r="E78" s="8"/>
      <c r="F78" s="8"/>
    </row>
    <row r="79" spans="1:6" s="439" customFormat="1" x14ac:dyDescent="0.2">
      <c r="A79" s="286"/>
      <c r="B79" s="286"/>
      <c r="C79" s="321"/>
      <c r="D79" s="8"/>
      <c r="E79" s="8"/>
      <c r="F79" s="8"/>
    </row>
    <row r="80" spans="1:6" s="439" customFormat="1" x14ac:dyDescent="0.2">
      <c r="A80" s="286"/>
      <c r="B80" s="286"/>
      <c r="C80" s="321"/>
      <c r="D80" s="8"/>
      <c r="E80" s="8"/>
      <c r="F80" s="8"/>
    </row>
    <row r="81" spans="1:6" s="439" customFormat="1" x14ac:dyDescent="0.2">
      <c r="A81" s="286"/>
      <c r="B81" s="286"/>
      <c r="C81" s="321"/>
      <c r="D81" s="8"/>
      <c r="E81" s="8"/>
      <c r="F81" s="8"/>
    </row>
    <row r="82" spans="1:6" s="439" customFormat="1" x14ac:dyDescent="0.2">
      <c r="A82" s="286"/>
      <c r="B82" s="286"/>
      <c r="C82" s="321"/>
      <c r="D82" s="8"/>
      <c r="E82" s="8"/>
      <c r="F82" s="8"/>
    </row>
    <row r="83" spans="1:6" s="439" customFormat="1" x14ac:dyDescent="0.2">
      <c r="A83" s="286"/>
      <c r="B83" s="286"/>
      <c r="C83" s="321"/>
      <c r="D83" s="8"/>
      <c r="E83" s="8"/>
      <c r="F83" s="8"/>
    </row>
    <row r="84" spans="1:6" s="439" customFormat="1" x14ac:dyDescent="0.2">
      <c r="A84" s="286"/>
      <c r="B84" s="286"/>
      <c r="C84" s="321"/>
      <c r="D84" s="8"/>
      <c r="E84" s="8"/>
      <c r="F84" s="8"/>
    </row>
    <row r="85" spans="1:6" s="439" customFormat="1" x14ac:dyDescent="0.2">
      <c r="A85" s="286"/>
      <c r="B85" s="286"/>
      <c r="C85" s="321"/>
      <c r="D85" s="8"/>
      <c r="E85" s="8"/>
      <c r="F85" s="8"/>
    </row>
    <row r="86" spans="1:6" s="439" customFormat="1" x14ac:dyDescent="0.2">
      <c r="A86" s="286"/>
      <c r="B86" s="286"/>
      <c r="C86" s="321"/>
      <c r="D86" s="8"/>
      <c r="E86" s="8"/>
      <c r="F86" s="8"/>
    </row>
    <row r="87" spans="1:6" s="439" customFormat="1" x14ac:dyDescent="0.2">
      <c r="A87" s="286"/>
      <c r="B87" s="286"/>
      <c r="C87" s="321"/>
      <c r="D87" s="8"/>
      <c r="E87" s="8"/>
      <c r="F87" s="8"/>
    </row>
    <row r="88" spans="1:6" s="439" customFormat="1" x14ac:dyDescent="0.2">
      <c r="A88" s="286"/>
      <c r="B88" s="286"/>
      <c r="C88" s="321"/>
      <c r="D88" s="8"/>
      <c r="E88" s="8"/>
      <c r="F88" s="8"/>
    </row>
    <row r="89" spans="1:6" s="439" customFormat="1" x14ac:dyDescent="0.2">
      <c r="A89" s="286"/>
      <c r="B89" s="286"/>
      <c r="C89" s="321"/>
      <c r="D89" s="8"/>
      <c r="E89" s="8"/>
      <c r="F89" s="8"/>
    </row>
    <row r="90" spans="1:6" s="439" customFormat="1" x14ac:dyDescent="0.2">
      <c r="A90" s="286"/>
      <c r="B90" s="286"/>
      <c r="C90" s="321"/>
      <c r="D90" s="8"/>
      <c r="E90" s="8"/>
      <c r="F90" s="8"/>
    </row>
    <row r="91" spans="1:6" s="439" customFormat="1" x14ac:dyDescent="0.2">
      <c r="A91" s="286"/>
      <c r="B91" s="286"/>
      <c r="C91" s="321"/>
      <c r="D91" s="8"/>
      <c r="E91" s="8"/>
      <c r="F91" s="8"/>
    </row>
    <row r="92" spans="1:6" s="439" customFormat="1" x14ac:dyDescent="0.2">
      <c r="A92" s="286"/>
      <c r="B92" s="286"/>
      <c r="C92" s="321"/>
      <c r="D92" s="8"/>
      <c r="E92" s="8"/>
      <c r="F92" s="8"/>
    </row>
    <row r="93" spans="1:6" s="439" customFormat="1" x14ac:dyDescent="0.2">
      <c r="A93" s="286"/>
      <c r="B93" s="286"/>
      <c r="C93" s="321"/>
      <c r="D93" s="8"/>
      <c r="E93" s="8"/>
      <c r="F93" s="8"/>
    </row>
    <row r="94" spans="1:6" s="439" customFormat="1" x14ac:dyDescent="0.2">
      <c r="A94" s="286"/>
      <c r="B94" s="286"/>
      <c r="C94" s="321"/>
      <c r="D94" s="8"/>
      <c r="E94" s="8"/>
      <c r="F94" s="8"/>
    </row>
    <row r="95" spans="1:6" s="439" customFormat="1" x14ac:dyDescent="0.2">
      <c r="A95" s="286"/>
      <c r="B95" s="286"/>
      <c r="C95" s="321"/>
      <c r="D95" s="8"/>
      <c r="E95" s="8"/>
      <c r="F95" s="8"/>
    </row>
    <row r="96" spans="1:6" s="439" customFormat="1" x14ac:dyDescent="0.2">
      <c r="A96" s="286"/>
      <c r="B96" s="286"/>
      <c r="C96" s="321"/>
      <c r="D96" s="8"/>
      <c r="E96" s="8"/>
      <c r="F96" s="8"/>
    </row>
    <row r="97" spans="1:6" s="439" customFormat="1" x14ac:dyDescent="0.2">
      <c r="A97" s="286"/>
      <c r="B97" s="286"/>
      <c r="C97" s="321"/>
      <c r="D97" s="8"/>
      <c r="E97" s="8"/>
      <c r="F97" s="8"/>
    </row>
    <row r="98" spans="1:6" s="439" customFormat="1" x14ac:dyDescent="0.2">
      <c r="A98" s="286"/>
      <c r="B98" s="286"/>
      <c r="C98" s="321"/>
      <c r="D98" s="8"/>
      <c r="E98" s="8"/>
      <c r="F98" s="8"/>
    </row>
    <row r="99" spans="1:6" s="439" customFormat="1" x14ac:dyDescent="0.2">
      <c r="A99" s="286"/>
      <c r="B99" s="286"/>
      <c r="C99" s="321"/>
      <c r="D99" s="8"/>
      <c r="E99" s="8"/>
      <c r="F99" s="8"/>
    </row>
    <row r="100" spans="1:6" s="439" customFormat="1" x14ac:dyDescent="0.2">
      <c r="A100" s="286"/>
      <c r="B100" s="286"/>
      <c r="C100" s="321"/>
      <c r="D100" s="8"/>
      <c r="E100" s="8"/>
      <c r="F100" s="8"/>
    </row>
    <row r="101" spans="1:6" s="439" customFormat="1" x14ac:dyDescent="0.2">
      <c r="A101" s="286"/>
      <c r="B101" s="286"/>
      <c r="C101" s="321"/>
      <c r="D101" s="8"/>
      <c r="E101" s="8"/>
      <c r="F101" s="8"/>
    </row>
    <row r="102" spans="1:6" s="439" customFormat="1" x14ac:dyDescent="0.2">
      <c r="A102" s="286"/>
      <c r="B102" s="286"/>
      <c r="C102" s="321"/>
      <c r="D102" s="8"/>
      <c r="E102" s="8"/>
      <c r="F102" s="8"/>
    </row>
    <row r="103" spans="1:6" s="439" customFormat="1" x14ac:dyDescent="0.2">
      <c r="A103" s="286"/>
      <c r="B103" s="286"/>
      <c r="C103" s="321"/>
      <c r="D103" s="8"/>
      <c r="E103" s="8"/>
      <c r="F103" s="8"/>
    </row>
    <row r="104" spans="1:6" s="439" customFormat="1" x14ac:dyDescent="0.2">
      <c r="A104" s="286"/>
      <c r="B104" s="286"/>
      <c r="C104" s="321"/>
      <c r="D104" s="8"/>
      <c r="E104" s="8"/>
      <c r="F104" s="8"/>
    </row>
    <row r="105" spans="1:6" s="439" customFormat="1" x14ac:dyDescent="0.2">
      <c r="A105" s="286"/>
      <c r="B105" s="286"/>
      <c r="C105" s="321"/>
      <c r="D105" s="8"/>
      <c r="E105" s="8"/>
      <c r="F105" s="8"/>
    </row>
    <row r="106" spans="1:6" s="439" customFormat="1" x14ac:dyDescent="0.2">
      <c r="A106" s="286"/>
      <c r="B106" s="286"/>
      <c r="C106" s="321"/>
      <c r="D106" s="8"/>
      <c r="E106" s="8"/>
      <c r="F106" s="8"/>
    </row>
    <row r="107" spans="1:6" s="439" customFormat="1" x14ac:dyDescent="0.2">
      <c r="A107" s="286"/>
      <c r="B107" s="286"/>
      <c r="C107" s="321"/>
      <c r="D107" s="8"/>
      <c r="E107" s="8"/>
      <c r="F107" s="8"/>
    </row>
    <row r="108" spans="1:6" s="439" customFormat="1" x14ac:dyDescent="0.2">
      <c r="A108" s="286"/>
      <c r="B108" s="286"/>
      <c r="C108" s="321"/>
      <c r="D108" s="8"/>
      <c r="E108" s="8"/>
      <c r="F108" s="8"/>
    </row>
    <row r="109" spans="1:6" s="439" customFormat="1" x14ac:dyDescent="0.2">
      <c r="A109" s="286"/>
      <c r="B109" s="286"/>
      <c r="C109" s="321"/>
      <c r="D109" s="8"/>
      <c r="E109" s="8"/>
      <c r="F109" s="8"/>
    </row>
    <row r="110" spans="1:6" s="439" customFormat="1" x14ac:dyDescent="0.2">
      <c r="A110" s="286"/>
      <c r="B110" s="286"/>
      <c r="C110" s="321"/>
      <c r="D110" s="8"/>
      <c r="E110" s="8"/>
      <c r="F110" s="8"/>
    </row>
    <row r="111" spans="1:6" s="439" customFormat="1" x14ac:dyDescent="0.2">
      <c r="A111" s="286"/>
      <c r="B111" s="286"/>
      <c r="C111" s="321"/>
      <c r="D111" s="8"/>
      <c r="E111" s="8"/>
      <c r="F111" s="8"/>
    </row>
    <row r="112" spans="1:6" s="439" customFormat="1" x14ac:dyDescent="0.2">
      <c r="A112" s="286"/>
      <c r="B112" s="286"/>
      <c r="C112" s="321"/>
      <c r="D112" s="8"/>
      <c r="E112" s="8"/>
      <c r="F112" s="8"/>
    </row>
    <row r="113" spans="1:6" s="439" customFormat="1" x14ac:dyDescent="0.2">
      <c r="A113" s="286"/>
      <c r="B113" s="286"/>
      <c r="C113" s="321"/>
      <c r="D113" s="8"/>
      <c r="E113" s="8"/>
      <c r="F113" s="8"/>
    </row>
    <row r="114" spans="1:6" s="439" customFormat="1" x14ac:dyDescent="0.2">
      <c r="A114" s="286"/>
      <c r="B114" s="286"/>
      <c r="C114" s="321"/>
      <c r="D114" s="8"/>
      <c r="E114" s="8"/>
      <c r="F114" s="8"/>
    </row>
    <row r="115" spans="1:6" s="439" customFormat="1" x14ac:dyDescent="0.2">
      <c r="A115" s="286"/>
      <c r="B115" s="286"/>
      <c r="C115" s="321"/>
      <c r="D115" s="8"/>
      <c r="E115" s="8"/>
      <c r="F115" s="8"/>
    </row>
    <row r="116" spans="1:6" s="439" customFormat="1" x14ac:dyDescent="0.2">
      <c r="A116" s="286"/>
      <c r="B116" s="286"/>
      <c r="C116" s="321"/>
      <c r="D116" s="8"/>
      <c r="E116" s="8"/>
      <c r="F116" s="8"/>
    </row>
    <row r="117" spans="1:6" s="439" customFormat="1" x14ac:dyDescent="0.2">
      <c r="A117" s="286"/>
      <c r="B117" s="286"/>
      <c r="C117" s="321"/>
      <c r="D117" s="8"/>
      <c r="E117" s="8"/>
      <c r="F117" s="8"/>
    </row>
    <row r="118" spans="1:6" s="439" customFormat="1" x14ac:dyDescent="0.2">
      <c r="A118" s="286"/>
      <c r="B118" s="286"/>
      <c r="C118" s="321"/>
      <c r="D118" s="8"/>
      <c r="E118" s="8"/>
      <c r="F118" s="8"/>
    </row>
    <row r="119" spans="1:6" s="439" customFormat="1" x14ac:dyDescent="0.2">
      <c r="A119" s="286"/>
      <c r="B119" s="286"/>
      <c r="C119" s="321"/>
      <c r="D119" s="8"/>
      <c r="E119" s="8"/>
      <c r="F119" s="8"/>
    </row>
    <row r="120" spans="1:6" s="439" customFormat="1" x14ac:dyDescent="0.2">
      <c r="A120" s="286"/>
      <c r="B120" s="286"/>
      <c r="C120" s="321"/>
      <c r="D120" s="8"/>
      <c r="E120" s="8"/>
      <c r="F120" s="8"/>
    </row>
    <row r="121" spans="1:6" s="439" customFormat="1" x14ac:dyDescent="0.2">
      <c r="A121" s="286"/>
      <c r="B121" s="286"/>
      <c r="C121" s="321"/>
      <c r="D121" s="8"/>
      <c r="E121" s="8"/>
      <c r="F121" s="8"/>
    </row>
    <row r="122" spans="1:6" s="439" customFormat="1" x14ac:dyDescent="0.2">
      <c r="A122" s="286"/>
      <c r="B122" s="286"/>
      <c r="C122" s="321"/>
      <c r="D122" s="8"/>
      <c r="E122" s="8"/>
      <c r="F122" s="8"/>
    </row>
    <row r="123" spans="1:6" s="439" customFormat="1" x14ac:dyDescent="0.2">
      <c r="A123" s="286"/>
      <c r="B123" s="286"/>
      <c r="C123" s="321"/>
      <c r="D123" s="8"/>
      <c r="E123" s="8"/>
      <c r="F123" s="8"/>
    </row>
    <row r="124" spans="1:6" s="439" customFormat="1" x14ac:dyDescent="0.2">
      <c r="A124" s="286"/>
      <c r="B124" s="286"/>
      <c r="C124" s="321"/>
      <c r="D124" s="8"/>
      <c r="E124" s="8"/>
      <c r="F124" s="8"/>
    </row>
    <row r="125" spans="1:6" s="439" customFormat="1" x14ac:dyDescent="0.2">
      <c r="A125" s="286"/>
      <c r="B125" s="286"/>
      <c r="C125" s="321"/>
      <c r="D125" s="8"/>
      <c r="E125" s="8"/>
      <c r="F125" s="8"/>
    </row>
    <row r="126" spans="1:6" s="439" customFormat="1" x14ac:dyDescent="0.2">
      <c r="A126" s="286"/>
      <c r="B126" s="286"/>
      <c r="C126" s="321"/>
      <c r="D126" s="8"/>
      <c r="E126" s="8"/>
      <c r="F126" s="8"/>
    </row>
    <row r="127" spans="1:6" s="439" customFormat="1" x14ac:dyDescent="0.2">
      <c r="A127" s="286"/>
      <c r="B127" s="286"/>
      <c r="C127" s="321"/>
      <c r="D127" s="8"/>
      <c r="E127" s="8"/>
      <c r="F127" s="8"/>
    </row>
    <row r="128" spans="1:6" s="439" customFormat="1" x14ac:dyDescent="0.2">
      <c r="A128" s="286"/>
      <c r="B128" s="286"/>
      <c r="C128" s="321"/>
      <c r="D128" s="8"/>
      <c r="E128" s="8"/>
      <c r="F128" s="8"/>
    </row>
    <row r="129" spans="1:6" s="439" customFormat="1" x14ac:dyDescent="0.2">
      <c r="A129" s="286"/>
      <c r="B129" s="286"/>
      <c r="C129" s="321"/>
      <c r="D129" s="8"/>
      <c r="E129" s="8"/>
      <c r="F129" s="8"/>
    </row>
    <row r="130" spans="1:6" s="439" customFormat="1" x14ac:dyDescent="0.2">
      <c r="A130" s="286"/>
      <c r="B130" s="286"/>
      <c r="C130" s="321"/>
      <c r="D130" s="8"/>
      <c r="E130" s="8"/>
      <c r="F130" s="8"/>
    </row>
    <row r="131" spans="1:6" s="439" customFormat="1" x14ac:dyDescent="0.2">
      <c r="A131" s="286"/>
      <c r="B131" s="286"/>
      <c r="C131" s="321"/>
      <c r="D131" s="8"/>
      <c r="E131" s="8"/>
      <c r="F131" s="8"/>
    </row>
    <row r="132" spans="1:6" s="439" customFormat="1" x14ac:dyDescent="0.2">
      <c r="A132" s="286"/>
      <c r="B132" s="286"/>
      <c r="C132" s="321"/>
      <c r="D132" s="8"/>
      <c r="E132" s="8"/>
      <c r="F132" s="8"/>
    </row>
    <row r="133" spans="1:6" s="439" customFormat="1" x14ac:dyDescent="0.2">
      <c r="A133" s="286"/>
      <c r="B133" s="286"/>
      <c r="C133" s="321"/>
      <c r="D133" s="8"/>
      <c r="E133" s="8"/>
      <c r="F133" s="8"/>
    </row>
    <row r="134" spans="1:6" s="439" customFormat="1" x14ac:dyDescent="0.2">
      <c r="A134" s="286"/>
      <c r="B134" s="286"/>
      <c r="C134" s="321"/>
      <c r="D134" s="8"/>
      <c r="E134" s="8"/>
      <c r="F134" s="8"/>
    </row>
    <row r="135" spans="1:6" s="439" customFormat="1" x14ac:dyDescent="0.2">
      <c r="A135" s="286"/>
      <c r="B135" s="286"/>
      <c r="C135" s="321"/>
      <c r="D135" s="8"/>
      <c r="E135" s="8"/>
      <c r="F135" s="8"/>
    </row>
    <row r="136" spans="1:6" s="439" customFormat="1" x14ac:dyDescent="0.2">
      <c r="A136" s="286"/>
      <c r="B136" s="286"/>
      <c r="C136" s="321"/>
      <c r="D136" s="8"/>
      <c r="E136" s="8"/>
      <c r="F136" s="8"/>
    </row>
    <row r="137" spans="1:6" s="439" customFormat="1" x14ac:dyDescent="0.2">
      <c r="A137" s="286"/>
      <c r="B137" s="286"/>
      <c r="C137" s="321"/>
      <c r="D137" s="8"/>
      <c r="E137" s="8"/>
      <c r="F137" s="8"/>
    </row>
    <row r="138" spans="1:6" s="439" customFormat="1" x14ac:dyDescent="0.2">
      <c r="A138" s="286"/>
      <c r="B138" s="286"/>
      <c r="C138" s="321"/>
      <c r="D138" s="8"/>
      <c r="E138" s="8"/>
      <c r="F138" s="8"/>
    </row>
    <row r="139" spans="1:6" s="439" customFormat="1" x14ac:dyDescent="0.2">
      <c r="A139" s="286"/>
      <c r="B139" s="286"/>
      <c r="C139" s="321"/>
      <c r="D139" s="8"/>
      <c r="E139" s="8"/>
      <c r="F139" s="8"/>
    </row>
    <row r="140" spans="1:6" s="439" customFormat="1" x14ac:dyDescent="0.2">
      <c r="A140" s="286"/>
      <c r="B140" s="286"/>
      <c r="C140" s="321"/>
      <c r="D140" s="8"/>
      <c r="E140" s="8"/>
      <c r="F140" s="8"/>
    </row>
    <row r="141" spans="1:6" s="439" customFormat="1" x14ac:dyDescent="0.2">
      <c r="A141" s="286"/>
      <c r="B141" s="286"/>
      <c r="C141" s="321"/>
      <c r="D141" s="8"/>
      <c r="E141" s="8"/>
      <c r="F141" s="8"/>
    </row>
    <row r="142" spans="1:6" s="439" customFormat="1" x14ac:dyDescent="0.2">
      <c r="A142" s="286"/>
      <c r="B142" s="286"/>
      <c r="C142" s="321"/>
      <c r="D142" s="8"/>
      <c r="E142" s="8"/>
      <c r="F142" s="8"/>
    </row>
    <row r="143" spans="1:6" s="439" customFormat="1" x14ac:dyDescent="0.2">
      <c r="A143" s="286"/>
      <c r="B143" s="286"/>
      <c r="C143" s="321"/>
      <c r="D143" s="8"/>
      <c r="E143" s="8"/>
      <c r="F143" s="8"/>
    </row>
    <row r="144" spans="1:6" s="439" customFormat="1" x14ac:dyDescent="0.2">
      <c r="A144" s="286"/>
      <c r="B144" s="286"/>
      <c r="C144" s="321"/>
      <c r="D144" s="8"/>
      <c r="E144" s="8"/>
      <c r="F144" s="8"/>
    </row>
    <row r="145" spans="1:6" s="439" customFormat="1" x14ac:dyDescent="0.2">
      <c r="A145" s="286"/>
      <c r="B145" s="286"/>
      <c r="C145" s="321"/>
      <c r="D145" s="8"/>
      <c r="E145" s="8"/>
      <c r="F145" s="8"/>
    </row>
    <row r="146" spans="1:6" s="439" customFormat="1" x14ac:dyDescent="0.2">
      <c r="A146" s="286"/>
      <c r="B146" s="286"/>
      <c r="C146" s="321"/>
      <c r="D146" s="8"/>
      <c r="E146" s="8"/>
      <c r="F146" s="8"/>
    </row>
    <row r="147" spans="1:6" s="439" customFormat="1" x14ac:dyDescent="0.2">
      <c r="A147" s="286"/>
      <c r="B147" s="286"/>
      <c r="C147" s="321"/>
      <c r="D147" s="8"/>
      <c r="E147" s="8"/>
      <c r="F147" s="8"/>
    </row>
  </sheetData>
  <sheetProtection formatCells="0"/>
  <mergeCells count="1">
    <mergeCell ref="A2:C2"/>
  </mergeCells>
  <hyperlinks>
    <hyperlink ref="A2" location="Index!A1" display="Back to Index" xr:uid="{6E11CA24-2067-402D-A7FA-2D577E8721D3}"/>
  </hyperlinks>
  <pageMargins left="0.74803149606299213" right="0.74803149606299213" top="0.98425196850393704" bottom="0.98425196850393704" header="0.51181102362204722" footer="0.51181102362204722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4EC5-1247-4C92-B8B3-19777EA03444}">
  <sheetPr>
    <tabColor indexed="47"/>
    <pageSetUpPr fitToPage="1"/>
  </sheetPr>
  <dimension ref="A1:K147"/>
  <sheetViews>
    <sheetView showGridLines="0" zoomScale="85" zoomScaleNormal="85" zoomScaleSheetLayoutView="80" workbookViewId="0"/>
  </sheetViews>
  <sheetFormatPr defaultColWidth="9.42578125" defaultRowHeight="14.25" x14ac:dyDescent="0.2"/>
  <cols>
    <col min="1" max="1" width="3" style="397" customWidth="1"/>
    <col min="2" max="2" width="5.42578125" style="397" customWidth="1"/>
    <col min="3" max="3" width="39.42578125" style="403" customWidth="1"/>
    <col min="4" max="6" width="11.42578125" style="439" customWidth="1"/>
    <col min="7" max="7" width="11.42578125" style="477" customWidth="1"/>
    <col min="8" max="8" width="11.42578125" style="397" customWidth="1"/>
    <col min="9" max="10" width="9.5703125" style="397" customWidth="1"/>
    <col min="11" max="16384" width="9.42578125" style="397"/>
  </cols>
  <sheetData>
    <row r="1" spans="1:9" s="4" customFormat="1" ht="20.25" x14ac:dyDescent="0.3">
      <c r="A1" s="3" t="s">
        <v>215</v>
      </c>
      <c r="D1" s="331"/>
      <c r="E1" s="331"/>
      <c r="F1" s="331"/>
      <c r="G1" s="5"/>
    </row>
    <row r="2" spans="1:9" s="6" customFormat="1" ht="45" x14ac:dyDescent="0.25">
      <c r="A2" s="729" t="s">
        <v>34</v>
      </c>
      <c r="B2" s="729"/>
      <c r="C2" s="729"/>
      <c r="D2" s="426">
        <v>46174</v>
      </c>
      <c r="E2" s="426">
        <v>45992</v>
      </c>
      <c r="F2" s="426">
        <v>45809</v>
      </c>
      <c r="G2" s="426" t="s">
        <v>474</v>
      </c>
      <c r="H2" s="332" t="s">
        <v>475</v>
      </c>
    </row>
    <row r="3" spans="1:9" s="294" customFormat="1" ht="6.75" customHeight="1" x14ac:dyDescent="0.25">
      <c r="A3" s="349"/>
      <c r="D3" s="333"/>
      <c r="E3" s="295"/>
      <c r="F3" s="295"/>
      <c r="G3" s="24"/>
    </row>
    <row r="4" spans="1:9" ht="15" x14ac:dyDescent="0.25">
      <c r="A4" s="337" t="s">
        <v>216</v>
      </c>
      <c r="B4" s="286"/>
      <c r="C4" s="321"/>
      <c r="D4" s="460"/>
      <c r="E4" s="461"/>
      <c r="F4" s="303"/>
      <c r="G4" s="407"/>
      <c r="H4" s="391"/>
      <c r="I4" s="286"/>
    </row>
    <row r="5" spans="1:9" s="462" customFormat="1" ht="15" x14ac:dyDescent="0.25">
      <c r="A5" s="462" t="s">
        <v>217</v>
      </c>
      <c r="D5" s="196">
        <v>1</v>
      </c>
      <c r="E5" s="463">
        <v>1</v>
      </c>
      <c r="F5" s="463">
        <v>1</v>
      </c>
      <c r="G5" s="198">
        <v>0</v>
      </c>
      <c r="H5" s="198">
        <v>0</v>
      </c>
    </row>
    <row r="6" spans="1:9" s="467" customFormat="1" x14ac:dyDescent="0.2">
      <c r="A6" s="464" t="s">
        <v>157</v>
      </c>
      <c r="B6" s="465"/>
      <c r="C6" s="465"/>
      <c r="D6" s="197"/>
      <c r="E6" s="319"/>
      <c r="F6" s="319"/>
      <c r="G6" s="466"/>
      <c r="H6" s="466"/>
      <c r="I6" s="465"/>
    </row>
    <row r="7" spans="1:9" s="467" customFormat="1" x14ac:dyDescent="0.2">
      <c r="A7" s="465"/>
      <c r="B7" s="286" t="s">
        <v>20</v>
      </c>
      <c r="C7" s="468"/>
      <c r="D7" s="197">
        <v>0.8</v>
      </c>
      <c r="E7" s="319">
        <v>0.8</v>
      </c>
      <c r="F7" s="319">
        <v>0.8</v>
      </c>
      <c r="G7" s="466">
        <v>0</v>
      </c>
      <c r="H7" s="198">
        <v>0</v>
      </c>
      <c r="I7" s="465"/>
    </row>
    <row r="8" spans="1:9" s="467" customFormat="1" x14ac:dyDescent="0.2">
      <c r="A8" s="465"/>
      <c r="B8" s="286" t="s">
        <v>218</v>
      </c>
      <c r="C8" s="465"/>
      <c r="D8" s="197">
        <v>1</v>
      </c>
      <c r="E8" s="319">
        <v>1.1000000000000001</v>
      </c>
      <c r="F8" s="319">
        <v>1.1000000000000001</v>
      </c>
      <c r="G8" s="199">
        <v>-0.10000000000000009</v>
      </c>
      <c r="H8" s="198">
        <v>-0.10000000000000009</v>
      </c>
      <c r="I8" s="465"/>
    </row>
    <row r="9" spans="1:9" s="467" customFormat="1" ht="4.3499999999999996" customHeight="1" x14ac:dyDescent="0.2">
      <c r="A9" s="465"/>
      <c r="B9" s="469"/>
      <c r="C9" s="465"/>
      <c r="D9" s="197"/>
      <c r="E9" s="319"/>
      <c r="F9" s="319"/>
      <c r="G9" s="466"/>
      <c r="H9" s="466"/>
      <c r="I9" s="465"/>
    </row>
    <row r="10" spans="1:9" s="467" customFormat="1" ht="16.5" x14ac:dyDescent="0.2">
      <c r="A10" s="433" t="s">
        <v>219</v>
      </c>
      <c r="B10" s="465"/>
      <c r="C10" s="465"/>
      <c r="D10" s="197"/>
      <c r="E10" s="319"/>
      <c r="F10" s="319"/>
      <c r="G10" s="466"/>
      <c r="H10" s="466"/>
      <c r="I10" s="465"/>
    </row>
    <row r="11" spans="1:9" s="467" customFormat="1" x14ac:dyDescent="0.2">
      <c r="A11" s="465"/>
      <c r="B11" s="465" t="s">
        <v>25</v>
      </c>
      <c r="C11" s="323"/>
      <c r="D11" s="197">
        <v>0.9</v>
      </c>
      <c r="E11" s="319">
        <v>0.9</v>
      </c>
      <c r="F11" s="319">
        <v>0.9</v>
      </c>
      <c r="G11" s="198">
        <v>0</v>
      </c>
      <c r="H11" s="198">
        <v>0</v>
      </c>
      <c r="I11" s="465"/>
    </row>
    <row r="12" spans="1:9" s="467" customFormat="1" x14ac:dyDescent="0.2">
      <c r="A12" s="465"/>
      <c r="B12" s="470" t="s">
        <v>26</v>
      </c>
      <c r="C12" s="465"/>
      <c r="D12" s="197">
        <v>2.2000000000000002</v>
      </c>
      <c r="E12" s="319">
        <v>2.4</v>
      </c>
      <c r="F12" s="319">
        <v>1.7</v>
      </c>
      <c r="G12" s="466">
        <v>0.50000000000000022</v>
      </c>
      <c r="H12" s="466">
        <v>-0.19999999999999973</v>
      </c>
      <c r="I12" s="465"/>
    </row>
    <row r="13" spans="1:9" s="467" customFormat="1" x14ac:dyDescent="0.2">
      <c r="A13" s="465"/>
      <c r="B13" s="470" t="s">
        <v>220</v>
      </c>
      <c r="C13" s="465"/>
      <c r="D13" s="197">
        <v>1.3</v>
      </c>
      <c r="E13" s="319">
        <v>1.4</v>
      </c>
      <c r="F13" s="319">
        <v>1.5</v>
      </c>
      <c r="G13" s="466">
        <v>-0.19999999999999996</v>
      </c>
      <c r="H13" s="466">
        <v>-9.9999999999999867E-2</v>
      </c>
      <c r="I13" s="465"/>
    </row>
    <row r="14" spans="1:9" s="467" customFormat="1" x14ac:dyDescent="0.2">
      <c r="A14" s="465"/>
      <c r="B14" s="470" t="s">
        <v>28</v>
      </c>
      <c r="C14" s="465"/>
      <c r="D14" s="197">
        <v>0.8</v>
      </c>
      <c r="E14" s="319">
        <v>0.9</v>
      </c>
      <c r="F14" s="319">
        <v>1.3</v>
      </c>
      <c r="G14" s="199">
        <v>-0.5</v>
      </c>
      <c r="H14" s="466">
        <v>-9.9999999999999978E-2</v>
      </c>
      <c r="I14" s="465"/>
    </row>
    <row r="15" spans="1:9" s="467" customFormat="1" x14ac:dyDescent="0.2">
      <c r="A15" s="465"/>
      <c r="B15" s="470" t="s">
        <v>136</v>
      </c>
      <c r="C15" s="465"/>
      <c r="D15" s="197">
        <v>0.2</v>
      </c>
      <c r="E15" s="319">
        <v>0.2</v>
      </c>
      <c r="F15" s="319">
        <v>0.4</v>
      </c>
      <c r="G15" s="199">
        <v>-0.2</v>
      </c>
      <c r="H15" s="466">
        <v>0</v>
      </c>
      <c r="I15" s="465"/>
    </row>
    <row r="16" spans="1:9" s="467" customFormat="1" x14ac:dyDescent="0.2">
      <c r="A16" s="465"/>
      <c r="B16" s="465"/>
      <c r="C16" s="464"/>
      <c r="D16" s="197"/>
      <c r="E16" s="319"/>
      <c r="F16" s="319"/>
      <c r="G16" s="466"/>
      <c r="H16" s="468"/>
      <c r="I16" s="465"/>
    </row>
    <row r="17" spans="1:11" ht="15" x14ac:dyDescent="0.25">
      <c r="A17" s="337" t="s">
        <v>221</v>
      </c>
      <c r="B17" s="286"/>
      <c r="C17" s="369"/>
      <c r="D17" s="195"/>
      <c r="E17" s="303"/>
      <c r="F17" s="303"/>
      <c r="G17" s="466"/>
      <c r="H17" s="356"/>
      <c r="I17" s="286"/>
      <c r="J17" s="286"/>
      <c r="K17" s="286"/>
    </row>
    <row r="18" spans="1:11" s="286" customFormat="1" x14ac:dyDescent="0.2">
      <c r="A18" s="286" t="s">
        <v>222</v>
      </c>
      <c r="D18" s="195">
        <v>130</v>
      </c>
      <c r="E18" s="303">
        <v>130</v>
      </c>
      <c r="F18" s="303">
        <v>137</v>
      </c>
      <c r="G18" s="200">
        <v>-7</v>
      </c>
      <c r="H18" s="471">
        <v>0</v>
      </c>
    </row>
    <row r="19" spans="1:11" s="286" customFormat="1" x14ac:dyDescent="0.2">
      <c r="A19" s="286" t="s">
        <v>223</v>
      </c>
      <c r="C19" s="321"/>
      <c r="D19" s="195">
        <v>196</v>
      </c>
      <c r="E19" s="303">
        <v>197</v>
      </c>
      <c r="F19" s="303">
        <v>236</v>
      </c>
      <c r="G19" s="200">
        <v>-40</v>
      </c>
      <c r="H19" s="471">
        <v>-1</v>
      </c>
    </row>
    <row r="20" spans="1:11" s="294" customFormat="1" ht="15" x14ac:dyDescent="0.25">
      <c r="C20" s="472"/>
      <c r="D20" s="473"/>
      <c r="E20" s="307"/>
      <c r="F20" s="307"/>
      <c r="G20" s="474"/>
      <c r="H20" s="475"/>
    </row>
    <row r="21" spans="1:11" x14ac:dyDescent="0.2">
      <c r="A21" s="326"/>
      <c r="B21" s="286"/>
      <c r="C21" s="321"/>
      <c r="D21" s="461"/>
      <c r="E21" s="461"/>
      <c r="F21" s="461"/>
      <c r="G21" s="287"/>
      <c r="H21" s="286"/>
      <c r="I21" s="286"/>
      <c r="J21" s="286"/>
      <c r="K21" s="286"/>
    </row>
    <row r="22" spans="1:11" s="286" customFormat="1" x14ac:dyDescent="0.2">
      <c r="A22" s="422" t="s">
        <v>119</v>
      </c>
      <c r="B22" s="422" t="s">
        <v>224</v>
      </c>
      <c r="C22" s="321"/>
      <c r="D22" s="303"/>
      <c r="E22" s="303"/>
      <c r="F22" s="303"/>
      <c r="G22" s="287"/>
    </row>
    <row r="23" spans="1:11" x14ac:dyDescent="0.2">
      <c r="A23" s="326"/>
      <c r="B23" s="327"/>
      <c r="C23" s="476"/>
      <c r="D23" s="476"/>
      <c r="E23" s="476"/>
      <c r="F23" s="476"/>
      <c r="G23" s="356"/>
      <c r="H23" s="286"/>
      <c r="I23" s="286"/>
      <c r="J23" s="286"/>
      <c r="K23" s="286"/>
    </row>
    <row r="24" spans="1:11" x14ac:dyDescent="0.2">
      <c r="A24" s="286"/>
      <c r="B24" s="327"/>
      <c r="C24" s="321"/>
      <c r="D24" s="8"/>
      <c r="E24" s="8"/>
      <c r="F24" s="8"/>
      <c r="G24" s="356"/>
      <c r="H24" s="286"/>
      <c r="I24" s="286"/>
      <c r="J24" s="286"/>
      <c r="K24" s="286"/>
    </row>
    <row r="25" spans="1:11" x14ac:dyDescent="0.2">
      <c r="A25" s="286"/>
      <c r="B25" s="286"/>
      <c r="C25" s="321"/>
      <c r="D25" s="292"/>
      <c r="E25" s="292"/>
      <c r="F25" s="292"/>
      <c r="G25" s="356"/>
      <c r="H25" s="286"/>
      <c r="I25" s="286"/>
      <c r="J25" s="286"/>
      <c r="K25" s="286"/>
    </row>
    <row r="26" spans="1:11" x14ac:dyDescent="0.2">
      <c r="A26" s="286"/>
      <c r="B26" s="286"/>
      <c r="C26" s="321"/>
      <c r="D26" s="292"/>
      <c r="E26" s="292"/>
      <c r="F26" s="292"/>
      <c r="G26" s="356"/>
      <c r="H26" s="286"/>
      <c r="I26" s="286"/>
      <c r="J26" s="286"/>
      <c r="K26" s="286"/>
    </row>
    <row r="27" spans="1:11" x14ac:dyDescent="0.2">
      <c r="A27" s="286"/>
      <c r="B27" s="286"/>
      <c r="C27" s="321"/>
      <c r="D27" s="292"/>
      <c r="E27" s="292"/>
      <c r="F27" s="292"/>
      <c r="G27" s="356"/>
      <c r="H27" s="286"/>
      <c r="I27" s="286"/>
      <c r="J27" s="286"/>
      <c r="K27" s="286"/>
    </row>
    <row r="28" spans="1:11" x14ac:dyDescent="0.2">
      <c r="A28" s="286"/>
      <c r="B28" s="286"/>
      <c r="C28" s="321"/>
      <c r="D28" s="292"/>
      <c r="E28" s="292"/>
      <c r="F28" s="292"/>
      <c r="G28" s="356"/>
      <c r="H28" s="286"/>
      <c r="I28" s="286"/>
      <c r="J28" s="286"/>
      <c r="K28" s="286"/>
    </row>
    <row r="29" spans="1:11" x14ac:dyDescent="0.2">
      <c r="A29" s="286"/>
      <c r="B29" s="286"/>
      <c r="C29" s="321"/>
      <c r="D29" s="292"/>
      <c r="E29" s="292"/>
      <c r="F29" s="292"/>
      <c r="G29" s="356"/>
      <c r="H29" s="286"/>
      <c r="I29" s="286"/>
      <c r="J29" s="286"/>
      <c r="K29" s="286"/>
    </row>
    <row r="30" spans="1:11" x14ac:dyDescent="0.2">
      <c r="A30" s="286"/>
      <c r="B30" s="286"/>
      <c r="C30" s="321"/>
      <c r="D30" s="292"/>
      <c r="E30" s="292"/>
      <c r="F30" s="292"/>
      <c r="G30" s="356"/>
      <c r="H30" s="286"/>
      <c r="I30" s="286"/>
      <c r="J30" s="286"/>
      <c r="K30" s="286"/>
    </row>
    <row r="31" spans="1:11" x14ac:dyDescent="0.2">
      <c r="A31" s="286"/>
      <c r="B31" s="286"/>
      <c r="C31" s="321"/>
      <c r="D31" s="292"/>
      <c r="E31" s="292"/>
      <c r="F31" s="292"/>
      <c r="G31" s="356"/>
      <c r="H31" s="286"/>
      <c r="I31" s="286"/>
      <c r="J31" s="286"/>
      <c r="K31" s="286"/>
    </row>
    <row r="32" spans="1:11" x14ac:dyDescent="0.2">
      <c r="A32" s="286"/>
      <c r="B32" s="286"/>
      <c r="C32" s="321"/>
      <c r="D32" s="292"/>
      <c r="E32" s="292"/>
      <c r="F32" s="292"/>
      <c r="G32" s="356"/>
      <c r="H32" s="286"/>
      <c r="I32" s="286"/>
      <c r="J32" s="286"/>
      <c r="K32" s="286"/>
    </row>
    <row r="33" spans="1:11" x14ac:dyDescent="0.2">
      <c r="A33" s="286"/>
      <c r="B33" s="286"/>
      <c r="C33" s="321"/>
      <c r="D33" s="292"/>
      <c r="E33" s="292"/>
      <c r="F33" s="292"/>
      <c r="G33" s="356"/>
      <c r="H33" s="286"/>
      <c r="I33" s="286"/>
      <c r="J33" s="286"/>
      <c r="K33" s="286"/>
    </row>
    <row r="34" spans="1:11" x14ac:dyDescent="0.2">
      <c r="A34" s="286"/>
      <c r="B34" s="286"/>
      <c r="C34" s="321"/>
      <c r="D34" s="292"/>
      <c r="E34" s="292"/>
      <c r="F34" s="292"/>
      <c r="G34" s="356"/>
      <c r="H34" s="286"/>
      <c r="I34" s="286"/>
      <c r="J34" s="286"/>
      <c r="K34" s="286"/>
    </row>
    <row r="35" spans="1:11" x14ac:dyDescent="0.2">
      <c r="A35" s="286"/>
      <c r="B35" s="286"/>
      <c r="C35" s="321"/>
      <c r="D35" s="292"/>
      <c r="E35" s="292"/>
      <c r="F35" s="292"/>
      <c r="G35" s="356"/>
      <c r="H35" s="286"/>
      <c r="I35" s="286"/>
      <c r="J35" s="286"/>
      <c r="K35" s="286"/>
    </row>
    <row r="36" spans="1:11" x14ac:dyDescent="0.2">
      <c r="A36" s="286"/>
      <c r="B36" s="286"/>
      <c r="C36" s="321"/>
      <c r="D36" s="292"/>
      <c r="E36" s="292"/>
      <c r="F36" s="292"/>
      <c r="G36" s="356"/>
      <c r="H36" s="286"/>
      <c r="I36" s="286"/>
      <c r="J36" s="286"/>
      <c r="K36" s="286"/>
    </row>
    <row r="37" spans="1:11" x14ac:dyDescent="0.2">
      <c r="A37" s="286"/>
      <c r="B37" s="286"/>
      <c r="C37" s="321"/>
      <c r="D37" s="292"/>
      <c r="E37" s="292"/>
      <c r="F37" s="292"/>
      <c r="G37" s="356"/>
      <c r="H37" s="286"/>
      <c r="I37" s="286"/>
      <c r="J37" s="286"/>
      <c r="K37" s="286"/>
    </row>
    <row r="38" spans="1:11" x14ac:dyDescent="0.2">
      <c r="A38" s="286"/>
      <c r="B38" s="286"/>
      <c r="C38" s="321"/>
      <c r="D38" s="292"/>
      <c r="E38" s="292"/>
      <c r="F38" s="292"/>
      <c r="G38" s="356"/>
      <c r="H38" s="286"/>
      <c r="I38" s="286"/>
      <c r="J38" s="286"/>
      <c r="K38" s="286"/>
    </row>
    <row r="39" spans="1:11" x14ac:dyDescent="0.2">
      <c r="A39" s="286"/>
      <c r="B39" s="286"/>
      <c r="C39" s="321"/>
      <c r="D39" s="293"/>
      <c r="E39" s="293"/>
      <c r="F39" s="293"/>
      <c r="G39" s="356"/>
      <c r="H39" s="286"/>
      <c r="I39" s="286"/>
      <c r="J39" s="286"/>
      <c r="K39" s="286"/>
    </row>
    <row r="40" spans="1:11" x14ac:dyDescent="0.2">
      <c r="A40" s="286"/>
      <c r="B40" s="286"/>
      <c r="C40" s="321"/>
      <c r="D40" s="293"/>
      <c r="E40" s="293"/>
      <c r="F40" s="293"/>
      <c r="G40" s="356"/>
      <c r="H40" s="286"/>
      <c r="I40" s="286"/>
      <c r="J40" s="286"/>
      <c r="K40" s="286"/>
    </row>
    <row r="41" spans="1:11" x14ac:dyDescent="0.2">
      <c r="A41" s="286"/>
      <c r="B41" s="286"/>
      <c r="C41" s="321"/>
      <c r="D41" s="293"/>
      <c r="E41" s="293"/>
      <c r="F41" s="293"/>
      <c r="G41" s="356"/>
      <c r="H41" s="286"/>
      <c r="I41" s="286"/>
      <c r="J41" s="286"/>
      <c r="K41" s="286"/>
    </row>
    <row r="42" spans="1:11" x14ac:dyDescent="0.2">
      <c r="A42" s="286"/>
      <c r="B42" s="286"/>
      <c r="C42" s="321"/>
      <c r="D42" s="293"/>
      <c r="E42" s="293"/>
      <c r="F42" s="293"/>
      <c r="G42" s="356"/>
      <c r="H42" s="286"/>
      <c r="I42" s="286"/>
      <c r="J42" s="286"/>
      <c r="K42" s="286"/>
    </row>
    <row r="43" spans="1:11" x14ac:dyDescent="0.2">
      <c r="A43" s="286"/>
      <c r="B43" s="286"/>
      <c r="C43" s="321"/>
      <c r="D43" s="293"/>
      <c r="E43" s="293"/>
      <c r="F43" s="293"/>
      <c r="G43" s="356"/>
      <c r="H43" s="286"/>
      <c r="I43" s="286"/>
      <c r="J43" s="286"/>
      <c r="K43" s="286"/>
    </row>
    <row r="44" spans="1:11" x14ac:dyDescent="0.2">
      <c r="A44" s="286"/>
      <c r="B44" s="286"/>
      <c r="C44" s="321"/>
      <c r="D44" s="293"/>
      <c r="E44" s="293"/>
      <c r="F44" s="293"/>
      <c r="G44" s="356"/>
      <c r="H44" s="286"/>
      <c r="I44" s="286"/>
      <c r="J44" s="286"/>
      <c r="K44" s="286"/>
    </row>
    <row r="45" spans="1:11" x14ac:dyDescent="0.2">
      <c r="A45" s="286"/>
      <c r="B45" s="286"/>
      <c r="C45" s="321"/>
      <c r="D45" s="293"/>
      <c r="E45" s="293"/>
      <c r="F45" s="293"/>
      <c r="G45" s="356"/>
      <c r="H45" s="286"/>
      <c r="I45" s="286"/>
      <c r="J45" s="286"/>
      <c r="K45" s="286"/>
    </row>
    <row r="46" spans="1:11" x14ac:dyDescent="0.2">
      <c r="A46" s="286"/>
      <c r="B46" s="286"/>
      <c r="C46" s="321"/>
      <c r="D46" s="293"/>
      <c r="E46" s="293"/>
      <c r="F46" s="293"/>
      <c r="G46" s="356"/>
      <c r="H46" s="286"/>
      <c r="I46" s="286"/>
      <c r="J46" s="286"/>
      <c r="K46" s="286"/>
    </row>
    <row r="47" spans="1:11" x14ac:dyDescent="0.2">
      <c r="A47" s="286"/>
      <c r="B47" s="286"/>
      <c r="C47" s="321"/>
      <c r="D47" s="293"/>
      <c r="E47" s="293"/>
      <c r="F47" s="293"/>
      <c r="G47" s="356"/>
      <c r="H47" s="286"/>
      <c r="I47" s="286"/>
      <c r="J47" s="286"/>
      <c r="K47" s="286"/>
    </row>
    <row r="48" spans="1:11" x14ac:dyDescent="0.2">
      <c r="A48" s="286"/>
      <c r="B48" s="286"/>
      <c r="C48" s="321"/>
      <c r="D48" s="293"/>
      <c r="E48" s="293"/>
      <c r="F48" s="293"/>
      <c r="G48" s="356"/>
      <c r="H48" s="286"/>
      <c r="I48" s="286"/>
      <c r="J48" s="286"/>
      <c r="K48" s="286"/>
    </row>
    <row r="49" spans="4:6" x14ac:dyDescent="0.2">
      <c r="D49" s="293"/>
      <c r="E49" s="293"/>
      <c r="F49" s="293"/>
    </row>
    <row r="50" spans="4:6" x14ac:dyDescent="0.2">
      <c r="D50" s="293"/>
      <c r="E50" s="293"/>
      <c r="F50" s="293"/>
    </row>
    <row r="51" spans="4:6" x14ac:dyDescent="0.2">
      <c r="D51" s="293"/>
      <c r="E51" s="293"/>
      <c r="F51" s="293"/>
    </row>
    <row r="52" spans="4:6" x14ac:dyDescent="0.2">
      <c r="D52" s="293"/>
      <c r="E52" s="293"/>
      <c r="F52" s="293"/>
    </row>
    <row r="53" spans="4:6" x14ac:dyDescent="0.2">
      <c r="D53" s="293"/>
      <c r="E53" s="293"/>
      <c r="F53" s="293"/>
    </row>
    <row r="54" spans="4:6" x14ac:dyDescent="0.2">
      <c r="D54" s="293"/>
      <c r="E54" s="293"/>
      <c r="F54" s="293"/>
    </row>
    <row r="55" spans="4:6" x14ac:dyDescent="0.2">
      <c r="D55" s="293"/>
      <c r="E55" s="293"/>
      <c r="F55" s="293"/>
    </row>
    <row r="56" spans="4:6" x14ac:dyDescent="0.2">
      <c r="D56" s="293"/>
      <c r="E56" s="293"/>
      <c r="F56" s="293"/>
    </row>
    <row r="57" spans="4:6" x14ac:dyDescent="0.2">
      <c r="D57" s="293"/>
      <c r="E57" s="293"/>
      <c r="F57" s="293"/>
    </row>
    <row r="58" spans="4:6" x14ac:dyDescent="0.2">
      <c r="D58" s="293"/>
      <c r="E58" s="293"/>
      <c r="F58" s="293"/>
    </row>
    <row r="59" spans="4:6" x14ac:dyDescent="0.2">
      <c r="D59" s="293"/>
      <c r="E59" s="293"/>
      <c r="F59" s="293"/>
    </row>
    <row r="60" spans="4:6" x14ac:dyDescent="0.2">
      <c r="D60" s="293"/>
      <c r="E60" s="293"/>
      <c r="F60" s="293"/>
    </row>
    <row r="61" spans="4:6" x14ac:dyDescent="0.2">
      <c r="D61" s="293"/>
      <c r="E61" s="293"/>
      <c r="F61" s="293"/>
    </row>
    <row r="62" spans="4:6" x14ac:dyDescent="0.2">
      <c r="D62" s="293"/>
      <c r="E62" s="293"/>
      <c r="F62" s="293"/>
    </row>
    <row r="63" spans="4:6" x14ac:dyDescent="0.2">
      <c r="D63" s="293"/>
      <c r="E63" s="293"/>
      <c r="F63" s="293"/>
    </row>
    <row r="64" spans="4:6" x14ac:dyDescent="0.2">
      <c r="D64" s="293"/>
      <c r="E64" s="293"/>
      <c r="F64" s="293"/>
    </row>
    <row r="65" spans="4:6" x14ac:dyDescent="0.2">
      <c r="D65" s="293"/>
      <c r="E65" s="293"/>
      <c r="F65" s="293"/>
    </row>
    <row r="66" spans="4:6" x14ac:dyDescent="0.2">
      <c r="D66" s="293"/>
      <c r="E66" s="293"/>
      <c r="F66" s="293"/>
    </row>
    <row r="67" spans="4:6" x14ac:dyDescent="0.2">
      <c r="D67" s="293"/>
      <c r="E67" s="293"/>
      <c r="F67" s="293"/>
    </row>
    <row r="68" spans="4:6" x14ac:dyDescent="0.2">
      <c r="D68" s="293"/>
      <c r="E68" s="293"/>
      <c r="F68" s="293"/>
    </row>
    <row r="69" spans="4:6" x14ac:dyDescent="0.2">
      <c r="D69" s="293"/>
      <c r="E69" s="293"/>
      <c r="F69" s="293"/>
    </row>
    <row r="70" spans="4:6" x14ac:dyDescent="0.2">
      <c r="D70" s="293"/>
      <c r="E70" s="293"/>
      <c r="F70" s="293"/>
    </row>
    <row r="71" spans="4:6" x14ac:dyDescent="0.2">
      <c r="D71" s="293"/>
      <c r="E71" s="293"/>
      <c r="F71" s="293"/>
    </row>
    <row r="72" spans="4:6" x14ac:dyDescent="0.2">
      <c r="D72" s="293"/>
      <c r="E72" s="293"/>
      <c r="F72" s="293"/>
    </row>
    <row r="73" spans="4:6" x14ac:dyDescent="0.2">
      <c r="D73" s="293"/>
      <c r="E73" s="293"/>
      <c r="F73" s="293"/>
    </row>
    <row r="74" spans="4:6" x14ac:dyDescent="0.2">
      <c r="D74" s="293"/>
      <c r="E74" s="293"/>
      <c r="F74" s="293"/>
    </row>
    <row r="75" spans="4:6" x14ac:dyDescent="0.2">
      <c r="D75" s="293"/>
      <c r="E75" s="293"/>
      <c r="F75" s="293"/>
    </row>
    <row r="76" spans="4:6" x14ac:dyDescent="0.2">
      <c r="D76" s="293"/>
      <c r="E76" s="293"/>
      <c r="F76" s="293"/>
    </row>
    <row r="77" spans="4:6" x14ac:dyDescent="0.2">
      <c r="D77" s="293"/>
      <c r="E77" s="293"/>
      <c r="F77" s="293"/>
    </row>
    <row r="78" spans="4:6" x14ac:dyDescent="0.2">
      <c r="D78" s="293"/>
      <c r="E78" s="293"/>
      <c r="F78" s="293"/>
    </row>
    <row r="79" spans="4:6" x14ac:dyDescent="0.2">
      <c r="D79" s="293"/>
      <c r="E79" s="293"/>
      <c r="F79" s="293"/>
    </row>
    <row r="80" spans="4:6" x14ac:dyDescent="0.2">
      <c r="D80" s="293"/>
      <c r="E80" s="293"/>
      <c r="F80" s="293"/>
    </row>
    <row r="81" spans="4:6" x14ac:dyDescent="0.2">
      <c r="D81" s="293"/>
      <c r="E81" s="293"/>
      <c r="F81" s="293"/>
    </row>
    <row r="82" spans="4:6" x14ac:dyDescent="0.2">
      <c r="D82" s="293"/>
      <c r="E82" s="293"/>
      <c r="F82" s="293"/>
    </row>
    <row r="83" spans="4:6" x14ac:dyDescent="0.2">
      <c r="D83" s="293"/>
      <c r="E83" s="293"/>
      <c r="F83" s="293"/>
    </row>
    <row r="84" spans="4:6" x14ac:dyDescent="0.2">
      <c r="D84" s="293"/>
      <c r="E84" s="293"/>
      <c r="F84" s="293"/>
    </row>
    <row r="85" spans="4:6" x14ac:dyDescent="0.2">
      <c r="D85" s="293"/>
      <c r="E85" s="293"/>
      <c r="F85" s="293"/>
    </row>
    <row r="86" spans="4:6" x14ac:dyDescent="0.2">
      <c r="D86" s="293"/>
      <c r="E86" s="293"/>
      <c r="F86" s="293"/>
    </row>
    <row r="87" spans="4:6" x14ac:dyDescent="0.2">
      <c r="D87" s="293"/>
      <c r="E87" s="293"/>
      <c r="F87" s="293"/>
    </row>
    <row r="88" spans="4:6" x14ac:dyDescent="0.2">
      <c r="D88" s="293"/>
      <c r="E88" s="293"/>
      <c r="F88" s="293"/>
    </row>
    <row r="89" spans="4:6" x14ac:dyDescent="0.2">
      <c r="D89" s="293"/>
      <c r="E89" s="293"/>
      <c r="F89" s="293"/>
    </row>
    <row r="90" spans="4:6" x14ac:dyDescent="0.2">
      <c r="D90" s="293"/>
      <c r="E90" s="293"/>
      <c r="F90" s="293"/>
    </row>
    <row r="91" spans="4:6" x14ac:dyDescent="0.2">
      <c r="D91" s="293"/>
      <c r="E91" s="293"/>
      <c r="F91" s="293"/>
    </row>
    <row r="92" spans="4:6" x14ac:dyDescent="0.2">
      <c r="D92" s="293"/>
      <c r="E92" s="293"/>
      <c r="F92" s="293"/>
    </row>
    <row r="93" spans="4:6" x14ac:dyDescent="0.2">
      <c r="D93" s="293"/>
      <c r="E93" s="293"/>
      <c r="F93" s="293"/>
    </row>
    <row r="94" spans="4:6" x14ac:dyDescent="0.2">
      <c r="D94" s="293"/>
      <c r="E94" s="293"/>
      <c r="F94" s="293"/>
    </row>
    <row r="95" spans="4:6" x14ac:dyDescent="0.2">
      <c r="D95" s="293"/>
      <c r="E95" s="293"/>
      <c r="F95" s="293"/>
    </row>
    <row r="96" spans="4:6" x14ac:dyDescent="0.2">
      <c r="D96" s="293"/>
      <c r="E96" s="293"/>
      <c r="F96" s="293"/>
    </row>
    <row r="97" spans="4:6" x14ac:dyDescent="0.2">
      <c r="D97" s="293"/>
      <c r="E97" s="293"/>
      <c r="F97" s="293"/>
    </row>
    <row r="98" spans="4:6" x14ac:dyDescent="0.2">
      <c r="D98" s="293"/>
      <c r="E98" s="293"/>
      <c r="F98" s="293"/>
    </row>
    <row r="99" spans="4:6" x14ac:dyDescent="0.2">
      <c r="D99" s="293"/>
      <c r="E99" s="293"/>
      <c r="F99" s="293"/>
    </row>
    <row r="100" spans="4:6" x14ac:dyDescent="0.2">
      <c r="D100" s="293"/>
      <c r="E100" s="293"/>
      <c r="F100" s="293"/>
    </row>
    <row r="101" spans="4:6" x14ac:dyDescent="0.2">
      <c r="D101" s="293"/>
      <c r="E101" s="293"/>
      <c r="F101" s="293"/>
    </row>
    <row r="102" spans="4:6" x14ac:dyDescent="0.2">
      <c r="D102" s="293"/>
      <c r="E102" s="293"/>
      <c r="F102" s="293"/>
    </row>
    <row r="103" spans="4:6" x14ac:dyDescent="0.2">
      <c r="D103" s="293"/>
      <c r="E103" s="293"/>
      <c r="F103" s="293"/>
    </row>
    <row r="104" spans="4:6" x14ac:dyDescent="0.2">
      <c r="D104" s="293"/>
      <c r="E104" s="293"/>
      <c r="F104" s="293"/>
    </row>
    <row r="105" spans="4:6" x14ac:dyDescent="0.2">
      <c r="D105" s="293"/>
      <c r="E105" s="293"/>
      <c r="F105" s="293"/>
    </row>
    <row r="106" spans="4:6" x14ac:dyDescent="0.2">
      <c r="D106" s="293"/>
      <c r="E106" s="293"/>
      <c r="F106" s="293"/>
    </row>
    <row r="107" spans="4:6" x14ac:dyDescent="0.2">
      <c r="D107" s="293"/>
      <c r="E107" s="293"/>
      <c r="F107" s="293"/>
    </row>
    <row r="108" spans="4:6" x14ac:dyDescent="0.2">
      <c r="D108" s="293"/>
      <c r="E108" s="293"/>
      <c r="F108" s="293"/>
    </row>
    <row r="109" spans="4:6" x14ac:dyDescent="0.2">
      <c r="D109" s="293"/>
      <c r="E109" s="293"/>
      <c r="F109" s="293"/>
    </row>
    <row r="110" spans="4:6" x14ac:dyDescent="0.2">
      <c r="D110" s="293"/>
      <c r="E110" s="293"/>
      <c r="F110" s="293"/>
    </row>
    <row r="111" spans="4:6" x14ac:dyDescent="0.2">
      <c r="D111" s="293"/>
      <c r="E111" s="293"/>
      <c r="F111" s="293"/>
    </row>
    <row r="112" spans="4:6" x14ac:dyDescent="0.2">
      <c r="D112" s="293"/>
      <c r="E112" s="293"/>
      <c r="F112" s="293"/>
    </row>
    <row r="113" spans="4:6" x14ac:dyDescent="0.2">
      <c r="D113" s="293"/>
      <c r="E113" s="293"/>
      <c r="F113" s="293"/>
    </row>
    <row r="114" spans="4:6" x14ac:dyDescent="0.2">
      <c r="D114" s="293"/>
      <c r="E114" s="293"/>
      <c r="F114" s="293"/>
    </row>
    <row r="115" spans="4:6" x14ac:dyDescent="0.2">
      <c r="D115" s="293"/>
      <c r="E115" s="293"/>
      <c r="F115" s="293"/>
    </row>
    <row r="116" spans="4:6" x14ac:dyDescent="0.2">
      <c r="D116" s="293"/>
      <c r="E116" s="293"/>
      <c r="F116" s="293"/>
    </row>
    <row r="117" spans="4:6" x14ac:dyDescent="0.2">
      <c r="D117" s="293"/>
      <c r="E117" s="293"/>
      <c r="F117" s="293"/>
    </row>
    <row r="118" spans="4:6" x14ac:dyDescent="0.2">
      <c r="D118" s="293"/>
      <c r="E118" s="293"/>
      <c r="F118" s="293"/>
    </row>
    <row r="119" spans="4:6" x14ac:dyDescent="0.2">
      <c r="D119" s="293"/>
      <c r="E119" s="293"/>
      <c r="F119" s="293"/>
    </row>
    <row r="120" spans="4:6" x14ac:dyDescent="0.2">
      <c r="D120" s="293"/>
      <c r="E120" s="293"/>
      <c r="F120" s="293"/>
    </row>
    <row r="121" spans="4:6" x14ac:dyDescent="0.2">
      <c r="D121" s="293"/>
      <c r="E121" s="293"/>
      <c r="F121" s="293"/>
    </row>
    <row r="122" spans="4:6" x14ac:dyDescent="0.2">
      <c r="D122" s="293"/>
      <c r="E122" s="293"/>
      <c r="F122" s="293"/>
    </row>
    <row r="123" spans="4:6" x14ac:dyDescent="0.2">
      <c r="D123" s="293"/>
      <c r="E123" s="293"/>
      <c r="F123" s="293"/>
    </row>
    <row r="124" spans="4:6" x14ac:dyDescent="0.2">
      <c r="D124" s="293"/>
      <c r="E124" s="293"/>
      <c r="F124" s="293"/>
    </row>
    <row r="125" spans="4:6" x14ac:dyDescent="0.2">
      <c r="D125" s="293"/>
      <c r="E125" s="293"/>
      <c r="F125" s="293"/>
    </row>
    <row r="126" spans="4:6" x14ac:dyDescent="0.2">
      <c r="D126" s="293"/>
      <c r="E126" s="293"/>
      <c r="F126" s="293"/>
    </row>
    <row r="127" spans="4:6" x14ac:dyDescent="0.2">
      <c r="D127" s="293"/>
      <c r="E127" s="293"/>
      <c r="F127" s="293"/>
    </row>
    <row r="128" spans="4:6" x14ac:dyDescent="0.2">
      <c r="D128" s="293"/>
      <c r="E128" s="293"/>
      <c r="F128" s="293"/>
    </row>
    <row r="129" spans="4:6" x14ac:dyDescent="0.2">
      <c r="D129" s="293"/>
      <c r="E129" s="293"/>
      <c r="F129" s="293"/>
    </row>
    <row r="130" spans="4:6" x14ac:dyDescent="0.2">
      <c r="D130" s="293"/>
      <c r="E130" s="293"/>
      <c r="F130" s="293"/>
    </row>
    <row r="131" spans="4:6" x14ac:dyDescent="0.2">
      <c r="D131" s="293"/>
      <c r="E131" s="293"/>
      <c r="F131" s="293"/>
    </row>
    <row r="132" spans="4:6" x14ac:dyDescent="0.2">
      <c r="D132" s="293"/>
      <c r="E132" s="293"/>
      <c r="F132" s="293"/>
    </row>
    <row r="133" spans="4:6" x14ac:dyDescent="0.2">
      <c r="D133" s="293"/>
      <c r="E133" s="293"/>
      <c r="F133" s="293"/>
    </row>
    <row r="134" spans="4:6" x14ac:dyDescent="0.2">
      <c r="D134" s="293"/>
      <c r="E134" s="293"/>
      <c r="F134" s="293"/>
    </row>
    <row r="135" spans="4:6" x14ac:dyDescent="0.2">
      <c r="D135" s="293"/>
      <c r="E135" s="293"/>
      <c r="F135" s="293"/>
    </row>
    <row r="136" spans="4:6" x14ac:dyDescent="0.2">
      <c r="D136" s="293"/>
      <c r="E136" s="293"/>
      <c r="F136" s="293"/>
    </row>
    <row r="137" spans="4:6" x14ac:dyDescent="0.2">
      <c r="D137" s="293"/>
      <c r="E137" s="293"/>
      <c r="F137" s="293"/>
    </row>
    <row r="138" spans="4:6" x14ac:dyDescent="0.2">
      <c r="D138" s="293"/>
      <c r="E138" s="293"/>
      <c r="F138" s="293"/>
    </row>
    <row r="139" spans="4:6" x14ac:dyDescent="0.2">
      <c r="D139" s="293"/>
      <c r="E139" s="293"/>
      <c r="F139" s="293"/>
    </row>
    <row r="140" spans="4:6" x14ac:dyDescent="0.2">
      <c r="D140" s="293"/>
      <c r="E140" s="293"/>
      <c r="F140" s="293"/>
    </row>
    <row r="141" spans="4:6" x14ac:dyDescent="0.2">
      <c r="D141" s="293"/>
      <c r="E141" s="293"/>
      <c r="F141" s="293"/>
    </row>
    <row r="142" spans="4:6" x14ac:dyDescent="0.2">
      <c r="D142" s="293"/>
      <c r="E142" s="293"/>
      <c r="F142" s="293"/>
    </row>
    <row r="143" spans="4:6" x14ac:dyDescent="0.2">
      <c r="D143" s="293"/>
      <c r="E143" s="293"/>
      <c r="F143" s="293"/>
    </row>
    <row r="144" spans="4:6" x14ac:dyDescent="0.2">
      <c r="D144" s="440"/>
      <c r="E144" s="440"/>
      <c r="F144" s="440"/>
    </row>
    <row r="145" spans="4:6" x14ac:dyDescent="0.2">
      <c r="D145" s="440"/>
      <c r="E145" s="440"/>
      <c r="F145" s="440"/>
    </row>
    <row r="146" spans="4:6" x14ac:dyDescent="0.2">
      <c r="D146" s="440"/>
      <c r="E146" s="440"/>
      <c r="F146" s="440"/>
    </row>
    <row r="147" spans="4:6" x14ac:dyDescent="0.2">
      <c r="D147" s="440"/>
      <c r="E147" s="440"/>
      <c r="F147" s="440"/>
    </row>
  </sheetData>
  <sheetProtection formatCells="0"/>
  <mergeCells count="1">
    <mergeCell ref="A2:C2"/>
  </mergeCells>
  <phoneticPr fontId="2" type="noConversion"/>
  <hyperlinks>
    <hyperlink ref="A2" location="Index!A1" display="Back to Index" xr:uid="{DCF168A5-5CD0-49A2-8E30-095B4F0A3AEE}"/>
  </hyperlinks>
  <printOptions gridLines="1"/>
  <pageMargins left="0.74803149606299213" right="0.31496062992125984" top="0.98425196850393704" bottom="0.98425196850393704" header="0.51181102362204722" footer="0.51181102362204722"/>
  <pageSetup paperSize="9" scale="90" orientation="landscape" blackAndWhite="1" r:id="rId1"/>
  <headerFooter alignWithMargins="0">
    <oddFooter>&amp;L&amp;D\&amp;T&amp;R&amp;F&amp;A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1B39-24A7-4E5B-89ED-D8606E48E531}">
  <sheetPr>
    <tabColor indexed="47"/>
    <pageSetUpPr fitToPage="1"/>
  </sheetPr>
  <dimension ref="A1:I80"/>
  <sheetViews>
    <sheetView showGridLines="0" zoomScale="70" zoomScaleNormal="70" workbookViewId="0"/>
  </sheetViews>
  <sheetFormatPr defaultColWidth="9.42578125" defaultRowHeight="14.25" x14ac:dyDescent="0.2"/>
  <cols>
    <col min="1" max="1" width="4.42578125" style="481" customWidth="1"/>
    <col min="2" max="2" width="3.42578125" style="481" customWidth="1"/>
    <col min="3" max="3" width="54" style="490" customWidth="1"/>
    <col min="4" max="5" width="11.42578125" style="491" customWidth="1"/>
    <col min="6" max="6" width="11.42578125" style="491" customWidth="1" collapsed="1"/>
    <col min="7" max="8" width="11.42578125" style="481" customWidth="1"/>
    <col min="9" max="16384" width="9.42578125" style="481"/>
  </cols>
  <sheetData>
    <row r="1" spans="1:9" s="478" customFormat="1" ht="20.25" x14ac:dyDescent="0.3">
      <c r="A1" s="3" t="s">
        <v>14</v>
      </c>
      <c r="B1" s="4"/>
      <c r="C1" s="4"/>
      <c r="D1" s="331"/>
      <c r="E1" s="331"/>
      <c r="F1" s="331"/>
      <c r="G1" s="4"/>
      <c r="H1" s="4"/>
      <c r="I1" s="4"/>
    </row>
    <row r="2" spans="1:9" s="479" customFormat="1" ht="60" x14ac:dyDescent="0.25">
      <c r="A2" s="729" t="s">
        <v>34</v>
      </c>
      <c r="B2" s="729"/>
      <c r="C2" s="729"/>
      <c r="D2" s="426">
        <v>46174</v>
      </c>
      <c r="E2" s="426">
        <v>45992</v>
      </c>
      <c r="F2" s="426">
        <v>45809</v>
      </c>
      <c r="G2" s="426" t="s">
        <v>471</v>
      </c>
      <c r="H2" s="426" t="s">
        <v>472</v>
      </c>
      <c r="I2" s="6"/>
    </row>
    <row r="3" spans="1:9" s="480" customFormat="1" ht="10.35" customHeight="1" x14ac:dyDescent="0.25">
      <c r="A3" s="349"/>
      <c r="B3" s="294"/>
      <c r="C3" s="294"/>
      <c r="D3" s="333"/>
      <c r="E3" s="295"/>
      <c r="F3" s="295"/>
      <c r="G3" s="341"/>
      <c r="H3" s="341"/>
      <c r="I3" s="294"/>
    </row>
    <row r="4" spans="1:9" s="480" customFormat="1" ht="15.6" customHeight="1" x14ac:dyDescent="0.25">
      <c r="A4" s="337" t="s">
        <v>225</v>
      </c>
      <c r="B4" s="294"/>
      <c r="C4" s="294"/>
      <c r="D4" s="333"/>
      <c r="E4" s="295"/>
      <c r="F4" s="295"/>
      <c r="G4" s="294"/>
      <c r="H4" s="294"/>
      <c r="I4" s="294"/>
    </row>
    <row r="5" spans="1:9" s="480" customFormat="1" ht="15.6" customHeight="1" x14ac:dyDescent="0.25">
      <c r="A5" s="294" t="s">
        <v>226</v>
      </c>
      <c r="B5" s="294"/>
      <c r="C5" s="294"/>
      <c r="D5" s="101">
        <v>4764</v>
      </c>
      <c r="E5" s="295">
        <v>4843</v>
      </c>
      <c r="F5" s="295">
        <v>4686</v>
      </c>
      <c r="G5" s="143">
        <v>1.6645326504481472</v>
      </c>
      <c r="H5" s="143">
        <v>-1.6312203179847162</v>
      </c>
      <c r="I5" s="294"/>
    </row>
    <row r="6" spans="1:9" s="480" customFormat="1" ht="15" x14ac:dyDescent="0.25">
      <c r="A6" s="349"/>
      <c r="B6" s="294" t="s">
        <v>227</v>
      </c>
      <c r="C6" s="294"/>
      <c r="D6" s="101">
        <v>4580</v>
      </c>
      <c r="E6" s="295">
        <v>4629</v>
      </c>
      <c r="F6" s="295">
        <v>4452</v>
      </c>
      <c r="G6" s="143">
        <v>2.8751123090745789</v>
      </c>
      <c r="H6" s="143">
        <v>-1.0585439619788306</v>
      </c>
      <c r="I6" s="294"/>
    </row>
    <row r="7" spans="1:9" s="480" customFormat="1" ht="15" x14ac:dyDescent="0.25">
      <c r="A7" s="294"/>
      <c r="B7" s="294" t="s">
        <v>228</v>
      </c>
      <c r="C7" s="294"/>
      <c r="D7" s="101">
        <v>184</v>
      </c>
      <c r="E7" s="295">
        <v>214</v>
      </c>
      <c r="F7" s="295">
        <v>234</v>
      </c>
      <c r="G7" s="143">
        <v>-21.36752136752137</v>
      </c>
      <c r="H7" s="143">
        <v>-14.018691588785048</v>
      </c>
      <c r="I7" s="294"/>
    </row>
    <row r="8" spans="1:9" x14ac:dyDescent="0.2">
      <c r="A8" s="286"/>
      <c r="B8" s="286"/>
      <c r="C8" s="287" t="s">
        <v>229</v>
      </c>
      <c r="D8" s="122">
        <v>184</v>
      </c>
      <c r="E8" s="8">
        <v>214</v>
      </c>
      <c r="F8" s="8">
        <v>234</v>
      </c>
      <c r="G8" s="143">
        <v>-21.36752136752137</v>
      </c>
      <c r="H8" s="143">
        <v>-14.018691588785048</v>
      </c>
      <c r="I8" s="286"/>
    </row>
    <row r="9" spans="1:9" s="480" customFormat="1" ht="20.100000000000001" customHeight="1" x14ac:dyDescent="0.25">
      <c r="A9" s="410" t="s">
        <v>230</v>
      </c>
      <c r="B9" s="294"/>
      <c r="C9" s="294"/>
      <c r="D9" s="101"/>
      <c r="E9" s="295"/>
      <c r="F9" s="295"/>
      <c r="G9" s="143"/>
      <c r="H9" s="143"/>
      <c r="I9" s="294"/>
    </row>
    <row r="10" spans="1:9" x14ac:dyDescent="0.2">
      <c r="A10" s="321"/>
      <c r="B10" s="286" t="s">
        <v>231</v>
      </c>
      <c r="C10" s="286"/>
      <c r="D10" s="122">
        <v>2339</v>
      </c>
      <c r="E10" s="8">
        <v>2390</v>
      </c>
      <c r="F10" s="8">
        <v>2613</v>
      </c>
      <c r="G10" s="143">
        <v>-10.486031381553772</v>
      </c>
      <c r="H10" s="143">
        <v>-2.1338912133891164</v>
      </c>
      <c r="I10" s="286"/>
    </row>
    <row r="11" spans="1:9" x14ac:dyDescent="0.2">
      <c r="A11" s="321"/>
      <c r="B11" s="286" t="s">
        <v>232</v>
      </c>
      <c r="C11" s="286"/>
      <c r="D11" s="122">
        <v>1350</v>
      </c>
      <c r="E11" s="8">
        <v>1357</v>
      </c>
      <c r="F11" s="8">
        <v>1050</v>
      </c>
      <c r="G11" s="143">
        <v>28.57142857142858</v>
      </c>
      <c r="H11" s="143">
        <v>-0.51584377302873463</v>
      </c>
      <c r="I11" s="286"/>
    </row>
    <row r="12" spans="1:9" x14ac:dyDescent="0.2">
      <c r="A12" s="321"/>
      <c r="B12" s="286" t="s">
        <v>233</v>
      </c>
      <c r="C12" s="286"/>
      <c r="D12" s="122">
        <v>1075</v>
      </c>
      <c r="E12" s="8">
        <v>1096</v>
      </c>
      <c r="F12" s="8">
        <v>1023</v>
      </c>
      <c r="G12" s="143">
        <v>5.0830889540566915</v>
      </c>
      <c r="H12" s="143">
        <v>-1.9160583941605802</v>
      </c>
      <c r="I12" s="286"/>
    </row>
    <row r="13" spans="1:9" s="480" customFormat="1" ht="20.100000000000001" customHeight="1" x14ac:dyDescent="0.25">
      <c r="A13" s="410" t="s">
        <v>234</v>
      </c>
      <c r="B13" s="294"/>
      <c r="C13" s="286"/>
      <c r="D13" s="101"/>
      <c r="E13" s="295"/>
      <c r="F13" s="295"/>
      <c r="G13" s="143"/>
      <c r="H13" s="143"/>
      <c r="I13" s="294"/>
    </row>
    <row r="14" spans="1:9" x14ac:dyDescent="0.2">
      <c r="A14" s="286"/>
      <c r="B14" s="286" t="s">
        <v>235</v>
      </c>
      <c r="C14" s="286"/>
      <c r="D14" s="122">
        <v>1026</v>
      </c>
      <c r="E14" s="8">
        <v>1066</v>
      </c>
      <c r="F14" s="8">
        <v>1226</v>
      </c>
      <c r="G14" s="143">
        <v>-16.313213703099517</v>
      </c>
      <c r="H14" s="143">
        <v>-3.7523452157598447</v>
      </c>
      <c r="I14" s="286"/>
    </row>
    <row r="15" spans="1:9" x14ac:dyDescent="0.2">
      <c r="A15" s="286"/>
      <c r="B15" s="286" t="s">
        <v>236</v>
      </c>
      <c r="C15" s="286"/>
      <c r="D15" s="122">
        <v>2</v>
      </c>
      <c r="E15" s="706">
        <v>0</v>
      </c>
      <c r="F15" s="8">
        <v>1</v>
      </c>
      <c r="G15" s="143">
        <v>100</v>
      </c>
      <c r="H15" s="143" t="s">
        <v>151</v>
      </c>
      <c r="I15" s="286"/>
    </row>
    <row r="16" spans="1:9" x14ac:dyDescent="0.2">
      <c r="A16" s="286"/>
      <c r="B16" s="286" t="s">
        <v>237</v>
      </c>
      <c r="C16" s="286"/>
      <c r="D16" s="122">
        <v>16</v>
      </c>
      <c r="E16" s="8">
        <v>6</v>
      </c>
      <c r="F16" s="8">
        <v>10</v>
      </c>
      <c r="G16" s="143">
        <v>60.000000000000007</v>
      </c>
      <c r="H16" s="143" t="s">
        <v>494</v>
      </c>
      <c r="I16" s="286"/>
    </row>
    <row r="17" spans="1:8" x14ac:dyDescent="0.2">
      <c r="A17" s="286"/>
      <c r="B17" s="286" t="s">
        <v>238</v>
      </c>
      <c r="C17" s="286"/>
      <c r="D17" s="122">
        <v>556</v>
      </c>
      <c r="E17" s="8">
        <v>588</v>
      </c>
      <c r="F17" s="8">
        <v>724</v>
      </c>
      <c r="G17" s="143">
        <v>-23.204419889502759</v>
      </c>
      <c r="H17" s="143">
        <v>-5.4421768707482947</v>
      </c>
    </row>
    <row r="18" spans="1:8" x14ac:dyDescent="0.2">
      <c r="A18" s="286"/>
      <c r="B18" s="286" t="s">
        <v>212</v>
      </c>
      <c r="C18" s="286"/>
      <c r="D18" s="122">
        <v>3164</v>
      </c>
      <c r="E18" s="8">
        <v>3183</v>
      </c>
      <c r="F18" s="8">
        <v>2725</v>
      </c>
      <c r="G18" s="143">
        <v>16.110091743119259</v>
      </c>
      <c r="H18" s="143">
        <v>-0.59692114357524639</v>
      </c>
    </row>
    <row r="19" spans="1:8" ht="20.100000000000001" customHeight="1" x14ac:dyDescent="0.2">
      <c r="A19" s="410" t="s">
        <v>239</v>
      </c>
      <c r="B19" s="286"/>
      <c r="C19" s="286"/>
      <c r="D19" s="122"/>
      <c r="E19" s="8"/>
      <c r="F19" s="8"/>
      <c r="G19" s="143"/>
      <c r="H19" s="143"/>
    </row>
    <row r="20" spans="1:8" x14ac:dyDescent="0.2">
      <c r="A20" s="286"/>
      <c r="B20" s="286" t="s">
        <v>240</v>
      </c>
      <c r="C20" s="286"/>
      <c r="D20" s="122">
        <v>1463</v>
      </c>
      <c r="E20" s="8">
        <v>1673</v>
      </c>
      <c r="F20" s="8">
        <v>1137</v>
      </c>
      <c r="G20" s="143">
        <v>28.671943711521553</v>
      </c>
      <c r="H20" s="143">
        <v>-12.552301255230125</v>
      </c>
    </row>
    <row r="21" spans="1:8" x14ac:dyDescent="0.2">
      <c r="A21" s="286"/>
      <c r="B21" s="286" t="s">
        <v>241</v>
      </c>
      <c r="C21" s="286"/>
      <c r="D21" s="122">
        <v>476</v>
      </c>
      <c r="E21" s="8">
        <v>450</v>
      </c>
      <c r="F21" s="8">
        <v>505</v>
      </c>
      <c r="G21" s="143">
        <v>-5.7425742574257477</v>
      </c>
      <c r="H21" s="143">
        <v>5.7777777777777706</v>
      </c>
    </row>
    <row r="22" spans="1:8" x14ac:dyDescent="0.2">
      <c r="A22" s="286"/>
      <c r="B22" s="286" t="s">
        <v>242</v>
      </c>
      <c r="C22" s="286"/>
      <c r="D22" s="122">
        <v>401</v>
      </c>
      <c r="E22" s="8">
        <v>285</v>
      </c>
      <c r="F22" s="8">
        <v>741</v>
      </c>
      <c r="G22" s="143">
        <v>-45.883940620782724</v>
      </c>
      <c r="H22" s="143">
        <v>40.701754385964904</v>
      </c>
    </row>
    <row r="23" spans="1:8" x14ac:dyDescent="0.2">
      <c r="A23" s="286"/>
      <c r="B23" s="286" t="s">
        <v>243</v>
      </c>
      <c r="C23" s="286"/>
      <c r="D23" s="122">
        <v>2424</v>
      </c>
      <c r="E23" s="8">
        <v>2435</v>
      </c>
      <c r="F23" s="8">
        <v>2303</v>
      </c>
      <c r="G23" s="143">
        <v>5.2540165002171069</v>
      </c>
      <c r="H23" s="143">
        <v>-0.45174537987680008</v>
      </c>
    </row>
    <row r="24" spans="1:8" x14ac:dyDescent="0.2">
      <c r="A24" s="286"/>
      <c r="B24" s="286"/>
      <c r="C24" s="286"/>
      <c r="D24" s="122"/>
      <c r="E24" s="8"/>
      <c r="F24" s="8"/>
      <c r="G24" s="143"/>
      <c r="H24" s="143"/>
    </row>
    <row r="25" spans="1:8" s="480" customFormat="1" ht="15" x14ac:dyDescent="0.25">
      <c r="A25" s="294" t="s">
        <v>244</v>
      </c>
      <c r="B25" s="294"/>
      <c r="C25" s="294"/>
      <c r="D25" s="101">
        <v>1187</v>
      </c>
      <c r="E25" s="295">
        <v>1171</v>
      </c>
      <c r="F25" s="295">
        <v>1297</v>
      </c>
      <c r="G25" s="143">
        <v>-8.481110254433311</v>
      </c>
      <c r="H25" s="143">
        <v>1.3663535439795149</v>
      </c>
    </row>
    <row r="26" spans="1:8" x14ac:dyDescent="0.2">
      <c r="A26" s="410" t="s">
        <v>230</v>
      </c>
      <c r="B26" s="286"/>
      <c r="C26" s="286"/>
      <c r="D26" s="122"/>
      <c r="E26" s="8"/>
      <c r="F26" s="8"/>
      <c r="G26" s="143"/>
      <c r="H26" s="143"/>
    </row>
    <row r="27" spans="1:8" ht="15" x14ac:dyDescent="0.25">
      <c r="A27" s="294"/>
      <c r="B27" s="286" t="s">
        <v>231</v>
      </c>
      <c r="C27" s="286"/>
      <c r="D27" s="122">
        <v>731</v>
      </c>
      <c r="E27" s="8">
        <v>735</v>
      </c>
      <c r="F27" s="8">
        <v>900</v>
      </c>
      <c r="G27" s="143">
        <v>-18.777777777777782</v>
      </c>
      <c r="H27" s="143">
        <v>-0.54421768707483276</v>
      </c>
    </row>
    <row r="28" spans="1:8" x14ac:dyDescent="0.2">
      <c r="A28" s="286"/>
      <c r="B28" s="286" t="s">
        <v>232</v>
      </c>
      <c r="C28" s="286"/>
      <c r="D28" s="122">
        <v>353</v>
      </c>
      <c r="E28" s="8">
        <v>323</v>
      </c>
      <c r="F28" s="8">
        <v>293</v>
      </c>
      <c r="G28" s="143">
        <v>20.477815699658699</v>
      </c>
      <c r="H28" s="143">
        <v>9.2879256965944244</v>
      </c>
    </row>
    <row r="29" spans="1:8" x14ac:dyDescent="0.2">
      <c r="A29" s="286"/>
      <c r="B29" s="286" t="s">
        <v>233</v>
      </c>
      <c r="C29" s="369"/>
      <c r="D29" s="122">
        <v>103</v>
      </c>
      <c r="E29" s="8">
        <v>113</v>
      </c>
      <c r="F29" s="8">
        <v>104</v>
      </c>
      <c r="G29" s="143">
        <v>-0.96153846153845812</v>
      </c>
      <c r="H29" s="143">
        <v>-8.8495575221238969</v>
      </c>
    </row>
    <row r="30" spans="1:8" x14ac:dyDescent="0.2">
      <c r="A30" s="286"/>
      <c r="B30" s="286"/>
      <c r="C30" s="369"/>
      <c r="D30" s="122"/>
      <c r="E30" s="8"/>
      <c r="F30" s="8"/>
      <c r="G30" s="143"/>
      <c r="H30" s="143"/>
    </row>
    <row r="31" spans="1:8" ht="15" x14ac:dyDescent="0.25">
      <c r="A31" s="337" t="s">
        <v>245</v>
      </c>
      <c r="B31" s="286"/>
      <c r="C31" s="369"/>
      <c r="D31" s="122"/>
      <c r="E31" s="8"/>
      <c r="F31" s="8"/>
      <c r="G31" s="143"/>
      <c r="H31" s="143"/>
    </row>
    <row r="32" spans="1:8" s="480" customFormat="1" ht="15" x14ac:dyDescent="0.25">
      <c r="A32" s="294" t="s">
        <v>227</v>
      </c>
      <c r="B32" s="349"/>
      <c r="C32" s="294"/>
      <c r="D32" s="101">
        <v>4580</v>
      </c>
      <c r="E32" s="295">
        <v>4629</v>
      </c>
      <c r="F32" s="295">
        <v>4452</v>
      </c>
      <c r="G32" s="143">
        <v>2.8751123090745789</v>
      </c>
      <c r="H32" s="143">
        <v>-1.0585439619788306</v>
      </c>
    </row>
    <row r="33" spans="1:8" x14ac:dyDescent="0.2">
      <c r="A33" s="338" t="s">
        <v>157</v>
      </c>
      <c r="B33" s="286"/>
      <c r="C33" s="321"/>
      <c r="D33" s="122"/>
      <c r="E33" s="8"/>
      <c r="F33" s="8"/>
      <c r="G33" s="143"/>
      <c r="H33" s="143"/>
    </row>
    <row r="34" spans="1:8" ht="15" x14ac:dyDescent="0.25">
      <c r="A34" s="1"/>
      <c r="B34" s="286" t="s">
        <v>20</v>
      </c>
      <c r="C34" s="321"/>
      <c r="D34" s="122">
        <v>1118</v>
      </c>
      <c r="E34" s="8">
        <v>1039</v>
      </c>
      <c r="F34" s="8">
        <v>1028</v>
      </c>
      <c r="G34" s="143">
        <v>8.7548638132295622</v>
      </c>
      <c r="H34" s="143">
        <v>7.6034648700673779</v>
      </c>
    </row>
    <row r="35" spans="1:8" ht="14.25" customHeight="1" x14ac:dyDescent="0.25">
      <c r="A35" s="1"/>
      <c r="B35" s="286" t="s">
        <v>218</v>
      </c>
      <c r="C35" s="321"/>
      <c r="D35" s="122">
        <v>3462</v>
      </c>
      <c r="E35" s="8">
        <v>3590</v>
      </c>
      <c r="F35" s="8">
        <v>3424</v>
      </c>
      <c r="G35" s="143">
        <v>1.1098130841121545</v>
      </c>
      <c r="H35" s="143">
        <v>-3.5654596100278546</v>
      </c>
    </row>
    <row r="36" spans="1:8" s="480" customFormat="1" ht="20.100000000000001" customHeight="1" x14ac:dyDescent="0.25">
      <c r="A36" s="433" t="s">
        <v>246</v>
      </c>
      <c r="B36" s="294"/>
      <c r="C36" s="294"/>
      <c r="D36" s="101"/>
      <c r="E36" s="295"/>
      <c r="F36" s="295"/>
      <c r="G36" s="143"/>
      <c r="H36" s="143"/>
    </row>
    <row r="37" spans="1:8" x14ac:dyDescent="0.2">
      <c r="A37" s="2"/>
      <c r="B37" s="321" t="s">
        <v>25</v>
      </c>
      <c r="C37" s="321"/>
      <c r="D37" s="122">
        <v>1954</v>
      </c>
      <c r="E37" s="8">
        <v>1907</v>
      </c>
      <c r="F37" s="8">
        <v>1728</v>
      </c>
      <c r="G37" s="143">
        <v>13.078703703703699</v>
      </c>
      <c r="H37" s="143">
        <v>2.4646040901940225</v>
      </c>
    </row>
    <row r="38" spans="1:8" x14ac:dyDescent="0.2">
      <c r="A38" s="2"/>
      <c r="B38" s="482" t="s">
        <v>26</v>
      </c>
      <c r="C38" s="321"/>
      <c r="D38" s="122">
        <v>1267</v>
      </c>
      <c r="E38" s="8">
        <v>1367</v>
      </c>
      <c r="F38" s="8">
        <v>997</v>
      </c>
      <c r="G38" s="143">
        <v>27.081243731193581</v>
      </c>
      <c r="H38" s="143">
        <v>-7.3152889539136794</v>
      </c>
    </row>
    <row r="39" spans="1:8" x14ac:dyDescent="0.2">
      <c r="A39" s="2"/>
      <c r="B39" s="482" t="s">
        <v>220</v>
      </c>
      <c r="C39" s="321"/>
      <c r="D39" s="122">
        <v>812</v>
      </c>
      <c r="E39" s="8">
        <v>844</v>
      </c>
      <c r="F39" s="8">
        <v>863</v>
      </c>
      <c r="G39" s="143">
        <v>-5.9096176129779803</v>
      </c>
      <c r="H39" s="143">
        <v>-3.7914691943127909</v>
      </c>
    </row>
    <row r="40" spans="1:8" x14ac:dyDescent="0.2">
      <c r="A40" s="2"/>
      <c r="B40" s="482" t="s">
        <v>28</v>
      </c>
      <c r="C40" s="321"/>
      <c r="D40" s="122">
        <v>353</v>
      </c>
      <c r="E40" s="8">
        <v>362</v>
      </c>
      <c r="F40" s="8">
        <v>494</v>
      </c>
      <c r="G40" s="143">
        <v>-28.542510121457486</v>
      </c>
      <c r="H40" s="143">
        <v>-2.4861878453038666</v>
      </c>
    </row>
    <row r="41" spans="1:8" x14ac:dyDescent="0.2">
      <c r="A41" s="2"/>
      <c r="B41" s="482" t="s">
        <v>136</v>
      </c>
      <c r="C41" s="321"/>
      <c r="D41" s="122">
        <v>194</v>
      </c>
      <c r="E41" s="8">
        <v>149</v>
      </c>
      <c r="F41" s="8">
        <v>370</v>
      </c>
      <c r="G41" s="143">
        <v>-47.567567567567572</v>
      </c>
      <c r="H41" s="143">
        <v>30.201342281879185</v>
      </c>
    </row>
    <row r="42" spans="1:8" ht="20.100000000000001" customHeight="1" x14ac:dyDescent="0.2">
      <c r="A42" s="338" t="s">
        <v>159</v>
      </c>
      <c r="B42" s="286"/>
      <c r="C42" s="321"/>
      <c r="D42" s="122"/>
      <c r="E42" s="8"/>
      <c r="F42" s="8"/>
      <c r="G42" s="143"/>
      <c r="H42" s="143"/>
    </row>
    <row r="43" spans="1:8" x14ac:dyDescent="0.2">
      <c r="A43" s="2"/>
      <c r="B43" s="482" t="s">
        <v>160</v>
      </c>
      <c r="C43" s="321"/>
      <c r="D43" s="122">
        <v>236</v>
      </c>
      <c r="E43" s="8">
        <v>255</v>
      </c>
      <c r="F43" s="8">
        <v>487</v>
      </c>
      <c r="G43" s="143">
        <v>-51.540041067761798</v>
      </c>
      <c r="H43" s="143">
        <v>-7.4509803921568585</v>
      </c>
    </row>
    <row r="44" spans="1:8" x14ac:dyDescent="0.2">
      <c r="A44" s="286"/>
      <c r="B44" s="482" t="s">
        <v>161</v>
      </c>
      <c r="C44" s="321"/>
      <c r="D44" s="122">
        <v>1255</v>
      </c>
      <c r="E44" s="8">
        <v>1364</v>
      </c>
      <c r="F44" s="8">
        <v>1018</v>
      </c>
      <c r="G44" s="143">
        <v>23.280943025540267</v>
      </c>
      <c r="H44" s="143">
        <v>-7.9912023460410602</v>
      </c>
    </row>
    <row r="45" spans="1:8" x14ac:dyDescent="0.2">
      <c r="A45" s="286"/>
      <c r="B45" s="482" t="s">
        <v>162</v>
      </c>
      <c r="C45" s="321"/>
      <c r="D45" s="122">
        <v>199</v>
      </c>
      <c r="E45" s="8">
        <v>190</v>
      </c>
      <c r="F45" s="8">
        <v>214</v>
      </c>
      <c r="G45" s="143">
        <v>-7.0093457943925186</v>
      </c>
      <c r="H45" s="143">
        <v>4.7368421052631504</v>
      </c>
    </row>
    <row r="46" spans="1:8" x14ac:dyDescent="0.2">
      <c r="A46" s="286"/>
      <c r="B46" s="482" t="s">
        <v>163</v>
      </c>
      <c r="C46" s="321"/>
      <c r="D46" s="122">
        <v>772</v>
      </c>
      <c r="E46" s="8">
        <v>803</v>
      </c>
      <c r="F46" s="8">
        <v>868</v>
      </c>
      <c r="G46" s="143">
        <v>-11.059907834101379</v>
      </c>
      <c r="H46" s="143">
        <v>-3.8605230386052347</v>
      </c>
    </row>
    <row r="47" spans="1:8" x14ac:dyDescent="0.2">
      <c r="A47" s="286"/>
      <c r="B47" s="482" t="s">
        <v>164</v>
      </c>
      <c r="C47" s="321"/>
      <c r="D47" s="122">
        <v>769</v>
      </c>
      <c r="E47" s="8">
        <v>670</v>
      </c>
      <c r="F47" s="8">
        <v>680</v>
      </c>
      <c r="G47" s="143">
        <v>13.088235294117645</v>
      </c>
      <c r="H47" s="143">
        <v>14.776119402985067</v>
      </c>
    </row>
    <row r="48" spans="1:8" x14ac:dyDescent="0.2">
      <c r="A48" s="286"/>
      <c r="B48" s="482" t="s">
        <v>165</v>
      </c>
      <c r="C48" s="321"/>
      <c r="D48" s="122">
        <v>150</v>
      </c>
      <c r="E48" s="8">
        <v>104</v>
      </c>
      <c r="F48" s="8">
        <v>47</v>
      </c>
      <c r="G48" s="143" t="s">
        <v>494</v>
      </c>
      <c r="H48" s="143">
        <v>44.230769230769226</v>
      </c>
    </row>
    <row r="49" spans="1:9" x14ac:dyDescent="0.2">
      <c r="A49" s="286"/>
      <c r="B49" s="731" t="s">
        <v>166</v>
      </c>
      <c r="C49" s="731"/>
      <c r="D49" s="122">
        <v>827</v>
      </c>
      <c r="E49" s="8">
        <v>803</v>
      </c>
      <c r="F49" s="8">
        <v>791</v>
      </c>
      <c r="G49" s="143">
        <v>4.5512010113780033</v>
      </c>
      <c r="H49" s="143">
        <v>2.98879202988791</v>
      </c>
      <c r="I49" s="286"/>
    </row>
    <row r="50" spans="1:9" x14ac:dyDescent="0.2">
      <c r="A50" s="286"/>
      <c r="B50" s="482" t="s">
        <v>23</v>
      </c>
      <c r="C50" s="321"/>
      <c r="D50" s="122">
        <v>372</v>
      </c>
      <c r="E50" s="8">
        <v>440</v>
      </c>
      <c r="F50" s="8">
        <v>347</v>
      </c>
      <c r="G50" s="143">
        <v>7.2046109510086387</v>
      </c>
      <c r="H50" s="143">
        <v>-15.454545454545453</v>
      </c>
      <c r="I50" s="286"/>
    </row>
    <row r="51" spans="1:9" x14ac:dyDescent="0.2">
      <c r="A51" s="286"/>
      <c r="B51" s="482"/>
      <c r="C51" s="321"/>
      <c r="D51" s="98"/>
      <c r="E51" s="292"/>
      <c r="F51" s="8"/>
      <c r="G51" s="8"/>
      <c r="H51" s="8"/>
      <c r="I51" s="286"/>
    </row>
    <row r="52" spans="1:9" s="486" customFormat="1" ht="42" customHeight="1" x14ac:dyDescent="0.25">
      <c r="A52" s="483"/>
      <c r="B52" s="483"/>
      <c r="C52" s="484"/>
      <c r="D52" s="201" t="s">
        <v>449</v>
      </c>
      <c r="E52" s="485" t="s">
        <v>450</v>
      </c>
      <c r="F52" s="485" t="s">
        <v>37</v>
      </c>
      <c r="G52" s="7"/>
      <c r="H52" s="7"/>
      <c r="I52" s="483"/>
    </row>
    <row r="53" spans="1:9" ht="15" x14ac:dyDescent="0.25">
      <c r="A53" s="316" t="s">
        <v>247</v>
      </c>
      <c r="B53" s="341"/>
      <c r="C53" s="341"/>
      <c r="D53" s="99"/>
      <c r="E53" s="292"/>
      <c r="F53" s="487"/>
      <c r="G53" s="200"/>
      <c r="H53" s="8"/>
      <c r="I53" s="286"/>
    </row>
    <row r="54" spans="1:9" ht="15" x14ac:dyDescent="0.25">
      <c r="A54" s="294" t="s">
        <v>248</v>
      </c>
      <c r="B54" s="286"/>
      <c r="C54" s="341"/>
      <c r="D54" s="113">
        <v>4843</v>
      </c>
      <c r="E54" s="134">
        <v>4686</v>
      </c>
      <c r="F54" s="134">
        <v>5036</v>
      </c>
      <c r="G54" s="274"/>
      <c r="H54" s="275"/>
      <c r="I54" s="286"/>
    </row>
    <row r="55" spans="1:9" ht="15" x14ac:dyDescent="0.25">
      <c r="A55" s="286"/>
      <c r="B55" s="341"/>
      <c r="C55" s="341"/>
      <c r="D55" s="122"/>
      <c r="E55" s="8"/>
      <c r="F55" s="8"/>
      <c r="G55" s="274"/>
      <c r="H55" s="275"/>
      <c r="I55" s="286"/>
    </row>
    <row r="56" spans="1:9" s="480" customFormat="1" ht="15" x14ac:dyDescent="0.25">
      <c r="A56" s="1" t="s">
        <v>140</v>
      </c>
      <c r="B56" s="294"/>
      <c r="C56" s="36"/>
      <c r="D56" s="113"/>
      <c r="E56" s="134"/>
      <c r="F56" s="134"/>
      <c r="G56" s="274"/>
      <c r="H56" s="275"/>
      <c r="I56" s="294"/>
    </row>
    <row r="57" spans="1:9" x14ac:dyDescent="0.2">
      <c r="A57" s="286"/>
      <c r="B57" s="286" t="s">
        <v>249</v>
      </c>
      <c r="C57" s="417"/>
      <c r="D57" s="151">
        <v>278</v>
      </c>
      <c r="E57" s="163">
        <v>853</v>
      </c>
      <c r="F57" s="163">
        <v>345</v>
      </c>
      <c r="G57" s="274"/>
      <c r="H57" s="275"/>
      <c r="I57" s="286"/>
    </row>
    <row r="58" spans="1:9" x14ac:dyDescent="0.2">
      <c r="A58" s="286"/>
      <c r="B58" s="286" t="s">
        <v>496</v>
      </c>
      <c r="C58" s="417"/>
      <c r="D58" s="151">
        <v>-241</v>
      </c>
      <c r="E58" s="163">
        <v>-410</v>
      </c>
      <c r="F58" s="163">
        <v>-391</v>
      </c>
      <c r="G58" s="274"/>
      <c r="H58" s="275"/>
      <c r="I58" s="286"/>
    </row>
    <row r="59" spans="1:9" x14ac:dyDescent="0.2">
      <c r="A59" s="286"/>
      <c r="B59" s="286" t="s">
        <v>250</v>
      </c>
      <c r="C59" s="286"/>
      <c r="D59" s="151">
        <v>-195</v>
      </c>
      <c r="E59" s="163">
        <v>-279</v>
      </c>
      <c r="F59" s="163">
        <v>-197</v>
      </c>
      <c r="G59" s="274"/>
      <c r="H59" s="275"/>
      <c r="I59" s="286"/>
    </row>
    <row r="60" spans="1:9" s="480" customFormat="1" ht="15" x14ac:dyDescent="0.25">
      <c r="A60" s="294"/>
      <c r="B60" s="294"/>
      <c r="C60" s="294"/>
      <c r="D60" s="113"/>
      <c r="E60" s="134"/>
      <c r="F60" s="134"/>
      <c r="G60" s="274"/>
      <c r="H60" s="275"/>
      <c r="I60" s="294"/>
    </row>
    <row r="61" spans="1:9" s="480" customFormat="1" ht="15" x14ac:dyDescent="0.25">
      <c r="A61" s="294" t="s">
        <v>251</v>
      </c>
      <c r="B61" s="294"/>
      <c r="C61" s="294"/>
      <c r="D61" s="151">
        <v>78</v>
      </c>
      <c r="E61" s="163">
        <v>11</v>
      </c>
      <c r="F61" s="163">
        <v>37</v>
      </c>
      <c r="G61" s="274"/>
      <c r="H61" s="275"/>
      <c r="I61" s="294"/>
    </row>
    <row r="62" spans="1:9" s="480" customFormat="1" ht="15" x14ac:dyDescent="0.25">
      <c r="A62" s="294" t="s">
        <v>252</v>
      </c>
      <c r="B62" s="294"/>
      <c r="C62" s="349"/>
      <c r="D62" s="151">
        <v>1</v>
      </c>
      <c r="E62" s="163">
        <v>-18</v>
      </c>
      <c r="F62" s="163">
        <v>-144</v>
      </c>
      <c r="G62" s="274"/>
      <c r="H62" s="275"/>
      <c r="I62" s="294"/>
    </row>
    <row r="63" spans="1:9" ht="15" x14ac:dyDescent="0.25">
      <c r="A63" s="294" t="s">
        <v>253</v>
      </c>
      <c r="B63" s="286"/>
      <c r="C63" s="321"/>
      <c r="D63" s="101">
        <v>4764</v>
      </c>
      <c r="E63" s="295">
        <v>4843</v>
      </c>
      <c r="F63" s="295">
        <v>4686</v>
      </c>
      <c r="G63" s="274"/>
      <c r="H63" s="275"/>
      <c r="I63" s="286"/>
    </row>
    <row r="64" spans="1:9" ht="15" x14ac:dyDescent="0.25">
      <c r="A64" s="294"/>
      <c r="B64" s="286"/>
      <c r="C64" s="321"/>
      <c r="D64" s="386"/>
      <c r="E64" s="295"/>
      <c r="F64" s="295"/>
      <c r="G64" s="274"/>
      <c r="H64" s="488"/>
      <c r="I64" s="286"/>
    </row>
    <row r="65" spans="1:9" ht="15" x14ac:dyDescent="0.25">
      <c r="A65" s="286"/>
      <c r="B65" s="294"/>
      <c r="C65" s="321"/>
      <c r="D65" s="24"/>
      <c r="E65" s="395"/>
      <c r="F65" s="139"/>
      <c r="G65" s="315"/>
      <c r="H65" s="315"/>
      <c r="I65" s="286"/>
    </row>
    <row r="66" spans="1:9" s="286" customFormat="1" x14ac:dyDescent="0.2">
      <c r="A66" s="422" t="s">
        <v>119</v>
      </c>
      <c r="B66" s="422" t="s">
        <v>224</v>
      </c>
      <c r="C66" s="321"/>
      <c r="D66" s="143"/>
      <c r="E66" s="143"/>
      <c r="F66" s="143"/>
    </row>
    <row r="67" spans="1:9" s="315" customFormat="1" x14ac:dyDescent="0.2">
      <c r="A67" s="422"/>
      <c r="B67" s="422"/>
      <c r="C67" s="340"/>
      <c r="D67" s="275"/>
      <c r="E67" s="275"/>
      <c r="F67" s="275"/>
    </row>
    <row r="68" spans="1:9" s="286" customFormat="1" x14ac:dyDescent="0.2">
      <c r="A68" s="70"/>
      <c r="B68" s="422"/>
      <c r="C68" s="321"/>
      <c r="D68" s="8"/>
      <c r="E68" s="8"/>
      <c r="F68" s="8"/>
    </row>
    <row r="69" spans="1:9" x14ac:dyDescent="0.2">
      <c r="A69" s="286"/>
      <c r="B69" s="326"/>
      <c r="C69" s="321"/>
      <c r="D69" s="8"/>
      <c r="E69" s="8"/>
      <c r="F69" s="8"/>
      <c r="G69" s="315"/>
      <c r="H69" s="315"/>
      <c r="I69" s="286"/>
    </row>
    <row r="70" spans="1:9" x14ac:dyDescent="0.2">
      <c r="A70" s="286"/>
      <c r="B70" s="286"/>
      <c r="C70" s="321"/>
      <c r="D70" s="8"/>
      <c r="E70" s="8"/>
      <c r="F70" s="8"/>
      <c r="G70" s="315"/>
      <c r="H70" s="315"/>
      <c r="I70" s="286"/>
    </row>
    <row r="71" spans="1:9" x14ac:dyDescent="0.2">
      <c r="A71" s="286"/>
      <c r="B71" s="286"/>
      <c r="C71" s="321"/>
      <c r="D71" s="8"/>
      <c r="E71" s="8"/>
      <c r="F71" s="8"/>
      <c r="G71" s="286"/>
      <c r="H71" s="286"/>
      <c r="I71" s="286"/>
    </row>
    <row r="72" spans="1:9" x14ac:dyDescent="0.2">
      <c r="A72" s="286"/>
      <c r="B72" s="286"/>
      <c r="C72" s="321"/>
      <c r="D72" s="8"/>
      <c r="E72" s="8"/>
      <c r="F72" s="8"/>
      <c r="G72" s="286"/>
      <c r="H72" s="286"/>
      <c r="I72" s="286"/>
    </row>
    <row r="73" spans="1:9" x14ac:dyDescent="0.2">
      <c r="A73" s="286"/>
      <c r="B73" s="489"/>
      <c r="C73" s="321"/>
      <c r="D73" s="8"/>
      <c r="E73" s="8"/>
      <c r="F73" s="8"/>
      <c r="G73" s="286"/>
      <c r="H73" s="286"/>
      <c r="I73" s="286"/>
    </row>
    <row r="74" spans="1:9" x14ac:dyDescent="0.2">
      <c r="A74" s="286"/>
      <c r="B74" s="489"/>
      <c r="C74" s="321"/>
      <c r="D74" s="8"/>
      <c r="E74" s="8"/>
      <c r="F74" s="8"/>
      <c r="G74" s="286"/>
      <c r="H74" s="286"/>
      <c r="I74" s="286"/>
    </row>
    <row r="75" spans="1:9" x14ac:dyDescent="0.2">
      <c r="A75" s="286"/>
      <c r="B75" s="286"/>
      <c r="C75" s="321"/>
      <c r="D75" s="8"/>
      <c r="E75" s="8"/>
      <c r="F75" s="8"/>
      <c r="G75" s="286"/>
      <c r="H75" s="286"/>
      <c r="I75" s="286"/>
    </row>
    <row r="76" spans="1:9" x14ac:dyDescent="0.2">
      <c r="A76" s="286"/>
      <c r="B76" s="286"/>
      <c r="C76" s="321"/>
      <c r="D76" s="8"/>
      <c r="E76" s="8"/>
      <c r="F76" s="8"/>
      <c r="G76" s="286"/>
      <c r="H76" s="286"/>
      <c r="I76" s="286"/>
    </row>
    <row r="77" spans="1:9" x14ac:dyDescent="0.2">
      <c r="A77" s="286"/>
      <c r="B77" s="286"/>
      <c r="C77" s="321"/>
      <c r="D77" s="8"/>
      <c r="E77" s="8"/>
      <c r="F77" s="8"/>
      <c r="G77" s="286"/>
      <c r="H77" s="286"/>
      <c r="I77" s="286"/>
    </row>
    <row r="78" spans="1:9" x14ac:dyDescent="0.2">
      <c r="A78" s="286"/>
      <c r="B78" s="286"/>
      <c r="C78" s="321"/>
      <c r="D78" s="8"/>
      <c r="E78" s="8"/>
      <c r="F78" s="8"/>
      <c r="G78" s="286"/>
      <c r="H78" s="286"/>
      <c r="I78" s="286"/>
    </row>
    <row r="79" spans="1:9" x14ac:dyDescent="0.2">
      <c r="A79" s="286"/>
      <c r="B79" s="286"/>
      <c r="C79" s="321"/>
      <c r="D79" s="8"/>
      <c r="E79" s="8"/>
      <c r="F79" s="8"/>
      <c r="G79" s="286"/>
      <c r="H79" s="286"/>
      <c r="I79" s="286"/>
    </row>
    <row r="80" spans="1:9" x14ac:dyDescent="0.2">
      <c r="A80" s="286"/>
      <c r="B80" s="286"/>
      <c r="C80" s="321"/>
      <c r="D80" s="8"/>
      <c r="E80" s="8"/>
      <c r="F80" s="8"/>
    </row>
  </sheetData>
  <sheetProtection formatCells="0"/>
  <mergeCells count="2">
    <mergeCell ref="A2:C2"/>
    <mergeCell ref="B49:C49"/>
  </mergeCells>
  <phoneticPr fontId="2" type="noConversion"/>
  <hyperlinks>
    <hyperlink ref="A2" location="Index!A1" display="Back to Index" xr:uid="{FB3DFE52-862C-49AF-815D-0C7A76080E5E}"/>
  </hyperlinks>
  <printOptions gridLines="1"/>
  <pageMargins left="0.78740157480314965" right="0" top="0.59055118110236227" bottom="0.19685039370078741" header="3.937007874015748E-2" footer="0"/>
  <pageSetup paperSize="9" scale="52" orientation="landscape" blackAndWhite="1" r:id="rId1"/>
  <headerFooter alignWithMargins="0">
    <oddFooter>&amp;R&amp;F&amp;A
&amp;D\&amp;T</oddFooter>
  </headerFooter>
  <rowBreaks count="1" manualBreakCount="1">
    <brk id="51" max="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9183-D367-48D5-A480-2A643C3CBCF7}">
  <sheetPr>
    <tabColor indexed="47"/>
    <pageSetUpPr fitToPage="1"/>
  </sheetPr>
  <dimension ref="A1:M140"/>
  <sheetViews>
    <sheetView showGridLines="0" zoomScale="70" zoomScaleNormal="70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5" x14ac:dyDescent="0.25"/>
  <cols>
    <col min="1" max="2" width="2.42578125" style="397" customWidth="1"/>
    <col min="3" max="3" width="55.5703125" style="403" customWidth="1"/>
    <col min="4" max="6" width="11.42578125" style="439" customWidth="1"/>
    <col min="7" max="8" width="11.42578125" style="132" customWidth="1"/>
    <col min="9" max="16384" width="9.42578125" style="397"/>
  </cols>
  <sheetData>
    <row r="1" spans="1:13" s="4" customFormat="1" ht="20.25" x14ac:dyDescent="0.3">
      <c r="A1" s="3" t="s">
        <v>15</v>
      </c>
      <c r="D1" s="331"/>
      <c r="E1" s="331"/>
      <c r="F1" s="331"/>
      <c r="G1" s="492"/>
      <c r="H1" s="492"/>
    </row>
    <row r="2" spans="1:13" s="6" customFormat="1" ht="60" x14ac:dyDescent="0.25">
      <c r="A2" s="729" t="s">
        <v>34</v>
      </c>
      <c r="B2" s="729"/>
      <c r="C2" s="729"/>
      <c r="D2" s="426">
        <v>46174</v>
      </c>
      <c r="E2" s="426">
        <v>45992</v>
      </c>
      <c r="F2" s="426">
        <v>45809</v>
      </c>
      <c r="G2" s="426" t="s">
        <v>471</v>
      </c>
      <c r="H2" s="426" t="s">
        <v>472</v>
      </c>
    </row>
    <row r="3" spans="1:13" s="294" customFormat="1" ht="10.35" customHeight="1" x14ac:dyDescent="0.25">
      <c r="D3" s="493"/>
      <c r="E3" s="494"/>
      <c r="F3" s="494"/>
      <c r="G3" s="24"/>
      <c r="H3" s="24"/>
    </row>
    <row r="4" spans="1:13" s="294" customFormat="1" x14ac:dyDescent="0.25">
      <c r="A4" s="337" t="s">
        <v>254</v>
      </c>
      <c r="D4" s="495"/>
      <c r="E4" s="407"/>
      <c r="F4" s="407"/>
      <c r="G4" s="24"/>
      <c r="H4" s="24"/>
    </row>
    <row r="5" spans="1:13" s="294" customFormat="1" ht="15" customHeight="1" x14ac:dyDescent="0.25">
      <c r="A5" s="294" t="s">
        <v>255</v>
      </c>
      <c r="C5" s="307"/>
      <c r="D5" s="101">
        <v>6195</v>
      </c>
      <c r="E5" s="295">
        <v>6281</v>
      </c>
      <c r="F5" s="295">
        <v>6441</v>
      </c>
      <c r="G5" s="143">
        <v>-3.8192827200745239</v>
      </c>
      <c r="H5" s="143">
        <v>-1.369208724725357</v>
      </c>
      <c r="J5" s="388"/>
      <c r="K5" s="388"/>
      <c r="L5" s="388"/>
      <c r="M5" s="388"/>
    </row>
    <row r="6" spans="1:13" s="294" customFormat="1" x14ac:dyDescent="0.25">
      <c r="B6" s="294" t="s">
        <v>256</v>
      </c>
      <c r="D6" s="101">
        <v>2383</v>
      </c>
      <c r="E6" s="295">
        <v>2422</v>
      </c>
      <c r="F6" s="295">
        <v>2332</v>
      </c>
      <c r="G6" s="143">
        <v>2.1869639794168005</v>
      </c>
      <c r="H6" s="143">
        <v>-1.6102394715111434</v>
      </c>
      <c r="J6" s="388"/>
      <c r="K6" s="388"/>
      <c r="L6" s="388"/>
      <c r="M6" s="388"/>
    </row>
    <row r="7" spans="1:13" x14ac:dyDescent="0.25">
      <c r="A7" s="286"/>
      <c r="B7" s="286"/>
      <c r="C7" s="286" t="s">
        <v>231</v>
      </c>
      <c r="D7" s="122">
        <v>333</v>
      </c>
      <c r="E7" s="8">
        <v>343</v>
      </c>
      <c r="F7" s="8">
        <v>376</v>
      </c>
      <c r="G7" s="143">
        <v>-11.436170212765962</v>
      </c>
      <c r="H7" s="143">
        <v>-2.9154518950437303</v>
      </c>
      <c r="I7" s="286"/>
      <c r="J7" s="388"/>
      <c r="K7" s="388"/>
      <c r="L7" s="388"/>
      <c r="M7" s="388"/>
    </row>
    <row r="8" spans="1:13" x14ac:dyDescent="0.25">
      <c r="A8" s="286"/>
      <c r="B8" s="286"/>
      <c r="C8" s="286" t="s">
        <v>232</v>
      </c>
      <c r="D8" s="122">
        <v>975</v>
      </c>
      <c r="E8" s="8">
        <v>983</v>
      </c>
      <c r="F8" s="8">
        <v>933</v>
      </c>
      <c r="G8" s="143">
        <v>4.5016077170418001</v>
      </c>
      <c r="H8" s="143">
        <v>-0.81383519837232576</v>
      </c>
      <c r="I8" s="286"/>
      <c r="J8" s="388"/>
      <c r="K8" s="388"/>
      <c r="L8" s="388"/>
      <c r="M8" s="388"/>
    </row>
    <row r="9" spans="1:13" x14ac:dyDescent="0.25">
      <c r="A9" s="286"/>
      <c r="B9" s="286"/>
      <c r="C9" s="286" t="s">
        <v>233</v>
      </c>
      <c r="D9" s="122">
        <v>1075</v>
      </c>
      <c r="E9" s="8">
        <v>1096</v>
      </c>
      <c r="F9" s="8">
        <v>1023</v>
      </c>
      <c r="G9" s="143">
        <v>5.0830889540566915</v>
      </c>
      <c r="H9" s="143">
        <v>-1.9160583941605802</v>
      </c>
      <c r="I9" s="286"/>
      <c r="J9" s="388"/>
      <c r="K9" s="388"/>
      <c r="L9" s="388"/>
      <c r="M9" s="388"/>
    </row>
    <row r="10" spans="1:13" s="294" customFormat="1" x14ac:dyDescent="0.25">
      <c r="B10" s="294" t="s">
        <v>257</v>
      </c>
      <c r="D10" s="101">
        <v>3812</v>
      </c>
      <c r="E10" s="295">
        <v>3859</v>
      </c>
      <c r="F10" s="295">
        <v>4109</v>
      </c>
      <c r="G10" s="143">
        <v>-7.2280360184959864</v>
      </c>
      <c r="H10" s="143">
        <v>-1.2179321067634086</v>
      </c>
      <c r="J10" s="388"/>
      <c r="K10" s="388"/>
      <c r="L10" s="388"/>
      <c r="M10" s="388"/>
    </row>
    <row r="11" spans="1:13" s="294" customFormat="1" x14ac:dyDescent="0.25">
      <c r="C11" s="307"/>
      <c r="D11" s="101"/>
      <c r="E11" s="295"/>
      <c r="F11" s="295"/>
      <c r="G11" s="130"/>
      <c r="H11" s="130"/>
      <c r="J11" s="388"/>
      <c r="K11" s="388"/>
      <c r="L11" s="388"/>
      <c r="M11" s="388"/>
    </row>
    <row r="12" spans="1:13" s="294" customFormat="1" x14ac:dyDescent="0.25">
      <c r="A12" s="337" t="s">
        <v>258</v>
      </c>
      <c r="C12" s="307"/>
      <c r="D12" s="101"/>
      <c r="E12" s="295"/>
      <c r="F12" s="295"/>
      <c r="G12" s="130"/>
      <c r="H12" s="130"/>
      <c r="J12" s="388"/>
      <c r="K12" s="388"/>
      <c r="L12" s="388"/>
      <c r="M12" s="388"/>
    </row>
    <row r="13" spans="1:13" s="294" customFormat="1" x14ac:dyDescent="0.25">
      <c r="A13" s="294" t="s">
        <v>259</v>
      </c>
      <c r="C13" s="307"/>
      <c r="D13" s="101">
        <v>2383</v>
      </c>
      <c r="E13" s="295">
        <v>2422</v>
      </c>
      <c r="F13" s="295">
        <v>2332</v>
      </c>
      <c r="G13" s="143">
        <v>2.1869639794168005</v>
      </c>
      <c r="H13" s="143">
        <v>-1.6102394715111434</v>
      </c>
      <c r="J13" s="388"/>
      <c r="K13" s="388"/>
      <c r="L13" s="388"/>
      <c r="M13" s="388"/>
    </row>
    <row r="14" spans="1:13" s="294" customFormat="1" x14ac:dyDescent="0.25">
      <c r="B14" s="294" t="s">
        <v>260</v>
      </c>
      <c r="D14" s="101">
        <v>2297</v>
      </c>
      <c r="E14" s="295">
        <v>2324</v>
      </c>
      <c r="F14" s="295">
        <v>2216</v>
      </c>
      <c r="G14" s="143">
        <v>3.6552346570397187</v>
      </c>
      <c r="H14" s="143">
        <v>-1.1617900172117057</v>
      </c>
      <c r="J14" s="388"/>
      <c r="K14" s="388"/>
      <c r="L14" s="388"/>
      <c r="M14" s="388"/>
    </row>
    <row r="15" spans="1:13" x14ac:dyDescent="0.25">
      <c r="A15" s="286"/>
      <c r="B15" s="431" t="s">
        <v>157</v>
      </c>
      <c r="C15" s="286"/>
      <c r="D15" s="122"/>
      <c r="E15" s="8"/>
      <c r="F15" s="8"/>
      <c r="G15" s="143"/>
      <c r="H15" s="143"/>
      <c r="I15" s="286"/>
      <c r="J15" s="388"/>
      <c r="K15" s="388"/>
      <c r="L15" s="388"/>
      <c r="M15" s="388"/>
    </row>
    <row r="16" spans="1:13" x14ac:dyDescent="0.25">
      <c r="A16" s="286"/>
      <c r="B16" s="341"/>
      <c r="C16" s="286" t="s">
        <v>261</v>
      </c>
      <c r="D16" s="122">
        <v>342</v>
      </c>
      <c r="E16" s="8">
        <v>317</v>
      </c>
      <c r="F16" s="8">
        <v>298</v>
      </c>
      <c r="G16" s="143">
        <v>14.76510067114094</v>
      </c>
      <c r="H16" s="143">
        <v>7.8864353312302793</v>
      </c>
      <c r="I16" s="286"/>
      <c r="J16" s="388"/>
      <c r="K16" s="388"/>
      <c r="L16" s="388"/>
      <c r="M16" s="388"/>
    </row>
    <row r="17" spans="2:13" x14ac:dyDescent="0.25">
      <c r="B17" s="341"/>
      <c r="C17" s="286" t="s">
        <v>218</v>
      </c>
      <c r="D17" s="122">
        <v>1955</v>
      </c>
      <c r="E17" s="8">
        <v>2007</v>
      </c>
      <c r="F17" s="8">
        <v>1918</v>
      </c>
      <c r="G17" s="143">
        <v>1.929092805005217</v>
      </c>
      <c r="H17" s="143">
        <v>-2.5909317389138042</v>
      </c>
      <c r="I17" s="286"/>
      <c r="J17" s="388"/>
      <c r="K17" s="388"/>
      <c r="L17" s="388"/>
      <c r="M17" s="388"/>
    </row>
    <row r="18" spans="2:13" ht="8.25" customHeight="1" x14ac:dyDescent="0.25">
      <c r="B18" s="287"/>
      <c r="C18" s="287"/>
      <c r="D18" s="122"/>
      <c r="E18" s="8"/>
      <c r="F18" s="8"/>
      <c r="G18" s="143"/>
      <c r="H18" s="143"/>
      <c r="I18" s="286"/>
      <c r="J18" s="388"/>
      <c r="K18" s="388"/>
      <c r="L18" s="388"/>
      <c r="M18" s="388"/>
    </row>
    <row r="19" spans="2:13" ht="20.100000000000001" customHeight="1" x14ac:dyDescent="0.25">
      <c r="B19" s="433" t="s">
        <v>158</v>
      </c>
      <c r="C19" s="286"/>
      <c r="D19" s="122"/>
      <c r="E19" s="8"/>
      <c r="F19" s="8"/>
      <c r="G19" s="143"/>
      <c r="H19" s="143"/>
      <c r="I19" s="286"/>
      <c r="J19" s="388"/>
      <c r="K19" s="388"/>
      <c r="L19" s="388"/>
      <c r="M19" s="388"/>
    </row>
    <row r="20" spans="2:13" x14ac:dyDescent="0.25">
      <c r="B20" s="287"/>
      <c r="C20" s="286" t="s">
        <v>25</v>
      </c>
      <c r="D20" s="122">
        <v>1228</v>
      </c>
      <c r="E20" s="8">
        <v>1185</v>
      </c>
      <c r="F20" s="8">
        <v>1045</v>
      </c>
      <c r="G20" s="143">
        <v>17.511961722488035</v>
      </c>
      <c r="H20" s="143">
        <v>3.6286919831223674</v>
      </c>
      <c r="I20" s="707"/>
      <c r="J20" s="388"/>
      <c r="K20" s="388"/>
      <c r="L20" s="388"/>
      <c r="M20" s="388"/>
    </row>
    <row r="21" spans="2:13" x14ac:dyDescent="0.25">
      <c r="B21" s="287"/>
      <c r="C21" s="496" t="s">
        <v>26</v>
      </c>
      <c r="D21" s="122">
        <v>461</v>
      </c>
      <c r="E21" s="8">
        <v>509</v>
      </c>
      <c r="F21" s="8">
        <v>319</v>
      </c>
      <c r="G21" s="143">
        <v>44.514106583072113</v>
      </c>
      <c r="H21" s="143">
        <v>-9.4302554027504861</v>
      </c>
      <c r="I21" s="707"/>
      <c r="J21" s="388"/>
      <c r="K21" s="388"/>
      <c r="L21" s="388"/>
      <c r="M21" s="388"/>
    </row>
    <row r="22" spans="2:13" x14ac:dyDescent="0.25">
      <c r="B22" s="287"/>
      <c r="C22" s="496" t="s">
        <v>220</v>
      </c>
      <c r="D22" s="122">
        <v>257</v>
      </c>
      <c r="E22" s="8">
        <v>279</v>
      </c>
      <c r="F22" s="8">
        <v>304</v>
      </c>
      <c r="G22" s="143">
        <v>-15.460526315789469</v>
      </c>
      <c r="H22" s="143">
        <v>-7.885304659498205</v>
      </c>
      <c r="I22" s="707"/>
      <c r="J22" s="388"/>
      <c r="K22" s="388"/>
      <c r="L22" s="388"/>
      <c r="M22" s="388"/>
    </row>
    <row r="23" spans="2:13" x14ac:dyDescent="0.25">
      <c r="B23" s="287"/>
      <c r="C23" s="496" t="s">
        <v>28</v>
      </c>
      <c r="D23" s="122">
        <v>305</v>
      </c>
      <c r="E23" s="8">
        <v>317</v>
      </c>
      <c r="F23" s="8">
        <v>400</v>
      </c>
      <c r="G23" s="143">
        <v>-23.750000000000004</v>
      </c>
      <c r="H23" s="143">
        <v>-3.7854889589905349</v>
      </c>
      <c r="I23" s="707"/>
      <c r="J23" s="388"/>
      <c r="K23" s="388"/>
      <c r="L23" s="388"/>
      <c r="M23" s="388"/>
    </row>
    <row r="24" spans="2:13" x14ac:dyDescent="0.25">
      <c r="B24" s="287"/>
      <c r="C24" s="496" t="s">
        <v>136</v>
      </c>
      <c r="D24" s="122">
        <v>46</v>
      </c>
      <c r="E24" s="8">
        <v>34</v>
      </c>
      <c r="F24" s="8">
        <v>148</v>
      </c>
      <c r="G24" s="143">
        <v>-68.918918918918919</v>
      </c>
      <c r="H24" s="143">
        <v>35.294117647058833</v>
      </c>
      <c r="I24" s="707"/>
      <c r="J24" s="388"/>
      <c r="K24" s="388"/>
      <c r="L24" s="388"/>
      <c r="M24" s="388"/>
    </row>
    <row r="25" spans="2:13" ht="20.100000000000001" customHeight="1" x14ac:dyDescent="0.25">
      <c r="B25" s="431" t="s">
        <v>159</v>
      </c>
      <c r="C25" s="286"/>
      <c r="D25" s="122"/>
      <c r="E25" s="8"/>
      <c r="F25" s="8"/>
      <c r="G25" s="143"/>
      <c r="H25" s="143"/>
      <c r="I25" s="286"/>
      <c r="J25" s="388"/>
      <c r="K25" s="388"/>
      <c r="L25" s="388"/>
      <c r="M25" s="388"/>
    </row>
    <row r="26" spans="2:13" x14ac:dyDescent="0.25">
      <c r="B26" s="287"/>
      <c r="C26" s="496" t="s">
        <v>160</v>
      </c>
      <c r="D26" s="122">
        <v>142</v>
      </c>
      <c r="E26" s="8">
        <v>146</v>
      </c>
      <c r="F26" s="8">
        <v>347</v>
      </c>
      <c r="G26" s="143">
        <v>-59.077809798270884</v>
      </c>
      <c r="H26" s="143">
        <v>-2.7397260273972601</v>
      </c>
      <c r="I26" s="707"/>
      <c r="J26" s="387"/>
      <c r="K26" s="388"/>
      <c r="L26" s="388"/>
      <c r="M26" s="388"/>
    </row>
    <row r="27" spans="2:13" x14ac:dyDescent="0.25">
      <c r="B27" s="286"/>
      <c r="C27" s="496" t="s">
        <v>161</v>
      </c>
      <c r="D27" s="122">
        <v>478</v>
      </c>
      <c r="E27" s="8">
        <v>562</v>
      </c>
      <c r="F27" s="8">
        <v>314</v>
      </c>
      <c r="G27" s="143">
        <v>52.229299363057336</v>
      </c>
      <c r="H27" s="143">
        <v>-14.946619217081846</v>
      </c>
      <c r="I27" s="707"/>
      <c r="J27" s="387"/>
      <c r="K27" s="388"/>
      <c r="L27" s="388"/>
      <c r="M27" s="388"/>
    </row>
    <row r="28" spans="2:13" x14ac:dyDescent="0.25">
      <c r="B28" s="286"/>
      <c r="C28" s="496" t="s">
        <v>162</v>
      </c>
      <c r="D28" s="122">
        <v>5</v>
      </c>
      <c r="E28" s="8">
        <v>5</v>
      </c>
      <c r="F28" s="8">
        <v>3</v>
      </c>
      <c r="G28" s="143">
        <v>66.666666666666671</v>
      </c>
      <c r="H28" s="143">
        <v>0</v>
      </c>
      <c r="I28" s="707"/>
      <c r="J28" s="387"/>
      <c r="K28" s="388"/>
      <c r="L28" s="388"/>
      <c r="M28" s="388"/>
    </row>
    <row r="29" spans="2:13" x14ac:dyDescent="0.25">
      <c r="B29" s="286"/>
      <c r="C29" s="496" t="s">
        <v>163</v>
      </c>
      <c r="D29" s="122">
        <v>531</v>
      </c>
      <c r="E29" s="8">
        <v>544</v>
      </c>
      <c r="F29" s="8">
        <v>567</v>
      </c>
      <c r="G29" s="143">
        <v>-6.3492063492063489</v>
      </c>
      <c r="H29" s="143">
        <v>-2.3897058823529438</v>
      </c>
      <c r="I29" s="707"/>
      <c r="J29" s="387"/>
      <c r="K29" s="388"/>
      <c r="L29" s="388"/>
      <c r="M29" s="388"/>
    </row>
    <row r="30" spans="2:13" x14ac:dyDescent="0.25">
      <c r="B30" s="286"/>
      <c r="C30" s="496" t="s">
        <v>164</v>
      </c>
      <c r="D30" s="122">
        <v>586</v>
      </c>
      <c r="E30" s="8">
        <v>538</v>
      </c>
      <c r="F30" s="8">
        <v>537</v>
      </c>
      <c r="G30" s="143">
        <v>9.1247672253258916</v>
      </c>
      <c r="H30" s="143">
        <v>8.9219330855018661</v>
      </c>
      <c r="I30" s="707"/>
      <c r="J30" s="387"/>
      <c r="K30" s="388"/>
      <c r="L30" s="388"/>
      <c r="M30" s="388"/>
    </row>
    <row r="31" spans="2:13" x14ac:dyDescent="0.25">
      <c r="B31" s="286"/>
      <c r="C31" s="496" t="s">
        <v>165</v>
      </c>
      <c r="D31" s="122">
        <v>34</v>
      </c>
      <c r="E31" s="8">
        <v>27</v>
      </c>
      <c r="F31" s="8">
        <v>1</v>
      </c>
      <c r="G31" s="163" t="s">
        <v>494</v>
      </c>
      <c r="H31" s="143">
        <v>25.925925925925931</v>
      </c>
      <c r="I31" s="707"/>
      <c r="J31" s="387"/>
      <c r="K31" s="388"/>
      <c r="L31" s="388"/>
      <c r="M31" s="388"/>
    </row>
    <row r="32" spans="2:13" ht="28.5" x14ac:dyDescent="0.25">
      <c r="B32" s="286"/>
      <c r="C32" s="704" t="s">
        <v>166</v>
      </c>
      <c r="D32" s="122">
        <v>327</v>
      </c>
      <c r="E32" s="8">
        <v>309</v>
      </c>
      <c r="F32" s="8">
        <v>295</v>
      </c>
      <c r="G32" s="143">
        <v>10.847457627118651</v>
      </c>
      <c r="H32" s="143">
        <v>5.8252427184465994</v>
      </c>
      <c r="I32" s="707"/>
      <c r="J32" s="387"/>
      <c r="K32" s="388"/>
      <c r="L32" s="388"/>
      <c r="M32" s="388"/>
    </row>
    <row r="33" spans="1:13" x14ac:dyDescent="0.25">
      <c r="A33" s="286"/>
      <c r="B33" s="286"/>
      <c r="C33" s="496" t="s">
        <v>23</v>
      </c>
      <c r="D33" s="122">
        <v>194</v>
      </c>
      <c r="E33" s="8">
        <v>193</v>
      </c>
      <c r="F33" s="8">
        <v>152</v>
      </c>
      <c r="G33" s="143">
        <v>27.631578947368428</v>
      </c>
      <c r="H33" s="143">
        <v>0.51813471502590858</v>
      </c>
      <c r="I33" s="707"/>
      <c r="J33" s="388"/>
      <c r="K33" s="388"/>
      <c r="L33" s="388"/>
      <c r="M33" s="388"/>
    </row>
    <row r="34" spans="1:13" s="294" customFormat="1" ht="20.100000000000001" customHeight="1" x14ac:dyDescent="0.25">
      <c r="B34" s="294" t="s">
        <v>262</v>
      </c>
      <c r="C34" s="341"/>
      <c r="D34" s="101">
        <v>86</v>
      </c>
      <c r="E34" s="295">
        <v>98</v>
      </c>
      <c r="F34" s="295">
        <v>116</v>
      </c>
      <c r="G34" s="143">
        <v>-25.862068965517238</v>
      </c>
      <c r="H34" s="143">
        <v>-12.244897959183676</v>
      </c>
      <c r="I34" s="708"/>
      <c r="J34" s="388"/>
      <c r="K34" s="388"/>
      <c r="L34" s="388"/>
      <c r="M34" s="388"/>
    </row>
    <row r="35" spans="1:13" x14ac:dyDescent="0.25">
      <c r="A35" s="286"/>
      <c r="B35" s="294"/>
      <c r="C35" s="287" t="s">
        <v>229</v>
      </c>
      <c r="D35" s="122">
        <v>86</v>
      </c>
      <c r="E35" s="8">
        <v>98</v>
      </c>
      <c r="F35" s="8">
        <v>116</v>
      </c>
      <c r="G35" s="143">
        <v>-25.862068965517238</v>
      </c>
      <c r="H35" s="143">
        <v>-12.244897959183676</v>
      </c>
      <c r="I35" s="286"/>
      <c r="J35" s="388"/>
      <c r="K35" s="388"/>
      <c r="L35" s="388"/>
      <c r="M35" s="388"/>
    </row>
    <row r="36" spans="1:13" x14ac:dyDescent="0.25">
      <c r="A36" s="294"/>
      <c r="B36" s="365"/>
      <c r="C36" s="391"/>
      <c r="D36" s="8"/>
      <c r="E36" s="8"/>
      <c r="F36" s="8"/>
      <c r="G36" s="194"/>
      <c r="H36" s="194"/>
      <c r="I36" s="286"/>
      <c r="J36" s="388"/>
      <c r="K36" s="388"/>
      <c r="L36" s="388"/>
      <c r="M36" s="388"/>
    </row>
    <row r="37" spans="1:13" s="315" customFormat="1" x14ac:dyDescent="0.25">
      <c r="B37" s="422"/>
      <c r="C37" s="70"/>
      <c r="D37" s="293"/>
      <c r="E37" s="293"/>
      <c r="F37" s="293"/>
      <c r="G37" s="194"/>
      <c r="H37" s="194"/>
    </row>
    <row r="38" spans="1:13" s="286" customFormat="1" x14ac:dyDescent="0.25">
      <c r="B38" s="422" t="s">
        <v>119</v>
      </c>
      <c r="C38" s="422" t="s">
        <v>224</v>
      </c>
      <c r="D38" s="8"/>
      <c r="E38" s="8"/>
      <c r="F38" s="8"/>
      <c r="G38" s="132"/>
      <c r="H38" s="132"/>
    </row>
    <row r="39" spans="1:13" s="286" customFormat="1" x14ac:dyDescent="0.25">
      <c r="B39" s="70"/>
      <c r="C39" s="329"/>
      <c r="D39" s="8"/>
      <c r="E39" s="8"/>
      <c r="F39" s="8"/>
      <c r="G39" s="132"/>
      <c r="H39" s="132"/>
    </row>
    <row r="40" spans="1:13" x14ac:dyDescent="0.25">
      <c r="A40" s="286"/>
      <c r="B40" s="286"/>
      <c r="C40" s="321"/>
      <c r="D40" s="293"/>
      <c r="E40" s="8"/>
      <c r="F40" s="8"/>
      <c r="I40" s="286"/>
      <c r="J40" s="286"/>
      <c r="K40" s="286"/>
      <c r="L40" s="286"/>
      <c r="M40" s="286"/>
    </row>
    <row r="41" spans="1:13" x14ac:dyDescent="0.25">
      <c r="A41" s="286"/>
      <c r="B41" s="286"/>
      <c r="C41" s="321"/>
      <c r="D41" s="8"/>
      <c r="E41" s="8"/>
      <c r="F41" s="8"/>
      <c r="I41" s="286"/>
      <c r="J41" s="286"/>
      <c r="K41" s="286"/>
      <c r="L41" s="286"/>
      <c r="M41" s="286"/>
    </row>
    <row r="42" spans="1:13" x14ac:dyDescent="0.25">
      <c r="A42" s="286"/>
      <c r="B42" s="286"/>
      <c r="C42" s="321"/>
      <c r="D42" s="8"/>
      <c r="E42" s="8"/>
      <c r="F42" s="8"/>
      <c r="I42" s="286"/>
      <c r="J42" s="286"/>
      <c r="K42" s="286"/>
      <c r="L42" s="286"/>
      <c r="M42" s="286"/>
    </row>
    <row r="43" spans="1:13" x14ac:dyDescent="0.25">
      <c r="A43" s="286"/>
      <c r="B43" s="286"/>
      <c r="C43" s="321"/>
      <c r="D43" s="396"/>
      <c r="E43" s="396"/>
      <c r="F43" s="396"/>
      <c r="I43" s="286"/>
      <c r="J43" s="286"/>
      <c r="K43" s="286"/>
      <c r="L43" s="286"/>
      <c r="M43" s="286"/>
    </row>
    <row r="44" spans="1:13" x14ac:dyDescent="0.25">
      <c r="A44" s="286"/>
      <c r="B44" s="286"/>
      <c r="C44" s="321"/>
      <c r="D44" s="396"/>
      <c r="E44" s="396"/>
      <c r="F44" s="396"/>
      <c r="I44" s="286"/>
      <c r="J44" s="286"/>
      <c r="K44" s="286"/>
      <c r="L44" s="286"/>
      <c r="M44" s="286"/>
    </row>
    <row r="45" spans="1:13" x14ac:dyDescent="0.25">
      <c r="A45" s="286"/>
      <c r="B45" s="321"/>
      <c r="C45" s="321"/>
      <c r="D45" s="396"/>
      <c r="E45" s="396"/>
      <c r="F45" s="396"/>
      <c r="G45" s="497"/>
      <c r="H45" s="497"/>
      <c r="I45" s="286"/>
      <c r="J45" s="286"/>
      <c r="K45" s="286"/>
      <c r="L45" s="286"/>
      <c r="M45" s="286"/>
    </row>
    <row r="46" spans="1:13" x14ac:dyDescent="0.25">
      <c r="A46" s="286"/>
      <c r="B46" s="321"/>
      <c r="C46" s="321"/>
      <c r="D46" s="396"/>
      <c r="E46" s="396"/>
      <c r="F46" s="396"/>
      <c r="G46" s="497"/>
      <c r="H46" s="497"/>
      <c r="I46" s="286"/>
      <c r="J46" s="286"/>
      <c r="K46" s="286"/>
      <c r="L46" s="286"/>
      <c r="M46" s="286"/>
    </row>
    <row r="47" spans="1:13" x14ac:dyDescent="0.25">
      <c r="A47" s="286"/>
      <c r="B47" s="286"/>
      <c r="C47" s="321"/>
      <c r="D47" s="396"/>
      <c r="E47" s="396"/>
      <c r="F47" s="396"/>
      <c r="G47" s="497"/>
      <c r="H47" s="497"/>
      <c r="I47" s="286"/>
      <c r="J47" s="286"/>
      <c r="K47" s="286"/>
      <c r="L47" s="286"/>
      <c r="M47" s="286"/>
    </row>
    <row r="48" spans="1:13" x14ac:dyDescent="0.25">
      <c r="D48" s="396"/>
      <c r="E48" s="396"/>
      <c r="F48" s="396"/>
      <c r="G48" s="497"/>
      <c r="H48" s="497"/>
    </row>
    <row r="49" spans="4:8" x14ac:dyDescent="0.25">
      <c r="D49" s="396"/>
      <c r="E49" s="396"/>
      <c r="F49" s="396"/>
      <c r="G49" s="497"/>
      <c r="H49" s="497"/>
    </row>
    <row r="50" spans="4:8" x14ac:dyDescent="0.25">
      <c r="D50" s="396"/>
      <c r="E50" s="396"/>
      <c r="F50" s="396"/>
      <c r="G50" s="497"/>
      <c r="H50" s="497"/>
    </row>
    <row r="51" spans="4:8" x14ac:dyDescent="0.25">
      <c r="D51" s="396"/>
      <c r="E51" s="396"/>
      <c r="F51" s="396"/>
      <c r="G51" s="497"/>
      <c r="H51" s="497"/>
    </row>
    <row r="52" spans="4:8" x14ac:dyDescent="0.25">
      <c r="D52" s="396"/>
      <c r="E52" s="396"/>
      <c r="F52" s="396"/>
      <c r="G52" s="497"/>
      <c r="H52" s="497"/>
    </row>
    <row r="53" spans="4:8" x14ac:dyDescent="0.25">
      <c r="D53" s="396"/>
      <c r="E53" s="396"/>
      <c r="F53" s="396"/>
      <c r="G53" s="497"/>
      <c r="H53" s="497"/>
    </row>
    <row r="54" spans="4:8" x14ac:dyDescent="0.25">
      <c r="D54" s="396"/>
      <c r="E54" s="396"/>
      <c r="F54" s="396"/>
      <c r="G54" s="497"/>
      <c r="H54" s="497"/>
    </row>
    <row r="55" spans="4:8" x14ac:dyDescent="0.25">
      <c r="D55" s="396"/>
      <c r="E55" s="396"/>
      <c r="F55" s="396"/>
      <c r="G55" s="497"/>
      <c r="H55" s="497"/>
    </row>
    <row r="56" spans="4:8" x14ac:dyDescent="0.25">
      <c r="D56" s="396"/>
      <c r="E56" s="396"/>
      <c r="F56" s="396"/>
      <c r="G56" s="497"/>
      <c r="H56" s="497"/>
    </row>
    <row r="57" spans="4:8" x14ac:dyDescent="0.25">
      <c r="D57" s="396"/>
      <c r="E57" s="396"/>
      <c r="F57" s="396"/>
      <c r="G57" s="497"/>
      <c r="H57" s="497"/>
    </row>
    <row r="58" spans="4:8" x14ac:dyDescent="0.25">
      <c r="D58" s="293"/>
      <c r="E58" s="293"/>
      <c r="F58" s="293"/>
      <c r="G58" s="497"/>
      <c r="H58" s="497"/>
    </row>
    <row r="59" spans="4:8" x14ac:dyDescent="0.25">
      <c r="D59" s="293"/>
      <c r="E59" s="293"/>
      <c r="F59" s="293"/>
      <c r="G59" s="497"/>
      <c r="H59" s="497"/>
    </row>
    <row r="60" spans="4:8" x14ac:dyDescent="0.25">
      <c r="D60" s="293"/>
      <c r="E60" s="293"/>
      <c r="F60" s="293"/>
      <c r="G60" s="497"/>
      <c r="H60" s="497"/>
    </row>
    <row r="61" spans="4:8" x14ac:dyDescent="0.25">
      <c r="D61" s="293"/>
      <c r="E61" s="293"/>
      <c r="F61" s="293"/>
      <c r="G61" s="497"/>
      <c r="H61" s="497"/>
    </row>
    <row r="62" spans="4:8" x14ac:dyDescent="0.25">
      <c r="D62" s="293"/>
      <c r="E62" s="293"/>
      <c r="F62" s="293"/>
      <c r="G62" s="497"/>
      <c r="H62" s="497"/>
    </row>
    <row r="63" spans="4:8" x14ac:dyDescent="0.25">
      <c r="D63" s="293"/>
      <c r="E63" s="293"/>
      <c r="F63" s="293"/>
      <c r="G63" s="497"/>
      <c r="H63" s="497"/>
    </row>
    <row r="64" spans="4:8" x14ac:dyDescent="0.25">
      <c r="D64" s="293"/>
      <c r="E64" s="293"/>
      <c r="F64" s="293"/>
      <c r="G64" s="497"/>
      <c r="H64" s="497"/>
    </row>
    <row r="65" spans="4:8" x14ac:dyDescent="0.25">
      <c r="D65" s="293"/>
      <c r="E65" s="293"/>
      <c r="F65" s="293"/>
      <c r="G65" s="497"/>
      <c r="H65" s="497"/>
    </row>
    <row r="66" spans="4:8" x14ac:dyDescent="0.25">
      <c r="D66" s="293"/>
      <c r="E66" s="293"/>
      <c r="F66" s="293"/>
      <c r="G66" s="497"/>
      <c r="H66" s="497"/>
    </row>
    <row r="67" spans="4:8" x14ac:dyDescent="0.25">
      <c r="D67" s="293"/>
      <c r="E67" s="293"/>
      <c r="F67" s="293"/>
      <c r="G67" s="497"/>
      <c r="H67" s="497"/>
    </row>
    <row r="68" spans="4:8" x14ac:dyDescent="0.25">
      <c r="D68" s="293"/>
      <c r="E68" s="293"/>
      <c r="F68" s="293"/>
      <c r="G68" s="497"/>
      <c r="H68" s="497"/>
    </row>
    <row r="69" spans="4:8" x14ac:dyDescent="0.25">
      <c r="D69" s="293"/>
      <c r="E69" s="293"/>
      <c r="F69" s="293"/>
      <c r="G69" s="497"/>
      <c r="H69" s="497"/>
    </row>
    <row r="70" spans="4:8" x14ac:dyDescent="0.25">
      <c r="D70" s="293"/>
      <c r="E70" s="293"/>
      <c r="F70" s="293"/>
      <c r="G70" s="497"/>
      <c r="H70" s="497"/>
    </row>
    <row r="71" spans="4:8" x14ac:dyDescent="0.25">
      <c r="D71" s="293"/>
      <c r="E71" s="293"/>
      <c r="F71" s="293"/>
      <c r="G71" s="497"/>
      <c r="H71" s="497"/>
    </row>
    <row r="72" spans="4:8" x14ac:dyDescent="0.25">
      <c r="D72" s="293"/>
      <c r="E72" s="293"/>
      <c r="F72" s="293"/>
      <c r="G72" s="497"/>
      <c r="H72" s="497"/>
    </row>
    <row r="73" spans="4:8" x14ac:dyDescent="0.25">
      <c r="D73" s="293"/>
      <c r="E73" s="293"/>
      <c r="F73" s="293"/>
      <c r="G73" s="497"/>
      <c r="H73" s="497"/>
    </row>
    <row r="74" spans="4:8" x14ac:dyDescent="0.25">
      <c r="D74" s="293"/>
      <c r="E74" s="293"/>
      <c r="F74" s="293"/>
      <c r="G74" s="497"/>
      <c r="H74" s="497"/>
    </row>
    <row r="75" spans="4:8" x14ac:dyDescent="0.25">
      <c r="D75" s="293"/>
      <c r="E75" s="293"/>
      <c r="F75" s="293"/>
      <c r="G75" s="497"/>
      <c r="H75" s="497"/>
    </row>
    <row r="76" spans="4:8" x14ac:dyDescent="0.25">
      <c r="D76" s="293"/>
      <c r="E76" s="293"/>
      <c r="F76" s="293"/>
      <c r="G76" s="497"/>
      <c r="H76" s="497"/>
    </row>
    <row r="77" spans="4:8" x14ac:dyDescent="0.25">
      <c r="D77" s="293"/>
      <c r="E77" s="293"/>
      <c r="F77" s="293"/>
      <c r="G77" s="497"/>
      <c r="H77" s="497"/>
    </row>
    <row r="78" spans="4:8" x14ac:dyDescent="0.25">
      <c r="D78" s="293"/>
      <c r="E78" s="293"/>
      <c r="F78" s="293"/>
      <c r="G78" s="497"/>
      <c r="H78" s="497"/>
    </row>
    <row r="79" spans="4:8" x14ac:dyDescent="0.25">
      <c r="D79" s="293"/>
      <c r="E79" s="293"/>
      <c r="F79" s="293"/>
      <c r="G79" s="497"/>
      <c r="H79" s="497"/>
    </row>
    <row r="80" spans="4:8" x14ac:dyDescent="0.25">
      <c r="D80" s="293"/>
      <c r="E80" s="293"/>
      <c r="F80" s="293"/>
      <c r="G80" s="497"/>
      <c r="H80" s="497"/>
    </row>
    <row r="81" spans="4:6" x14ac:dyDescent="0.25">
      <c r="D81" s="293"/>
      <c r="E81" s="293"/>
      <c r="F81" s="293"/>
    </row>
    <row r="82" spans="4:6" x14ac:dyDescent="0.25">
      <c r="D82" s="293"/>
      <c r="E82" s="293"/>
      <c r="F82" s="293"/>
    </row>
    <row r="83" spans="4:6" x14ac:dyDescent="0.25">
      <c r="D83" s="293"/>
      <c r="E83" s="293"/>
      <c r="F83" s="293"/>
    </row>
    <row r="84" spans="4:6" x14ac:dyDescent="0.25">
      <c r="D84" s="293"/>
      <c r="E84" s="293"/>
      <c r="F84" s="293"/>
    </row>
    <row r="85" spans="4:6" x14ac:dyDescent="0.25">
      <c r="D85" s="293"/>
      <c r="E85" s="293"/>
      <c r="F85" s="293"/>
    </row>
    <row r="86" spans="4:6" x14ac:dyDescent="0.25">
      <c r="D86" s="293"/>
      <c r="E86" s="293"/>
      <c r="F86" s="293"/>
    </row>
    <row r="87" spans="4:6" x14ac:dyDescent="0.25">
      <c r="D87" s="293"/>
      <c r="E87" s="293"/>
      <c r="F87" s="293"/>
    </row>
    <row r="88" spans="4:6" x14ac:dyDescent="0.25">
      <c r="D88" s="293"/>
      <c r="E88" s="293"/>
      <c r="F88" s="293"/>
    </row>
    <row r="89" spans="4:6" x14ac:dyDescent="0.25">
      <c r="D89" s="293"/>
      <c r="E89" s="293"/>
      <c r="F89" s="293"/>
    </row>
    <row r="90" spans="4:6" x14ac:dyDescent="0.25">
      <c r="D90" s="293"/>
      <c r="E90" s="293"/>
      <c r="F90" s="293"/>
    </row>
    <row r="91" spans="4:6" x14ac:dyDescent="0.25">
      <c r="D91" s="293"/>
      <c r="E91" s="293"/>
      <c r="F91" s="293"/>
    </row>
    <row r="92" spans="4:6" x14ac:dyDescent="0.25">
      <c r="D92" s="293"/>
      <c r="E92" s="293"/>
      <c r="F92" s="293"/>
    </row>
    <row r="93" spans="4:6" x14ac:dyDescent="0.25">
      <c r="D93" s="293"/>
      <c r="E93" s="293"/>
      <c r="F93" s="293"/>
    </row>
    <row r="94" spans="4:6" x14ac:dyDescent="0.25">
      <c r="D94" s="293"/>
      <c r="E94" s="293"/>
      <c r="F94" s="293"/>
    </row>
    <row r="95" spans="4:6" x14ac:dyDescent="0.25">
      <c r="D95" s="293"/>
      <c r="E95" s="293"/>
      <c r="F95" s="293"/>
    </row>
    <row r="96" spans="4:6" x14ac:dyDescent="0.25">
      <c r="D96" s="293"/>
      <c r="E96" s="293"/>
      <c r="F96" s="293"/>
    </row>
    <row r="97" spans="4:6" x14ac:dyDescent="0.25">
      <c r="D97" s="293"/>
      <c r="E97" s="293"/>
      <c r="F97" s="293"/>
    </row>
    <row r="98" spans="4:6" x14ac:dyDescent="0.25">
      <c r="D98" s="293"/>
      <c r="E98" s="293"/>
      <c r="F98" s="293"/>
    </row>
    <row r="99" spans="4:6" x14ac:dyDescent="0.25">
      <c r="D99" s="293"/>
      <c r="E99" s="293"/>
      <c r="F99" s="293"/>
    </row>
    <row r="100" spans="4:6" x14ac:dyDescent="0.25">
      <c r="D100" s="293"/>
      <c r="E100" s="293"/>
      <c r="F100" s="293"/>
    </row>
    <row r="101" spans="4:6" x14ac:dyDescent="0.25">
      <c r="D101" s="293"/>
      <c r="E101" s="293"/>
      <c r="F101" s="293"/>
    </row>
    <row r="102" spans="4:6" x14ac:dyDescent="0.25">
      <c r="D102" s="293"/>
      <c r="E102" s="293"/>
      <c r="F102" s="293"/>
    </row>
    <row r="103" spans="4:6" x14ac:dyDescent="0.25">
      <c r="D103" s="293"/>
      <c r="E103" s="293"/>
      <c r="F103" s="293"/>
    </row>
    <row r="104" spans="4:6" x14ac:dyDescent="0.25">
      <c r="D104" s="293"/>
      <c r="E104" s="293"/>
      <c r="F104" s="293"/>
    </row>
    <row r="105" spans="4:6" x14ac:dyDescent="0.25">
      <c r="D105" s="293"/>
      <c r="E105" s="293"/>
      <c r="F105" s="293"/>
    </row>
    <row r="106" spans="4:6" x14ac:dyDescent="0.25">
      <c r="D106" s="293"/>
      <c r="E106" s="293"/>
      <c r="F106" s="293"/>
    </row>
    <row r="107" spans="4:6" x14ac:dyDescent="0.25">
      <c r="D107" s="293"/>
      <c r="E107" s="293"/>
      <c r="F107" s="293"/>
    </row>
    <row r="108" spans="4:6" x14ac:dyDescent="0.25">
      <c r="D108" s="293"/>
      <c r="E108" s="293"/>
      <c r="F108" s="293"/>
    </row>
    <row r="109" spans="4:6" x14ac:dyDescent="0.25">
      <c r="D109" s="293"/>
      <c r="E109" s="293"/>
      <c r="F109" s="293"/>
    </row>
    <row r="110" spans="4:6" x14ac:dyDescent="0.25">
      <c r="D110" s="293"/>
      <c r="E110" s="293"/>
      <c r="F110" s="293"/>
    </row>
    <row r="111" spans="4:6" x14ac:dyDescent="0.25">
      <c r="D111" s="293"/>
      <c r="E111" s="293"/>
      <c r="F111" s="293"/>
    </row>
    <row r="112" spans="4:6" x14ac:dyDescent="0.25">
      <c r="D112" s="293"/>
      <c r="E112" s="293"/>
      <c r="F112" s="293"/>
    </row>
    <row r="113" spans="4:6" x14ac:dyDescent="0.25">
      <c r="D113" s="293"/>
      <c r="E113" s="293"/>
      <c r="F113" s="293"/>
    </row>
    <row r="114" spans="4:6" x14ac:dyDescent="0.25">
      <c r="D114" s="293"/>
      <c r="E114" s="293"/>
      <c r="F114" s="293"/>
    </row>
    <row r="115" spans="4:6" x14ac:dyDescent="0.25">
      <c r="D115" s="293"/>
      <c r="E115" s="293"/>
      <c r="F115" s="293"/>
    </row>
    <row r="116" spans="4:6" x14ac:dyDescent="0.25">
      <c r="D116" s="293"/>
      <c r="E116" s="293"/>
      <c r="F116" s="293"/>
    </row>
    <row r="117" spans="4:6" x14ac:dyDescent="0.25">
      <c r="D117" s="293"/>
      <c r="E117" s="293"/>
      <c r="F117" s="293"/>
    </row>
    <row r="118" spans="4:6" x14ac:dyDescent="0.25">
      <c r="D118" s="293"/>
      <c r="E118" s="293"/>
      <c r="F118" s="293"/>
    </row>
    <row r="119" spans="4:6" x14ac:dyDescent="0.25">
      <c r="D119" s="293"/>
      <c r="E119" s="293"/>
      <c r="F119" s="293"/>
    </row>
    <row r="120" spans="4:6" x14ac:dyDescent="0.25">
      <c r="D120" s="293"/>
      <c r="E120" s="293"/>
      <c r="F120" s="293"/>
    </row>
    <row r="121" spans="4:6" x14ac:dyDescent="0.25">
      <c r="D121" s="293"/>
      <c r="E121" s="293"/>
      <c r="F121" s="293"/>
    </row>
    <row r="122" spans="4:6" x14ac:dyDescent="0.25">
      <c r="D122" s="293"/>
      <c r="E122" s="293"/>
      <c r="F122" s="293"/>
    </row>
    <row r="123" spans="4:6" x14ac:dyDescent="0.25">
      <c r="D123" s="293"/>
      <c r="E123" s="293"/>
      <c r="F123" s="293"/>
    </row>
    <row r="124" spans="4:6" x14ac:dyDescent="0.25">
      <c r="D124" s="293"/>
      <c r="E124" s="293"/>
      <c r="F124" s="293"/>
    </row>
    <row r="125" spans="4:6" x14ac:dyDescent="0.25">
      <c r="D125" s="293"/>
      <c r="E125" s="293"/>
      <c r="F125" s="293"/>
    </row>
    <row r="126" spans="4:6" x14ac:dyDescent="0.25">
      <c r="D126" s="293"/>
      <c r="E126" s="293"/>
      <c r="F126" s="293"/>
    </row>
    <row r="127" spans="4:6" x14ac:dyDescent="0.25">
      <c r="D127" s="293"/>
      <c r="E127" s="293"/>
      <c r="F127" s="293"/>
    </row>
    <row r="128" spans="4:6" x14ac:dyDescent="0.25">
      <c r="D128" s="293"/>
      <c r="E128" s="293"/>
      <c r="F128" s="293"/>
    </row>
    <row r="129" spans="4:6" x14ac:dyDescent="0.25">
      <c r="D129" s="293"/>
      <c r="E129" s="293"/>
      <c r="F129" s="293"/>
    </row>
    <row r="130" spans="4:6" x14ac:dyDescent="0.25">
      <c r="D130" s="293"/>
      <c r="E130" s="293"/>
      <c r="F130" s="293"/>
    </row>
    <row r="131" spans="4:6" x14ac:dyDescent="0.25">
      <c r="D131" s="293"/>
      <c r="E131" s="293"/>
      <c r="F131" s="293"/>
    </row>
    <row r="132" spans="4:6" x14ac:dyDescent="0.25">
      <c r="D132" s="293"/>
      <c r="E132" s="293"/>
      <c r="F132" s="293"/>
    </row>
    <row r="133" spans="4:6" x14ac:dyDescent="0.25">
      <c r="D133" s="293"/>
      <c r="E133" s="293"/>
      <c r="F133" s="293"/>
    </row>
    <row r="134" spans="4:6" x14ac:dyDescent="0.25">
      <c r="D134" s="293"/>
      <c r="E134" s="293"/>
      <c r="F134" s="293"/>
    </row>
    <row r="135" spans="4:6" x14ac:dyDescent="0.25">
      <c r="D135" s="293"/>
      <c r="E135" s="293"/>
      <c r="F135" s="293"/>
    </row>
    <row r="136" spans="4:6" x14ac:dyDescent="0.25">
      <c r="D136" s="293"/>
      <c r="E136" s="293"/>
      <c r="F136" s="293"/>
    </row>
    <row r="137" spans="4:6" x14ac:dyDescent="0.25">
      <c r="D137" s="293"/>
      <c r="E137" s="293"/>
      <c r="F137" s="293"/>
    </row>
    <row r="138" spans="4:6" x14ac:dyDescent="0.25">
      <c r="D138" s="293"/>
      <c r="E138" s="293"/>
      <c r="F138" s="293"/>
    </row>
    <row r="139" spans="4:6" x14ac:dyDescent="0.25">
      <c r="D139" s="293"/>
      <c r="E139" s="293"/>
      <c r="F139" s="293"/>
    </row>
    <row r="140" spans="4:6" x14ac:dyDescent="0.25">
      <c r="D140" s="293"/>
      <c r="E140" s="293"/>
      <c r="F140" s="293"/>
    </row>
  </sheetData>
  <sheetProtection formatCells="0"/>
  <mergeCells count="1">
    <mergeCell ref="A2:C2"/>
  </mergeCells>
  <phoneticPr fontId="2" type="noConversion"/>
  <hyperlinks>
    <hyperlink ref="A2" location="Index!A1" display="Back to Index" xr:uid="{097DD63F-3DA5-4362-9558-C28CE303D7FE}"/>
  </hyperlinks>
  <printOptions gridLines="1"/>
  <pageMargins left="0.74803149606299213" right="0.31496062992125984" top="0.70866141732283472" bottom="0.51181102362204722" header="0.51181102362204722" footer="0"/>
  <pageSetup paperSize="9" scale="77" orientation="landscape" blackAndWhite="1" r:id="rId1"/>
  <headerFooter alignWithMargins="0">
    <oddFooter>&amp;L&amp;8&amp;D\&amp;T&amp;R&amp;F&amp;A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7224-BC32-49BD-9E8C-4D6FCD3FE6B2}">
  <sheetPr>
    <tabColor indexed="47"/>
    <pageSetUpPr fitToPage="1"/>
  </sheetPr>
  <dimension ref="A1:U21"/>
  <sheetViews>
    <sheetView showGridLines="0" zoomScale="85" zoomScaleNormal="85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1.5703125" style="501" customWidth="1"/>
    <col min="2" max="2" width="4.42578125" style="501" customWidth="1"/>
    <col min="3" max="3" width="53.42578125" style="505" customWidth="1"/>
    <col min="4" max="7" width="11.42578125" style="506" customWidth="1"/>
    <col min="8" max="9" width="11.42578125" style="507" customWidth="1"/>
    <col min="10" max="10" width="9.5703125" style="506" customWidth="1"/>
    <col min="11" max="11" width="4.42578125" style="501" customWidth="1"/>
    <col min="12" max="16384" width="9.42578125" style="501"/>
  </cols>
  <sheetData>
    <row r="1" spans="1:12" s="498" customFormat="1" ht="20.25" x14ac:dyDescent="0.3">
      <c r="A1" s="3" t="s">
        <v>16</v>
      </c>
      <c r="B1" s="4"/>
      <c r="C1" s="4"/>
      <c r="D1" s="331"/>
      <c r="E1" s="331"/>
      <c r="F1" s="331"/>
      <c r="G1" s="331"/>
      <c r="H1" s="448"/>
      <c r="I1" s="448"/>
      <c r="J1" s="331"/>
      <c r="K1" s="4"/>
      <c r="L1" s="4"/>
    </row>
    <row r="2" spans="1:12" s="499" customFormat="1" ht="48" customHeight="1" x14ac:dyDescent="0.25">
      <c r="A2" s="729" t="s">
        <v>34</v>
      </c>
      <c r="B2" s="729"/>
      <c r="C2" s="729"/>
      <c r="D2" s="449">
        <v>46174</v>
      </c>
      <c r="E2" s="449">
        <v>46082</v>
      </c>
      <c r="F2" s="449">
        <v>45992</v>
      </c>
      <c r="G2" s="449">
        <v>45809</v>
      </c>
      <c r="H2" s="426" t="s">
        <v>474</v>
      </c>
      <c r="I2" s="426" t="s">
        <v>475</v>
      </c>
      <c r="J2" s="449"/>
      <c r="K2" s="285"/>
      <c r="L2" s="6"/>
    </row>
    <row r="3" spans="1:12" s="500" customFormat="1" ht="7.5" customHeight="1" x14ac:dyDescent="0.25">
      <c r="A3" s="316"/>
      <c r="B3" s="341"/>
      <c r="C3" s="341"/>
      <c r="D3" s="333"/>
      <c r="E3" s="295"/>
      <c r="F3" s="295"/>
      <c r="G3" s="295"/>
      <c r="H3" s="194"/>
      <c r="I3" s="194"/>
      <c r="J3" s="295"/>
      <c r="K3" s="341"/>
      <c r="L3" s="341"/>
    </row>
    <row r="4" spans="1:12" ht="15" x14ac:dyDescent="0.25">
      <c r="A4" s="337" t="s">
        <v>263</v>
      </c>
      <c r="B4" s="482"/>
      <c r="C4" s="321"/>
      <c r="D4" s="308"/>
      <c r="E4" s="130"/>
      <c r="F4" s="204"/>
      <c r="G4" s="130"/>
      <c r="H4" s="149"/>
      <c r="I4" s="149"/>
      <c r="J4" s="130"/>
      <c r="K4" s="286"/>
      <c r="L4" s="286"/>
    </row>
    <row r="5" spans="1:12" s="286" customFormat="1" x14ac:dyDescent="0.2">
      <c r="B5" s="286" t="s">
        <v>264</v>
      </c>
      <c r="D5" s="112">
        <v>63516</v>
      </c>
      <c r="E5" s="130">
        <v>62516</v>
      </c>
      <c r="F5" s="130">
        <v>62195</v>
      </c>
      <c r="G5" s="130">
        <v>60538</v>
      </c>
      <c r="H5" s="296">
        <v>4.9192242888764115</v>
      </c>
      <c r="I5" s="296">
        <v>2.1239649489508849</v>
      </c>
      <c r="J5" s="8"/>
    </row>
    <row r="6" spans="1:12" s="286" customFormat="1" x14ac:dyDescent="0.2">
      <c r="D6" s="112"/>
      <c r="E6" s="130"/>
      <c r="F6" s="130"/>
      <c r="G6" s="130"/>
      <c r="H6" s="130"/>
      <c r="I6" s="130"/>
      <c r="J6" s="8"/>
    </row>
    <row r="7" spans="1:12" s="286" customFormat="1" x14ac:dyDescent="0.2">
      <c r="B7" s="287" t="s">
        <v>265</v>
      </c>
      <c r="D7" s="112">
        <v>63517</v>
      </c>
      <c r="E7" s="130">
        <v>62517</v>
      </c>
      <c r="F7" s="130">
        <v>62195</v>
      </c>
      <c r="G7" s="130">
        <v>61538</v>
      </c>
      <c r="H7" s="296">
        <v>3.2158991192434039</v>
      </c>
      <c r="I7" s="296">
        <v>2.125572795240771</v>
      </c>
      <c r="J7" s="8"/>
    </row>
    <row r="8" spans="1:12" s="286" customFormat="1" x14ac:dyDescent="0.2">
      <c r="B8" s="287"/>
      <c r="D8" s="112"/>
      <c r="E8" s="130"/>
      <c r="F8" s="130"/>
      <c r="G8" s="130"/>
      <c r="H8" s="130"/>
      <c r="I8" s="130"/>
      <c r="J8" s="8"/>
    </row>
    <row r="9" spans="1:12" s="286" customFormat="1" x14ac:dyDescent="0.2">
      <c r="B9" s="287" t="s">
        <v>266</v>
      </c>
      <c r="D9" s="112">
        <v>65681</v>
      </c>
      <c r="E9" s="130">
        <v>64879</v>
      </c>
      <c r="F9" s="130">
        <v>65446</v>
      </c>
      <c r="G9" s="130">
        <v>64709</v>
      </c>
      <c r="H9" s="296">
        <v>1.5021094438177007</v>
      </c>
      <c r="I9" s="296">
        <v>0.35907465696909391</v>
      </c>
      <c r="J9" s="8"/>
    </row>
    <row r="10" spans="1:12" s="500" customFormat="1" ht="15" x14ac:dyDescent="0.25">
      <c r="A10" s="341"/>
      <c r="B10" s="341"/>
      <c r="C10" s="287"/>
      <c r="D10" s="112"/>
      <c r="E10" s="130"/>
      <c r="F10" s="130"/>
      <c r="G10" s="130"/>
      <c r="H10" s="130"/>
      <c r="I10" s="130"/>
      <c r="J10" s="295"/>
      <c r="K10" s="286"/>
      <c r="L10" s="341"/>
    </row>
    <row r="11" spans="1:12" s="502" customFormat="1" ht="15" x14ac:dyDescent="0.25">
      <c r="A11" s="341" t="s">
        <v>428</v>
      </c>
      <c r="B11" s="294"/>
      <c r="C11" s="294"/>
      <c r="D11" s="112">
        <v>381940</v>
      </c>
      <c r="E11" s="130">
        <v>370520</v>
      </c>
      <c r="F11" s="130">
        <v>365381</v>
      </c>
      <c r="G11" s="130">
        <v>355160</v>
      </c>
      <c r="H11" s="296">
        <v>7.5402635431917941</v>
      </c>
      <c r="I11" s="296">
        <v>4.5319816848714112</v>
      </c>
      <c r="J11" s="295"/>
      <c r="K11" s="294"/>
      <c r="L11" s="294"/>
    </row>
    <row r="12" spans="1:12" ht="15" x14ac:dyDescent="0.25">
      <c r="A12" s="286"/>
      <c r="B12" s="341"/>
      <c r="C12" s="294"/>
      <c r="D12" s="112"/>
      <c r="E12" s="130"/>
      <c r="F12" s="130"/>
      <c r="G12" s="130"/>
      <c r="H12" s="130"/>
      <c r="I12" s="130"/>
      <c r="J12" s="132"/>
      <c r="K12" s="286"/>
      <c r="L12" s="286"/>
    </row>
    <row r="13" spans="1:12" ht="15" x14ac:dyDescent="0.25">
      <c r="A13" s="341" t="s">
        <v>267</v>
      </c>
      <c r="B13" s="286"/>
      <c r="C13" s="294"/>
      <c r="D13" s="112"/>
      <c r="E13" s="130"/>
      <c r="F13" s="130"/>
      <c r="G13" s="130"/>
      <c r="H13" s="130"/>
      <c r="I13" s="130"/>
      <c r="J13" s="130"/>
      <c r="K13" s="286"/>
      <c r="L13" s="286"/>
    </row>
    <row r="14" spans="1:12" s="286" customFormat="1" x14ac:dyDescent="0.2">
      <c r="B14" s="286" t="s">
        <v>476</v>
      </c>
      <c r="D14" s="202">
        <v>16.600000000000001</v>
      </c>
      <c r="E14" s="205">
        <v>16.899999999999999</v>
      </c>
      <c r="F14" s="205">
        <v>17</v>
      </c>
      <c r="G14" s="205">
        <v>17</v>
      </c>
      <c r="H14" s="199">
        <v>-0.39999999999999858</v>
      </c>
      <c r="I14" s="199">
        <v>-0.39999999999999858</v>
      </c>
      <c r="J14" s="206"/>
    </row>
    <row r="15" spans="1:12" s="286" customFormat="1" x14ac:dyDescent="0.2">
      <c r="B15" s="287" t="s">
        <v>477</v>
      </c>
      <c r="D15" s="202">
        <v>16.600000000000001</v>
      </c>
      <c r="E15" s="205">
        <v>16.899999999999999</v>
      </c>
      <c r="F15" s="205">
        <v>17</v>
      </c>
      <c r="G15" s="205">
        <v>17.3</v>
      </c>
      <c r="H15" s="199">
        <v>-0.69999999999999929</v>
      </c>
      <c r="I15" s="199">
        <v>-0.39999999999999858</v>
      </c>
      <c r="J15" s="206"/>
    </row>
    <row r="16" spans="1:12" s="286" customFormat="1" x14ac:dyDescent="0.2">
      <c r="B16" s="287" t="s">
        <v>199</v>
      </c>
      <c r="D16" s="203">
        <v>17.2</v>
      </c>
      <c r="E16" s="206">
        <v>17.5</v>
      </c>
      <c r="F16" s="206">
        <v>17.899999999999999</v>
      </c>
      <c r="G16" s="206">
        <v>18.2</v>
      </c>
      <c r="H16" s="199">
        <v>-1</v>
      </c>
      <c r="I16" s="199">
        <v>-0.69999999999999929</v>
      </c>
      <c r="J16" s="206"/>
    </row>
    <row r="17" spans="1:21" s="500" customFormat="1" ht="17.25" x14ac:dyDescent="0.25">
      <c r="A17" s="341"/>
      <c r="B17" s="287" t="s">
        <v>478</v>
      </c>
      <c r="C17" s="341"/>
      <c r="D17" s="203">
        <v>14.6</v>
      </c>
      <c r="E17" s="206">
        <v>14.8</v>
      </c>
      <c r="F17" s="206">
        <v>15</v>
      </c>
      <c r="G17" s="206">
        <v>15.1</v>
      </c>
      <c r="H17" s="199">
        <v>-0.5</v>
      </c>
      <c r="I17" s="199">
        <v>-0.40000000000000036</v>
      </c>
      <c r="J17" s="206"/>
      <c r="K17" s="294"/>
      <c r="L17" s="341"/>
      <c r="M17" s="341"/>
      <c r="N17" s="341"/>
      <c r="O17" s="341"/>
      <c r="P17" s="341"/>
      <c r="Q17" s="341"/>
      <c r="R17" s="341"/>
      <c r="S17" s="341"/>
      <c r="T17" s="341"/>
      <c r="U17" s="341"/>
    </row>
    <row r="18" spans="1:21" s="500" customFormat="1" ht="15" x14ac:dyDescent="0.25">
      <c r="A18" s="341"/>
      <c r="B18" s="287"/>
      <c r="C18" s="341"/>
      <c r="D18" s="503"/>
      <c r="E18" s="503"/>
      <c r="F18" s="206"/>
      <c r="G18" s="206"/>
      <c r="H18" s="199"/>
      <c r="I18" s="199"/>
      <c r="J18" s="206"/>
      <c r="K18" s="294"/>
      <c r="L18" s="341"/>
      <c r="M18" s="341"/>
      <c r="N18" s="341"/>
      <c r="O18" s="341"/>
      <c r="P18" s="341"/>
      <c r="Q18" s="341"/>
      <c r="R18" s="341"/>
      <c r="S18" s="341"/>
      <c r="T18" s="341"/>
      <c r="U18" s="341"/>
    </row>
    <row r="19" spans="1:21" s="504" customFormat="1" x14ac:dyDescent="0.2">
      <c r="A19" s="287"/>
      <c r="B19" s="287"/>
      <c r="C19" s="287"/>
      <c r="D19" s="130"/>
      <c r="E19" s="130"/>
      <c r="F19" s="130"/>
      <c r="G19" s="130"/>
      <c r="H19" s="204"/>
      <c r="I19" s="204"/>
      <c r="J19" s="130"/>
      <c r="K19" s="286"/>
      <c r="L19" s="287"/>
      <c r="M19" s="287"/>
      <c r="N19" s="287"/>
      <c r="O19" s="287"/>
      <c r="P19" s="287"/>
      <c r="Q19" s="287"/>
      <c r="R19" s="287"/>
      <c r="S19" s="287"/>
      <c r="T19" s="287"/>
      <c r="U19" s="287"/>
    </row>
    <row r="20" spans="1:21" s="294" customFormat="1" ht="15" x14ac:dyDescent="0.25">
      <c r="B20" s="422" t="s">
        <v>119</v>
      </c>
      <c r="C20" s="70" t="s">
        <v>268</v>
      </c>
      <c r="D20" s="295"/>
      <c r="E20" s="295"/>
      <c r="F20" s="295"/>
      <c r="G20" s="295"/>
      <c r="H20" s="132"/>
      <c r="I20" s="132"/>
      <c r="J20" s="295"/>
      <c r="K20" s="286"/>
    </row>
    <row r="21" spans="1:21" s="290" customFormat="1" x14ac:dyDescent="0.2">
      <c r="A21" s="286"/>
      <c r="B21" s="70"/>
      <c r="C21" s="7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286"/>
      <c r="R21" s="286"/>
      <c r="S21" s="286"/>
      <c r="T21" s="286"/>
      <c r="U21" s="8"/>
    </row>
  </sheetData>
  <sheetProtection formatCells="0"/>
  <mergeCells count="1">
    <mergeCell ref="A2:C2"/>
  </mergeCells>
  <phoneticPr fontId="2" type="noConversion"/>
  <hyperlinks>
    <hyperlink ref="A2" location="Index!A1" display="Back to Index" xr:uid="{547C7D6D-A3B3-4638-81CB-9DCB3BA42577}"/>
  </hyperlinks>
  <pageMargins left="0.74803149606299213" right="0.74803149606299213" top="0.98425196850393704" bottom="0.98425196850393704" header="0.51181102362204722" footer="0.51181102362204722"/>
  <pageSetup scale="9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8596-DB03-4AEF-AADE-D29836C808D1}">
  <sheetPr>
    <tabColor rgb="FF00FF00"/>
    <pageSetUpPr fitToPage="1"/>
  </sheetPr>
  <dimension ref="A1:K137"/>
  <sheetViews>
    <sheetView showGridLines="0" zoomScale="85" zoomScaleNormal="85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8.85546875" defaultRowHeight="12.75" x14ac:dyDescent="0.2"/>
  <cols>
    <col min="2" max="2" width="14" customWidth="1"/>
    <col min="3" max="3" width="38.140625" customWidth="1"/>
    <col min="4" max="6" width="11.42578125" style="727" customWidth="1"/>
    <col min="7" max="7" width="2.85546875" customWidth="1"/>
    <col min="9" max="9" width="14.5703125" bestFit="1" customWidth="1"/>
    <col min="10" max="10" width="12.85546875" bestFit="1" customWidth="1"/>
  </cols>
  <sheetData>
    <row r="1" spans="1:11" s="4" customFormat="1" ht="20.25" x14ac:dyDescent="0.3">
      <c r="A1" s="3" t="s">
        <v>269</v>
      </c>
      <c r="D1" s="709"/>
      <c r="E1" s="709"/>
      <c r="F1" s="709"/>
    </row>
    <row r="2" spans="1:11" s="6" customFormat="1" ht="15" x14ac:dyDescent="0.25">
      <c r="A2" s="729" t="s">
        <v>34</v>
      </c>
      <c r="B2" s="729"/>
      <c r="C2" s="729"/>
      <c r="D2" s="284" t="s">
        <v>449</v>
      </c>
      <c r="E2" s="284" t="s">
        <v>450</v>
      </c>
      <c r="F2" s="284" t="s">
        <v>37</v>
      </c>
    </row>
    <row r="3" spans="1:11" ht="6.6" customHeight="1" x14ac:dyDescent="0.2">
      <c r="D3" s="710"/>
      <c r="E3" s="711"/>
      <c r="F3" s="711"/>
    </row>
    <row r="4" spans="1:11" s="714" customFormat="1" ht="17.25" x14ac:dyDescent="0.25">
      <c r="A4" s="316" t="s">
        <v>270</v>
      </c>
      <c r="B4" s="2"/>
      <c r="C4" s="2"/>
      <c r="D4" s="712"/>
      <c r="E4" s="713"/>
      <c r="F4" s="713"/>
      <c r="G4" s="2"/>
      <c r="H4" s="2"/>
      <c r="I4" s="2"/>
      <c r="J4" s="2"/>
      <c r="K4" s="2"/>
    </row>
    <row r="5" spans="1:11" s="714" customFormat="1" ht="14.25" x14ac:dyDescent="0.2">
      <c r="A5" s="338" t="s">
        <v>157</v>
      </c>
      <c r="B5" s="2"/>
      <c r="C5" s="2"/>
      <c r="D5" s="508">
        <v>12041</v>
      </c>
      <c r="E5" s="209"/>
      <c r="F5" s="209"/>
      <c r="G5" s="2"/>
      <c r="H5" s="2"/>
      <c r="I5" s="2"/>
      <c r="J5" s="2"/>
      <c r="K5" s="2"/>
    </row>
    <row r="6" spans="1:11" s="714" customFormat="1" ht="14.25" x14ac:dyDescent="0.2">
      <c r="A6" s="2"/>
      <c r="B6" s="2" t="s">
        <v>20</v>
      </c>
      <c r="C6" s="2"/>
      <c r="D6" s="151">
        <v>46</v>
      </c>
      <c r="E6" s="163">
        <v>47</v>
      </c>
      <c r="F6" s="210">
        <v>45</v>
      </c>
      <c r="G6" s="2"/>
      <c r="H6" s="210"/>
      <c r="I6" s="2"/>
      <c r="J6" s="2"/>
      <c r="K6" s="715"/>
    </row>
    <row r="7" spans="1:11" s="714" customFormat="1" ht="14.25" x14ac:dyDescent="0.2">
      <c r="A7" s="2"/>
      <c r="B7" s="2" t="s">
        <v>271</v>
      </c>
      <c r="C7" s="2"/>
      <c r="D7" s="151">
        <v>38</v>
      </c>
      <c r="E7" s="163">
        <v>39</v>
      </c>
      <c r="F7" s="210">
        <v>39</v>
      </c>
      <c r="G7" s="2"/>
      <c r="H7" s="210"/>
      <c r="I7" s="2"/>
      <c r="J7" s="2"/>
      <c r="K7" s="715"/>
    </row>
    <row r="8" spans="1:11" s="714" customFormat="1" ht="14.25" x14ac:dyDescent="0.2">
      <c r="A8" s="2"/>
      <c r="B8" s="2" t="s">
        <v>22</v>
      </c>
      <c r="C8" s="2"/>
      <c r="D8" s="151">
        <v>7</v>
      </c>
      <c r="E8" s="163">
        <v>5</v>
      </c>
      <c r="F8" s="210">
        <v>7</v>
      </c>
      <c r="G8" s="2"/>
      <c r="H8" s="210"/>
      <c r="I8" s="2"/>
      <c r="J8" s="2"/>
      <c r="K8" s="715"/>
    </row>
    <row r="9" spans="1:11" s="714" customFormat="1" ht="14.25" x14ac:dyDescent="0.2">
      <c r="A9" s="2"/>
      <c r="B9" s="2" t="s">
        <v>23</v>
      </c>
      <c r="C9" s="2"/>
      <c r="D9" s="151">
        <v>9</v>
      </c>
      <c r="E9" s="163">
        <v>9</v>
      </c>
      <c r="F9" s="210">
        <v>9</v>
      </c>
      <c r="G9" s="2"/>
      <c r="H9" s="210"/>
      <c r="I9" s="2"/>
      <c r="J9" s="2"/>
      <c r="K9" s="715"/>
    </row>
    <row r="10" spans="1:11" s="714" customFormat="1" ht="18" customHeight="1" x14ac:dyDescent="0.2">
      <c r="A10" s="410" t="s">
        <v>272</v>
      </c>
      <c r="B10" s="2"/>
      <c r="C10" s="2"/>
      <c r="D10" s="703">
        <v>12041</v>
      </c>
      <c r="E10" s="209"/>
      <c r="F10" s="209"/>
      <c r="G10" s="2"/>
      <c r="H10" s="209"/>
      <c r="I10" s="2"/>
      <c r="J10" s="2"/>
      <c r="K10" s="2"/>
    </row>
    <row r="11" spans="1:11" s="714" customFormat="1" ht="14.25" x14ac:dyDescent="0.2">
      <c r="A11" s="2"/>
      <c r="B11" s="2" t="s">
        <v>25</v>
      </c>
      <c r="C11" s="2"/>
      <c r="D11" s="151">
        <v>63</v>
      </c>
      <c r="E11" s="163">
        <v>64</v>
      </c>
      <c r="F11" s="163">
        <v>64</v>
      </c>
      <c r="G11" s="2"/>
      <c r="H11" s="163"/>
      <c r="I11" s="2"/>
      <c r="J11" s="716"/>
      <c r="K11" s="83"/>
    </row>
    <row r="12" spans="1:11" s="714" customFormat="1" ht="14.25" x14ac:dyDescent="0.2">
      <c r="A12" s="2"/>
      <c r="B12" s="2" t="s">
        <v>26</v>
      </c>
      <c r="C12" s="2"/>
      <c r="D12" s="151">
        <v>16</v>
      </c>
      <c r="E12" s="163">
        <v>15</v>
      </c>
      <c r="F12" s="163">
        <v>15</v>
      </c>
      <c r="G12" s="2"/>
      <c r="H12" s="163"/>
      <c r="I12" s="2"/>
      <c r="J12" s="716"/>
      <c r="K12" s="83"/>
    </row>
    <row r="13" spans="1:11" s="714" customFormat="1" ht="14.25" x14ac:dyDescent="0.2">
      <c r="A13" s="2"/>
      <c r="B13" s="2" t="s">
        <v>27</v>
      </c>
      <c r="C13" s="2"/>
      <c r="D13" s="151">
        <v>10</v>
      </c>
      <c r="E13" s="163">
        <v>10</v>
      </c>
      <c r="F13" s="163">
        <v>9</v>
      </c>
      <c r="G13" s="2"/>
      <c r="H13" s="163"/>
      <c r="I13" s="2"/>
      <c r="J13" s="716"/>
      <c r="K13" s="83"/>
    </row>
    <row r="14" spans="1:11" s="714" customFormat="1" ht="14.25" x14ac:dyDescent="0.2">
      <c r="A14" s="2"/>
      <c r="B14" s="2" t="s">
        <v>28</v>
      </c>
      <c r="C14" s="2"/>
      <c r="D14" s="151">
        <v>7</v>
      </c>
      <c r="E14" s="163">
        <v>7</v>
      </c>
      <c r="F14" s="163">
        <v>8</v>
      </c>
      <c r="G14" s="2"/>
      <c r="H14" s="163"/>
      <c r="I14" s="2"/>
      <c r="J14" s="716"/>
      <c r="K14" s="83"/>
    </row>
    <row r="15" spans="1:11" s="714" customFormat="1" ht="14.25" x14ac:dyDescent="0.2">
      <c r="A15" s="2"/>
      <c r="B15" s="2" t="s">
        <v>29</v>
      </c>
      <c r="C15" s="2"/>
      <c r="D15" s="151">
        <v>4</v>
      </c>
      <c r="E15" s="163">
        <v>4</v>
      </c>
      <c r="F15" s="163">
        <v>4</v>
      </c>
      <c r="G15" s="2"/>
      <c r="H15" s="163"/>
      <c r="I15" s="2"/>
      <c r="J15" s="716"/>
      <c r="K15" s="83"/>
    </row>
    <row r="16" spans="1:11" s="714" customFormat="1" ht="14.25" x14ac:dyDescent="0.2">
      <c r="A16" s="2"/>
      <c r="B16" s="2"/>
      <c r="C16" s="2"/>
      <c r="D16" s="122"/>
      <c r="E16" s="717"/>
      <c r="F16" s="713"/>
      <c r="G16" s="2"/>
      <c r="H16" s="713"/>
      <c r="I16" s="2"/>
      <c r="J16" s="2"/>
      <c r="K16" s="2"/>
    </row>
    <row r="17" spans="1:11" s="714" customFormat="1" ht="17.25" x14ac:dyDescent="0.25">
      <c r="A17" s="316" t="s">
        <v>273</v>
      </c>
      <c r="B17" s="2"/>
      <c r="C17" s="2"/>
      <c r="D17" s="122"/>
      <c r="E17" s="717"/>
      <c r="F17" s="713"/>
      <c r="G17" s="2"/>
      <c r="H17" s="713"/>
      <c r="I17" s="2"/>
      <c r="J17" s="2"/>
      <c r="K17" s="2"/>
    </row>
    <row r="18" spans="1:11" s="714" customFormat="1" ht="14.25" hidden="1" customHeight="1" x14ac:dyDescent="0.2">
      <c r="A18" s="338" t="s">
        <v>157</v>
      </c>
      <c r="B18" s="2"/>
      <c r="C18" s="2"/>
      <c r="D18" s="207"/>
      <c r="E18" s="211"/>
      <c r="F18" s="211"/>
      <c r="G18" s="2"/>
      <c r="H18" s="211"/>
      <c r="I18" s="2"/>
      <c r="J18" s="2"/>
      <c r="K18" s="2"/>
    </row>
    <row r="19" spans="1:11" s="714" customFormat="1" ht="14.25" hidden="1" customHeight="1" x14ac:dyDescent="0.2">
      <c r="A19" s="2"/>
      <c r="B19" s="2" t="s">
        <v>20</v>
      </c>
      <c r="C19" s="2"/>
      <c r="D19" s="151"/>
      <c r="E19" s="212"/>
      <c r="F19" s="212"/>
      <c r="G19" s="2"/>
      <c r="H19" s="212"/>
      <c r="I19" s="2"/>
      <c r="J19" s="2"/>
      <c r="K19" s="2"/>
    </row>
    <row r="20" spans="1:11" s="714" customFormat="1" ht="14.25" hidden="1" customHeight="1" x14ac:dyDescent="0.2">
      <c r="A20" s="2"/>
      <c r="B20" s="2" t="s">
        <v>271</v>
      </c>
      <c r="C20" s="2"/>
      <c r="D20" s="151"/>
      <c r="E20" s="212"/>
      <c r="F20" s="212"/>
      <c r="G20" s="2"/>
      <c r="H20" s="212"/>
      <c r="I20" s="2"/>
      <c r="J20" s="2"/>
      <c r="K20" s="2"/>
    </row>
    <row r="21" spans="1:11" s="714" customFormat="1" ht="14.25" hidden="1" customHeight="1" x14ac:dyDescent="0.2">
      <c r="A21" s="2"/>
      <c r="B21" s="2" t="s">
        <v>274</v>
      </c>
      <c r="C21" s="2"/>
      <c r="D21" s="151"/>
      <c r="E21" s="212"/>
      <c r="F21" s="212"/>
      <c r="G21" s="2"/>
      <c r="H21" s="212"/>
      <c r="I21" s="2"/>
      <c r="J21" s="2"/>
      <c r="K21" s="2"/>
    </row>
    <row r="22" spans="1:11" s="714" customFormat="1" ht="14.25" hidden="1" customHeight="1" x14ac:dyDescent="0.2">
      <c r="A22" s="2"/>
      <c r="B22" s="2" t="s">
        <v>23</v>
      </c>
      <c r="C22" s="2"/>
      <c r="D22" s="151"/>
      <c r="E22" s="212"/>
      <c r="F22" s="212"/>
      <c r="G22" s="2"/>
      <c r="H22" s="212"/>
      <c r="I22" s="2"/>
      <c r="J22" s="2"/>
      <c r="K22" s="2"/>
    </row>
    <row r="23" spans="1:11" s="714" customFormat="1" ht="14.25" x14ac:dyDescent="0.2">
      <c r="A23" s="410" t="s">
        <v>272</v>
      </c>
      <c r="B23" s="2"/>
      <c r="C23" s="2"/>
      <c r="D23" s="703">
        <v>6009</v>
      </c>
      <c r="E23" s="209">
        <v>5312</v>
      </c>
      <c r="F23" s="209">
        <v>5721</v>
      </c>
      <c r="G23" s="2"/>
      <c r="H23" s="209"/>
      <c r="I23" s="2"/>
      <c r="J23" s="2"/>
      <c r="K23" s="2"/>
    </row>
    <row r="24" spans="1:11" s="714" customFormat="1" ht="14.25" x14ac:dyDescent="0.2">
      <c r="A24" s="2"/>
      <c r="B24" s="2" t="s">
        <v>25</v>
      </c>
      <c r="C24" s="2"/>
      <c r="D24" s="151">
        <v>65</v>
      </c>
      <c r="E24" s="163">
        <v>71</v>
      </c>
      <c r="F24" s="163">
        <v>70</v>
      </c>
      <c r="G24" s="2"/>
      <c r="H24" s="163"/>
      <c r="I24" s="718"/>
      <c r="J24" s="719"/>
      <c r="K24" s="83"/>
    </row>
    <row r="25" spans="1:11" s="714" customFormat="1" ht="14.25" x14ac:dyDescent="0.2">
      <c r="A25" s="2"/>
      <c r="B25" s="2" t="s">
        <v>26</v>
      </c>
      <c r="C25" s="2"/>
      <c r="D25" s="151">
        <v>17</v>
      </c>
      <c r="E25" s="163">
        <v>14</v>
      </c>
      <c r="F25" s="163">
        <v>15</v>
      </c>
      <c r="G25" s="2"/>
      <c r="H25" s="163"/>
      <c r="I25" s="718"/>
      <c r="J25" s="719"/>
      <c r="K25" s="83"/>
    </row>
    <row r="26" spans="1:11" s="714" customFormat="1" ht="14.25" x14ac:dyDescent="0.2">
      <c r="A26" s="2"/>
      <c r="B26" s="2" t="s">
        <v>27</v>
      </c>
      <c r="C26" s="2"/>
      <c r="D26" s="151">
        <v>9</v>
      </c>
      <c r="E26" s="163">
        <v>7</v>
      </c>
      <c r="F26" s="163">
        <v>8</v>
      </c>
      <c r="G26" s="2"/>
      <c r="H26" s="163"/>
      <c r="I26" s="718"/>
      <c r="J26" s="719"/>
      <c r="K26" s="83"/>
    </row>
    <row r="27" spans="1:11" s="714" customFormat="1" ht="14.25" x14ac:dyDescent="0.2">
      <c r="A27" s="2"/>
      <c r="B27" s="2" t="s">
        <v>28</v>
      </c>
      <c r="C27" s="2"/>
      <c r="D27" s="151">
        <v>4</v>
      </c>
      <c r="E27" s="163">
        <v>3</v>
      </c>
      <c r="F27" s="163">
        <v>5</v>
      </c>
      <c r="G27" s="2"/>
      <c r="H27" s="163"/>
      <c r="I27" s="718"/>
      <c r="J27" s="719"/>
      <c r="K27" s="83"/>
    </row>
    <row r="28" spans="1:11" s="714" customFormat="1" ht="14.25" x14ac:dyDescent="0.2">
      <c r="A28" s="2"/>
      <c r="B28" s="2" t="s">
        <v>29</v>
      </c>
      <c r="C28" s="2"/>
      <c r="D28" s="151">
        <v>5</v>
      </c>
      <c r="E28" s="163">
        <v>5</v>
      </c>
      <c r="F28" s="163">
        <v>2</v>
      </c>
      <c r="G28" s="2"/>
      <c r="H28" s="163"/>
      <c r="I28" s="718"/>
      <c r="J28" s="719"/>
      <c r="K28" s="83"/>
    </row>
    <row r="29" spans="1:11" s="714" customFormat="1" ht="14.25" x14ac:dyDescent="0.2">
      <c r="A29" s="2"/>
      <c r="B29" s="2"/>
      <c r="C29" s="2"/>
      <c r="D29" s="151"/>
      <c r="E29" s="212"/>
      <c r="F29" s="212"/>
      <c r="G29" s="2"/>
      <c r="H29" s="212"/>
      <c r="I29" s="2"/>
      <c r="J29" s="2"/>
      <c r="K29" s="2"/>
    </row>
    <row r="30" spans="1:11" s="714" customFormat="1" ht="15" x14ac:dyDescent="0.25">
      <c r="A30" s="316" t="s">
        <v>275</v>
      </c>
      <c r="B30" s="2"/>
      <c r="C30" s="2"/>
      <c r="D30" s="122"/>
      <c r="E30" s="717"/>
      <c r="F30" s="717"/>
      <c r="G30" s="2"/>
      <c r="H30" s="717"/>
      <c r="I30" s="2"/>
      <c r="J30" s="2"/>
      <c r="K30" s="2"/>
    </row>
    <row r="31" spans="1:11" s="714" customFormat="1" ht="15.75" x14ac:dyDescent="0.2">
      <c r="A31" s="338" t="s">
        <v>276</v>
      </c>
      <c r="B31" s="2"/>
      <c r="C31" s="2"/>
      <c r="D31" s="703">
        <v>959307</v>
      </c>
      <c r="E31" s="209">
        <v>891174</v>
      </c>
      <c r="F31" s="209">
        <v>835499</v>
      </c>
      <c r="G31" s="2"/>
      <c r="H31" s="209"/>
      <c r="I31" s="2"/>
      <c r="J31" s="2"/>
      <c r="K31" s="2"/>
    </row>
    <row r="32" spans="1:11" s="714" customFormat="1" ht="14.25" x14ac:dyDescent="0.2">
      <c r="A32" s="2"/>
      <c r="B32" s="2" t="s">
        <v>20</v>
      </c>
      <c r="C32" s="2"/>
      <c r="D32" s="151">
        <v>15</v>
      </c>
      <c r="E32" s="163">
        <v>15</v>
      </c>
      <c r="F32" s="163">
        <v>16</v>
      </c>
      <c r="G32" s="2"/>
      <c r="H32" s="163"/>
      <c r="I32" s="2"/>
      <c r="J32" s="2"/>
      <c r="K32" s="83"/>
    </row>
    <row r="33" spans="1:11" s="714" customFormat="1" ht="14.25" x14ac:dyDescent="0.2">
      <c r="A33" s="2"/>
      <c r="B33" s="2" t="s">
        <v>271</v>
      </c>
      <c r="C33" s="2"/>
      <c r="D33" s="151">
        <v>38</v>
      </c>
      <c r="E33" s="163">
        <v>39</v>
      </c>
      <c r="F33" s="163">
        <v>40</v>
      </c>
      <c r="G33" s="2"/>
      <c r="H33" s="163"/>
      <c r="I33" s="2"/>
      <c r="J33" s="2"/>
      <c r="K33" s="83"/>
    </row>
    <row r="34" spans="1:11" s="714" customFormat="1" ht="14.25" x14ac:dyDescent="0.2">
      <c r="A34" s="2"/>
      <c r="B34" s="2" t="s">
        <v>22</v>
      </c>
      <c r="C34" s="2"/>
      <c r="D34" s="151">
        <v>29</v>
      </c>
      <c r="E34" s="163">
        <v>27</v>
      </c>
      <c r="F34" s="163">
        <v>28</v>
      </c>
      <c r="G34" s="2"/>
      <c r="H34" s="163"/>
      <c r="I34" s="2"/>
      <c r="J34" s="2"/>
      <c r="K34" s="83"/>
    </row>
    <row r="35" spans="1:11" s="714" customFormat="1" ht="14.25" x14ac:dyDescent="0.2">
      <c r="A35" s="2"/>
      <c r="B35" s="2" t="s">
        <v>23</v>
      </c>
      <c r="C35" s="2"/>
      <c r="D35" s="151">
        <v>18</v>
      </c>
      <c r="E35" s="163">
        <v>19</v>
      </c>
      <c r="F35" s="163">
        <v>16</v>
      </c>
      <c r="G35" s="2"/>
      <c r="H35" s="163"/>
      <c r="I35" s="2"/>
      <c r="J35" s="2"/>
      <c r="K35" s="83"/>
    </row>
    <row r="36" spans="1:11" s="714" customFormat="1" ht="17.850000000000001" customHeight="1" x14ac:dyDescent="0.2">
      <c r="A36" s="410" t="s">
        <v>272</v>
      </c>
      <c r="B36" s="2"/>
      <c r="C36" s="2"/>
      <c r="D36" s="703">
        <v>959307</v>
      </c>
      <c r="E36" s="209">
        <v>891174</v>
      </c>
      <c r="F36" s="209">
        <v>835499</v>
      </c>
      <c r="G36" s="2"/>
      <c r="H36" s="209"/>
      <c r="I36" s="2"/>
      <c r="J36" s="2"/>
      <c r="K36" s="2"/>
    </row>
    <row r="37" spans="1:11" s="714" customFormat="1" ht="14.25" x14ac:dyDescent="0.2">
      <c r="A37" s="2"/>
      <c r="B37" s="2" t="s">
        <v>25</v>
      </c>
      <c r="C37" s="2"/>
      <c r="D37" s="151">
        <v>67</v>
      </c>
      <c r="E37" s="163">
        <v>67</v>
      </c>
      <c r="F37" s="163">
        <v>66</v>
      </c>
      <c r="G37" s="2"/>
      <c r="H37" s="163"/>
      <c r="I37" s="2"/>
      <c r="J37" s="2"/>
      <c r="K37" s="83"/>
    </row>
    <row r="38" spans="1:11" s="714" customFormat="1" ht="14.25" x14ac:dyDescent="0.2">
      <c r="A38" s="2"/>
      <c r="B38" s="2" t="s">
        <v>26</v>
      </c>
      <c r="C38" s="2"/>
      <c r="D38" s="151">
        <v>12</v>
      </c>
      <c r="E38" s="163">
        <v>12</v>
      </c>
      <c r="F38" s="163">
        <v>12</v>
      </c>
      <c r="G38" s="2"/>
      <c r="H38" s="163"/>
      <c r="I38" s="2"/>
      <c r="J38" s="2"/>
      <c r="K38" s="83"/>
    </row>
    <row r="39" spans="1:11" s="714" customFormat="1" ht="14.25" x14ac:dyDescent="0.2">
      <c r="A39" s="2"/>
      <c r="B39" s="2" t="s">
        <v>27</v>
      </c>
      <c r="C39" s="2"/>
      <c r="D39" s="151">
        <v>9</v>
      </c>
      <c r="E39" s="163">
        <v>9</v>
      </c>
      <c r="F39" s="163">
        <v>9</v>
      </c>
      <c r="G39" s="2"/>
      <c r="H39" s="163"/>
      <c r="I39" s="2"/>
      <c r="J39" s="2"/>
      <c r="K39" s="83"/>
    </row>
    <row r="40" spans="1:11" s="714" customFormat="1" ht="14.25" x14ac:dyDescent="0.2">
      <c r="A40" s="2"/>
      <c r="B40" s="2" t="s">
        <v>28</v>
      </c>
      <c r="C40" s="2"/>
      <c r="D40" s="151">
        <v>5</v>
      </c>
      <c r="E40" s="163">
        <v>5</v>
      </c>
      <c r="F40" s="163">
        <v>5</v>
      </c>
      <c r="G40" s="2"/>
      <c r="H40" s="163"/>
      <c r="I40" s="2"/>
      <c r="J40" s="2"/>
      <c r="K40" s="83"/>
    </row>
    <row r="41" spans="1:11" s="714" customFormat="1" ht="14.25" x14ac:dyDescent="0.2">
      <c r="A41" s="2"/>
      <c r="B41" s="2" t="s">
        <v>29</v>
      </c>
      <c r="C41" s="2"/>
      <c r="D41" s="151">
        <v>7</v>
      </c>
      <c r="E41" s="163">
        <v>7</v>
      </c>
      <c r="F41" s="213">
        <v>8</v>
      </c>
      <c r="G41" s="2"/>
      <c r="H41" s="213"/>
      <c r="I41" s="2"/>
      <c r="J41" s="2"/>
      <c r="K41" s="83"/>
    </row>
    <row r="42" spans="1:11" s="714" customFormat="1" ht="14.25" x14ac:dyDescent="0.2">
      <c r="A42" s="2"/>
      <c r="B42" s="2"/>
      <c r="C42" s="2"/>
      <c r="D42" s="416"/>
      <c r="E42" s="713"/>
      <c r="F42" s="713"/>
      <c r="G42" s="2"/>
      <c r="H42" s="2"/>
      <c r="I42" s="2"/>
      <c r="J42" s="2"/>
      <c r="K42" s="2"/>
    </row>
    <row r="43" spans="1:11" x14ac:dyDescent="0.2">
      <c r="D43" s="720"/>
      <c r="E43" s="711"/>
      <c r="F43" s="711"/>
    </row>
    <row r="44" spans="1:11" x14ac:dyDescent="0.2">
      <c r="D44" s="711"/>
      <c r="E44" s="711"/>
      <c r="F44" s="711"/>
    </row>
    <row r="45" spans="1:11" s="722" customFormat="1" x14ac:dyDescent="0.2">
      <c r="A45" s="721" t="s">
        <v>119</v>
      </c>
      <c r="B45" s="722" t="s">
        <v>469</v>
      </c>
      <c r="D45" s="723"/>
      <c r="E45" s="723"/>
      <c r="F45" s="723"/>
    </row>
    <row r="46" spans="1:11" x14ac:dyDescent="0.2">
      <c r="A46" s="724" t="s">
        <v>121</v>
      </c>
      <c r="B46" s="722" t="s">
        <v>277</v>
      </c>
      <c r="D46" s="725"/>
      <c r="E46" s="725"/>
      <c r="F46" s="725"/>
    </row>
    <row r="47" spans="1:11" x14ac:dyDescent="0.2">
      <c r="D47" s="725"/>
      <c r="E47" s="725"/>
      <c r="F47" s="725"/>
    </row>
    <row r="48" spans="1:11" x14ac:dyDescent="0.2">
      <c r="D48" s="725"/>
      <c r="E48" s="725"/>
      <c r="F48" s="725"/>
    </row>
    <row r="49" spans="2:6" x14ac:dyDescent="0.2">
      <c r="D49" s="725"/>
      <c r="E49" s="725"/>
      <c r="F49" s="725"/>
    </row>
    <row r="50" spans="2:6" x14ac:dyDescent="0.2">
      <c r="D50" s="725"/>
      <c r="E50" s="725"/>
      <c r="F50" s="725"/>
    </row>
    <row r="51" spans="2:6" x14ac:dyDescent="0.2">
      <c r="B51" s="11"/>
      <c r="D51" s="725"/>
      <c r="E51" s="725"/>
      <c r="F51" s="725"/>
    </row>
    <row r="52" spans="2:6" x14ac:dyDescent="0.2">
      <c r="D52" s="725"/>
      <c r="E52" s="725"/>
      <c r="F52" s="725"/>
    </row>
    <row r="53" spans="2:6" x14ac:dyDescent="0.2">
      <c r="D53" s="725"/>
      <c r="E53" s="725"/>
      <c r="F53" s="725"/>
    </row>
    <row r="54" spans="2:6" x14ac:dyDescent="0.2">
      <c r="D54" s="725"/>
      <c r="E54" s="725"/>
      <c r="F54" s="725"/>
    </row>
    <row r="55" spans="2:6" x14ac:dyDescent="0.2">
      <c r="D55" s="725"/>
      <c r="E55" s="725"/>
      <c r="F55" s="725"/>
    </row>
    <row r="56" spans="2:6" x14ac:dyDescent="0.2">
      <c r="D56" s="725"/>
      <c r="E56" s="725"/>
      <c r="F56" s="725"/>
    </row>
    <row r="57" spans="2:6" x14ac:dyDescent="0.2">
      <c r="D57" s="725"/>
      <c r="E57" s="725"/>
      <c r="F57" s="725"/>
    </row>
    <row r="58" spans="2:6" x14ac:dyDescent="0.2">
      <c r="D58" s="725"/>
      <c r="E58" s="725"/>
      <c r="F58" s="725"/>
    </row>
    <row r="59" spans="2:6" x14ac:dyDescent="0.2">
      <c r="D59" s="725"/>
      <c r="E59" s="725"/>
      <c r="F59" s="725"/>
    </row>
    <row r="60" spans="2:6" x14ac:dyDescent="0.2">
      <c r="D60" s="725"/>
      <c r="E60" s="725"/>
      <c r="F60" s="725"/>
    </row>
    <row r="61" spans="2:6" x14ac:dyDescent="0.2">
      <c r="D61" s="725"/>
      <c r="E61" s="725"/>
      <c r="F61" s="725"/>
    </row>
    <row r="62" spans="2:6" x14ac:dyDescent="0.2">
      <c r="D62" s="725"/>
      <c r="E62" s="725"/>
      <c r="F62" s="725"/>
    </row>
    <row r="63" spans="2:6" x14ac:dyDescent="0.2">
      <c r="D63" s="725"/>
      <c r="E63" s="725"/>
      <c r="F63" s="725"/>
    </row>
    <row r="64" spans="2:6" x14ac:dyDescent="0.2">
      <c r="D64" s="725"/>
      <c r="E64" s="725"/>
      <c r="F64" s="725"/>
    </row>
    <row r="65" spans="4:6" x14ac:dyDescent="0.2">
      <c r="D65" s="725"/>
      <c r="E65" s="725"/>
      <c r="F65" s="725"/>
    </row>
    <row r="66" spans="4:6" x14ac:dyDescent="0.2">
      <c r="D66" s="725"/>
      <c r="E66" s="725"/>
      <c r="F66" s="725"/>
    </row>
    <row r="67" spans="4:6" x14ac:dyDescent="0.2">
      <c r="D67" s="725"/>
      <c r="E67" s="725"/>
      <c r="F67" s="725"/>
    </row>
    <row r="68" spans="4:6" x14ac:dyDescent="0.2">
      <c r="D68" s="725"/>
      <c r="E68" s="725"/>
      <c r="F68" s="725"/>
    </row>
    <row r="69" spans="4:6" x14ac:dyDescent="0.2">
      <c r="D69" s="725"/>
      <c r="E69" s="725"/>
      <c r="F69" s="725"/>
    </row>
    <row r="70" spans="4:6" x14ac:dyDescent="0.2">
      <c r="D70" s="725"/>
      <c r="E70" s="725"/>
      <c r="F70" s="725"/>
    </row>
    <row r="71" spans="4:6" x14ac:dyDescent="0.2">
      <c r="D71" s="725"/>
      <c r="E71" s="725"/>
      <c r="F71" s="725"/>
    </row>
    <row r="72" spans="4:6" x14ac:dyDescent="0.2">
      <c r="D72" s="725"/>
      <c r="E72" s="725"/>
      <c r="F72" s="725"/>
    </row>
    <row r="73" spans="4:6" x14ac:dyDescent="0.2">
      <c r="D73" s="725"/>
      <c r="E73" s="725"/>
      <c r="F73" s="725"/>
    </row>
    <row r="74" spans="4:6" x14ac:dyDescent="0.2">
      <c r="D74" s="725"/>
      <c r="E74" s="725"/>
      <c r="F74" s="725"/>
    </row>
    <row r="75" spans="4:6" x14ac:dyDescent="0.2">
      <c r="D75" s="726"/>
      <c r="E75" s="726"/>
      <c r="F75" s="726"/>
    </row>
    <row r="76" spans="4:6" x14ac:dyDescent="0.2">
      <c r="D76" s="726"/>
      <c r="E76" s="726"/>
      <c r="F76" s="726"/>
    </row>
    <row r="77" spans="4:6" x14ac:dyDescent="0.2">
      <c r="D77" s="726"/>
      <c r="E77" s="726"/>
      <c r="F77" s="726"/>
    </row>
    <row r="78" spans="4:6" x14ac:dyDescent="0.2">
      <c r="D78" s="726"/>
      <c r="E78" s="726"/>
      <c r="F78" s="726"/>
    </row>
    <row r="79" spans="4:6" x14ac:dyDescent="0.2">
      <c r="D79" s="726"/>
      <c r="E79" s="726"/>
      <c r="F79" s="726"/>
    </row>
    <row r="80" spans="4:6" x14ac:dyDescent="0.2">
      <c r="D80" s="726"/>
      <c r="E80" s="726"/>
      <c r="F80" s="726"/>
    </row>
    <row r="81" spans="4:6" x14ac:dyDescent="0.2">
      <c r="D81" s="726"/>
      <c r="E81" s="726"/>
      <c r="F81" s="726"/>
    </row>
    <row r="82" spans="4:6" x14ac:dyDescent="0.2">
      <c r="D82" s="726"/>
      <c r="E82" s="726"/>
      <c r="F82" s="726"/>
    </row>
    <row r="83" spans="4:6" x14ac:dyDescent="0.2">
      <c r="D83" s="726"/>
      <c r="E83" s="726"/>
      <c r="F83" s="726"/>
    </row>
    <row r="84" spans="4:6" x14ac:dyDescent="0.2">
      <c r="D84" s="726"/>
      <c r="E84" s="726"/>
      <c r="F84" s="726"/>
    </row>
    <row r="85" spans="4:6" x14ac:dyDescent="0.2">
      <c r="D85" s="726"/>
      <c r="E85" s="726"/>
      <c r="F85" s="726"/>
    </row>
    <row r="86" spans="4:6" x14ac:dyDescent="0.2">
      <c r="D86" s="726"/>
      <c r="E86" s="726"/>
      <c r="F86" s="726"/>
    </row>
    <row r="87" spans="4:6" x14ac:dyDescent="0.2">
      <c r="D87" s="726"/>
      <c r="E87" s="726"/>
      <c r="F87" s="726"/>
    </row>
    <row r="88" spans="4:6" x14ac:dyDescent="0.2">
      <c r="D88" s="726"/>
      <c r="E88" s="726"/>
      <c r="F88" s="726"/>
    </row>
    <row r="89" spans="4:6" x14ac:dyDescent="0.2">
      <c r="D89" s="726"/>
      <c r="E89" s="726"/>
      <c r="F89" s="726"/>
    </row>
    <row r="90" spans="4:6" x14ac:dyDescent="0.2">
      <c r="D90" s="726"/>
      <c r="E90" s="726"/>
      <c r="F90" s="726"/>
    </row>
    <row r="91" spans="4:6" x14ac:dyDescent="0.2">
      <c r="D91" s="726"/>
      <c r="E91" s="726"/>
      <c r="F91" s="726"/>
    </row>
    <row r="92" spans="4:6" x14ac:dyDescent="0.2">
      <c r="D92" s="726"/>
      <c r="E92" s="726"/>
      <c r="F92" s="726"/>
    </row>
    <row r="93" spans="4:6" x14ac:dyDescent="0.2">
      <c r="D93" s="726"/>
      <c r="E93" s="726"/>
      <c r="F93" s="726"/>
    </row>
    <row r="94" spans="4:6" x14ac:dyDescent="0.2">
      <c r="D94" s="726"/>
      <c r="E94" s="726"/>
      <c r="F94" s="726"/>
    </row>
    <row r="95" spans="4:6" x14ac:dyDescent="0.2">
      <c r="D95" s="726"/>
      <c r="E95" s="726"/>
      <c r="F95" s="726"/>
    </row>
    <row r="96" spans="4:6" x14ac:dyDescent="0.2">
      <c r="D96" s="726"/>
      <c r="E96" s="726"/>
      <c r="F96" s="726"/>
    </row>
    <row r="97" spans="4:6" x14ac:dyDescent="0.2">
      <c r="D97" s="726"/>
      <c r="E97" s="726"/>
      <c r="F97" s="726"/>
    </row>
    <row r="98" spans="4:6" x14ac:dyDescent="0.2">
      <c r="D98" s="726"/>
      <c r="E98" s="726"/>
      <c r="F98" s="726"/>
    </row>
    <row r="99" spans="4:6" x14ac:dyDescent="0.2">
      <c r="D99" s="726"/>
      <c r="E99" s="726"/>
      <c r="F99" s="726"/>
    </row>
    <row r="100" spans="4:6" x14ac:dyDescent="0.2">
      <c r="D100" s="726"/>
      <c r="E100" s="726"/>
      <c r="F100" s="726"/>
    </row>
    <row r="101" spans="4:6" x14ac:dyDescent="0.2">
      <c r="D101" s="726"/>
      <c r="E101" s="726"/>
      <c r="F101" s="726"/>
    </row>
    <row r="102" spans="4:6" x14ac:dyDescent="0.2">
      <c r="D102" s="726"/>
      <c r="E102" s="726"/>
      <c r="F102" s="726"/>
    </row>
    <row r="103" spans="4:6" x14ac:dyDescent="0.2">
      <c r="D103" s="726"/>
      <c r="E103" s="726"/>
      <c r="F103" s="726"/>
    </row>
    <row r="104" spans="4:6" x14ac:dyDescent="0.2">
      <c r="D104" s="726"/>
      <c r="E104" s="726"/>
      <c r="F104" s="726"/>
    </row>
    <row r="105" spans="4:6" x14ac:dyDescent="0.2">
      <c r="D105" s="726"/>
      <c r="E105" s="726"/>
      <c r="F105" s="726"/>
    </row>
    <row r="106" spans="4:6" x14ac:dyDescent="0.2">
      <c r="D106" s="726"/>
      <c r="E106" s="726"/>
      <c r="F106" s="726"/>
    </row>
    <row r="107" spans="4:6" x14ac:dyDescent="0.2">
      <c r="D107" s="726"/>
      <c r="E107" s="726"/>
      <c r="F107" s="726"/>
    </row>
    <row r="108" spans="4:6" x14ac:dyDescent="0.2">
      <c r="D108" s="726"/>
      <c r="E108" s="726"/>
      <c r="F108" s="726"/>
    </row>
    <row r="109" spans="4:6" x14ac:dyDescent="0.2">
      <c r="D109" s="726"/>
      <c r="E109" s="726"/>
      <c r="F109" s="726"/>
    </row>
    <row r="110" spans="4:6" x14ac:dyDescent="0.2">
      <c r="D110" s="726"/>
      <c r="E110" s="726"/>
      <c r="F110" s="726"/>
    </row>
    <row r="111" spans="4:6" x14ac:dyDescent="0.2">
      <c r="D111" s="726"/>
      <c r="E111" s="726"/>
      <c r="F111" s="726"/>
    </row>
    <row r="112" spans="4:6" x14ac:dyDescent="0.2">
      <c r="D112" s="726"/>
      <c r="E112" s="726"/>
      <c r="F112" s="726"/>
    </row>
    <row r="113" spans="4:6" x14ac:dyDescent="0.2">
      <c r="D113" s="726"/>
      <c r="E113" s="726"/>
      <c r="F113" s="726"/>
    </row>
    <row r="114" spans="4:6" x14ac:dyDescent="0.2">
      <c r="D114" s="726"/>
      <c r="E114" s="726"/>
      <c r="F114" s="726"/>
    </row>
    <row r="115" spans="4:6" x14ac:dyDescent="0.2">
      <c r="D115" s="726"/>
      <c r="E115" s="726"/>
      <c r="F115" s="726"/>
    </row>
    <row r="116" spans="4:6" x14ac:dyDescent="0.2">
      <c r="D116" s="726"/>
      <c r="E116" s="726"/>
      <c r="F116" s="726"/>
    </row>
    <row r="117" spans="4:6" x14ac:dyDescent="0.2">
      <c r="D117" s="726"/>
      <c r="E117" s="726"/>
      <c r="F117" s="726"/>
    </row>
    <row r="118" spans="4:6" x14ac:dyDescent="0.2">
      <c r="D118" s="726"/>
      <c r="E118" s="726"/>
      <c r="F118" s="726"/>
    </row>
    <row r="119" spans="4:6" x14ac:dyDescent="0.2">
      <c r="D119" s="726"/>
      <c r="E119" s="726"/>
      <c r="F119" s="726"/>
    </row>
    <row r="120" spans="4:6" x14ac:dyDescent="0.2">
      <c r="D120" s="726"/>
      <c r="E120" s="726"/>
      <c r="F120" s="726"/>
    </row>
    <row r="121" spans="4:6" x14ac:dyDescent="0.2">
      <c r="D121" s="726"/>
      <c r="E121" s="726"/>
      <c r="F121" s="726"/>
    </row>
    <row r="122" spans="4:6" x14ac:dyDescent="0.2">
      <c r="D122" s="726"/>
      <c r="E122" s="726"/>
      <c r="F122" s="726"/>
    </row>
    <row r="123" spans="4:6" x14ac:dyDescent="0.2">
      <c r="D123" s="726"/>
      <c r="E123" s="726"/>
      <c r="F123" s="726"/>
    </row>
    <row r="124" spans="4:6" x14ac:dyDescent="0.2">
      <c r="D124" s="726"/>
      <c r="E124" s="726"/>
      <c r="F124" s="726"/>
    </row>
    <row r="125" spans="4:6" x14ac:dyDescent="0.2">
      <c r="D125" s="726"/>
      <c r="E125" s="726"/>
      <c r="F125" s="726"/>
    </row>
    <row r="126" spans="4:6" x14ac:dyDescent="0.2">
      <c r="D126" s="726"/>
      <c r="E126" s="726"/>
      <c r="F126" s="726"/>
    </row>
    <row r="127" spans="4:6" x14ac:dyDescent="0.2">
      <c r="D127" s="726"/>
      <c r="E127" s="726"/>
      <c r="F127" s="726"/>
    </row>
    <row r="128" spans="4:6" x14ac:dyDescent="0.2">
      <c r="D128" s="726"/>
      <c r="E128" s="726"/>
      <c r="F128" s="726"/>
    </row>
    <row r="129" spans="4:6" x14ac:dyDescent="0.2">
      <c r="D129" s="726"/>
      <c r="E129" s="726"/>
      <c r="F129" s="726"/>
    </row>
    <row r="130" spans="4:6" x14ac:dyDescent="0.2">
      <c r="D130" s="726"/>
      <c r="E130" s="726"/>
      <c r="F130" s="726"/>
    </row>
    <row r="131" spans="4:6" x14ac:dyDescent="0.2">
      <c r="D131" s="726"/>
      <c r="E131" s="726"/>
      <c r="F131" s="726"/>
    </row>
    <row r="132" spans="4:6" x14ac:dyDescent="0.2">
      <c r="D132" s="726"/>
      <c r="E132" s="726"/>
      <c r="F132" s="726"/>
    </row>
    <row r="133" spans="4:6" x14ac:dyDescent="0.2">
      <c r="D133" s="726"/>
      <c r="E133" s="726"/>
      <c r="F133" s="726"/>
    </row>
    <row r="134" spans="4:6" x14ac:dyDescent="0.2">
      <c r="D134" s="726"/>
      <c r="E134" s="726"/>
      <c r="F134" s="726"/>
    </row>
    <row r="135" spans="4:6" x14ac:dyDescent="0.2">
      <c r="D135" s="726"/>
      <c r="E135" s="726"/>
      <c r="F135" s="726"/>
    </row>
    <row r="136" spans="4:6" x14ac:dyDescent="0.2">
      <c r="D136" s="726"/>
      <c r="E136" s="726"/>
      <c r="F136" s="726"/>
    </row>
    <row r="137" spans="4:6" x14ac:dyDescent="0.2">
      <c r="D137" s="726"/>
      <c r="E137" s="726"/>
      <c r="F137" s="726"/>
    </row>
  </sheetData>
  <sheetProtection formatCells="0"/>
  <mergeCells count="1">
    <mergeCell ref="A2:C2"/>
  </mergeCells>
  <phoneticPr fontId="2" type="noConversion"/>
  <hyperlinks>
    <hyperlink ref="A2" location="Index!A1" display="Back to Index" xr:uid="{6C395471-08F0-4F10-9796-F8159736F794}"/>
  </hyperlinks>
  <pageMargins left="0.74803149606299213" right="0.74803149606299213" top="0.78740157480314965" bottom="0.78740157480314965" header="0.51181102362204722" footer="0.51181102362204722"/>
  <pageSetup scale="8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6488-39EB-4F85-9212-AABACD808097}">
  <sheetPr>
    <tabColor indexed="12"/>
    <pageSetUpPr fitToPage="1"/>
  </sheetPr>
  <dimension ref="A1:I148"/>
  <sheetViews>
    <sheetView showGridLines="0" zoomScale="85" zoomScaleNormal="85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4" style="286" customWidth="1"/>
    <col min="2" max="2" width="4.42578125" style="286" customWidth="1"/>
    <col min="3" max="3" width="46" style="321" customWidth="1"/>
    <col min="4" max="5" width="11.42578125" style="8" customWidth="1"/>
    <col min="6" max="8" width="11.42578125" style="286" customWidth="1"/>
    <col min="9" max="9" width="2.85546875" style="286" customWidth="1"/>
    <col min="10" max="16384" width="9.42578125" style="286"/>
  </cols>
  <sheetData>
    <row r="1" spans="1:9" s="4" customFormat="1" ht="20.25" x14ac:dyDescent="0.3">
      <c r="A1" s="3" t="s">
        <v>20</v>
      </c>
      <c r="D1" s="331"/>
      <c r="E1" s="331"/>
    </row>
    <row r="2" spans="1:9" s="6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382" t="s">
        <v>37</v>
      </c>
      <c r="G2" s="332" t="s">
        <v>467</v>
      </c>
      <c r="H2" s="332" t="s">
        <v>468</v>
      </c>
    </row>
    <row r="3" spans="1:9" s="341" customFormat="1" ht="6.75" customHeight="1" x14ac:dyDescent="0.25">
      <c r="A3" s="316"/>
      <c r="D3" s="493"/>
      <c r="E3" s="494"/>
    </row>
    <row r="4" spans="1:9" s="341" customFormat="1" ht="14.25" customHeight="1" x14ac:dyDescent="0.25">
      <c r="A4" s="316" t="s">
        <v>278</v>
      </c>
      <c r="D4" s="509"/>
      <c r="E4" s="295"/>
    </row>
    <row r="5" spans="1:9" ht="14.1" customHeight="1" x14ac:dyDescent="0.2">
      <c r="B5" s="510" t="s">
        <v>40</v>
      </c>
      <c r="C5" s="286"/>
      <c r="D5" s="122">
        <v>2781</v>
      </c>
      <c r="E5" s="173">
        <v>3007</v>
      </c>
      <c r="F5" s="173">
        <v>3099</v>
      </c>
      <c r="G5" s="296">
        <v>-10.261374636979671</v>
      </c>
      <c r="H5" s="296">
        <v>-7.515796474891923</v>
      </c>
      <c r="I5" s="391"/>
    </row>
    <row r="6" spans="1:9" x14ac:dyDescent="0.2">
      <c r="B6" s="510" t="s">
        <v>41</v>
      </c>
      <c r="C6" s="391"/>
      <c r="D6" s="122">
        <v>2031</v>
      </c>
      <c r="E6" s="173">
        <v>1644</v>
      </c>
      <c r="F6" s="173">
        <v>1602</v>
      </c>
      <c r="G6" s="296">
        <v>26.779026217228473</v>
      </c>
      <c r="H6" s="296">
        <v>23.540145985401463</v>
      </c>
      <c r="I6" s="391"/>
    </row>
    <row r="7" spans="1:9" x14ac:dyDescent="0.2">
      <c r="B7" s="510" t="s">
        <v>114</v>
      </c>
      <c r="C7" s="391"/>
      <c r="D7" s="122">
        <v>711</v>
      </c>
      <c r="E7" s="173">
        <v>606</v>
      </c>
      <c r="F7" s="173">
        <v>583</v>
      </c>
      <c r="G7" s="296">
        <v>21.955403087478565</v>
      </c>
      <c r="H7" s="296">
        <v>17.326732673267319</v>
      </c>
      <c r="I7" s="391"/>
    </row>
    <row r="8" spans="1:9" s="294" customFormat="1" ht="15" x14ac:dyDescent="0.25">
      <c r="B8" s="511" t="s">
        <v>44</v>
      </c>
      <c r="D8" s="101">
        <v>5523</v>
      </c>
      <c r="E8" s="214">
        <v>5257</v>
      </c>
      <c r="F8" s="214">
        <v>5284</v>
      </c>
      <c r="G8" s="296">
        <v>4.5230885692657097</v>
      </c>
      <c r="H8" s="296">
        <v>5.0599201065246291</v>
      </c>
      <c r="I8" s="385"/>
    </row>
    <row r="9" spans="1:9" x14ac:dyDescent="0.2">
      <c r="B9" s="496" t="s">
        <v>7</v>
      </c>
      <c r="C9" s="286"/>
      <c r="D9" s="122">
        <v>2687</v>
      </c>
      <c r="E9" s="173">
        <v>2842</v>
      </c>
      <c r="F9" s="173">
        <v>2658</v>
      </c>
      <c r="G9" s="296">
        <v>1.0910458991723049</v>
      </c>
      <c r="H9" s="296">
        <v>-5.4539057002111146</v>
      </c>
      <c r="I9" s="391"/>
    </row>
    <row r="10" spans="1:9" x14ac:dyDescent="0.2">
      <c r="B10" s="496" t="s">
        <v>46</v>
      </c>
      <c r="C10" s="286"/>
      <c r="D10" s="122">
        <v>0</v>
      </c>
      <c r="E10" s="173">
        <v>0</v>
      </c>
      <c r="F10" s="173">
        <v>0</v>
      </c>
      <c r="G10" s="296">
        <v>0</v>
      </c>
      <c r="H10" s="296">
        <v>0</v>
      </c>
      <c r="I10" s="391"/>
    </row>
    <row r="11" spans="1:9" x14ac:dyDescent="0.2">
      <c r="B11" s="496" t="s">
        <v>8</v>
      </c>
      <c r="C11" s="286"/>
      <c r="D11" s="122">
        <v>200</v>
      </c>
      <c r="E11" s="173">
        <v>270</v>
      </c>
      <c r="F11" s="173">
        <v>229</v>
      </c>
      <c r="G11" s="296">
        <v>-12.663755458515279</v>
      </c>
      <c r="H11" s="296">
        <v>-25.925925925925931</v>
      </c>
      <c r="I11" s="391"/>
    </row>
    <row r="12" spans="1:9" x14ac:dyDescent="0.2">
      <c r="B12" s="496" t="s">
        <v>49</v>
      </c>
      <c r="C12" s="286"/>
      <c r="D12" s="122">
        <v>0</v>
      </c>
      <c r="E12" s="173">
        <v>0</v>
      </c>
      <c r="F12" s="173">
        <v>0</v>
      </c>
      <c r="G12" s="296">
        <v>0</v>
      </c>
      <c r="H12" s="296">
        <v>0</v>
      </c>
      <c r="I12" s="391"/>
    </row>
    <row r="13" spans="1:9" s="294" customFormat="1" ht="15" x14ac:dyDescent="0.25">
      <c r="B13" s="341" t="s">
        <v>50</v>
      </c>
      <c r="D13" s="101">
        <v>2636</v>
      </c>
      <c r="E13" s="214">
        <v>2145</v>
      </c>
      <c r="F13" s="214">
        <v>2397</v>
      </c>
      <c r="G13" s="296">
        <v>9.9707968293700553</v>
      </c>
      <c r="H13" s="296">
        <v>22.890442890442884</v>
      </c>
      <c r="I13" s="385"/>
    </row>
    <row r="14" spans="1:9" x14ac:dyDescent="0.2">
      <c r="D14" s="122"/>
      <c r="E14" s="296"/>
      <c r="F14" s="185"/>
      <c r="G14" s="512"/>
      <c r="H14" s="512"/>
      <c r="I14" s="391"/>
    </row>
    <row r="15" spans="1:9" s="341" customFormat="1" ht="14.25" customHeight="1" x14ac:dyDescent="0.25">
      <c r="A15" s="316" t="s">
        <v>279</v>
      </c>
      <c r="D15" s="122"/>
      <c r="E15" s="296"/>
      <c r="F15" s="215"/>
      <c r="G15" s="513"/>
      <c r="H15" s="513"/>
      <c r="I15" s="362"/>
    </row>
    <row r="16" spans="1:9" x14ac:dyDescent="0.2">
      <c r="B16" s="496" t="s">
        <v>280</v>
      </c>
      <c r="C16" s="286"/>
      <c r="D16" s="122">
        <v>140383</v>
      </c>
      <c r="E16" s="296">
        <v>135866</v>
      </c>
      <c r="F16" s="173">
        <v>133617</v>
      </c>
      <c r="G16" s="296">
        <v>5.0637269209756308</v>
      </c>
      <c r="H16" s="296">
        <v>3.3245992374839828</v>
      </c>
      <c r="I16" s="391"/>
    </row>
    <row r="17" spans="1:9" x14ac:dyDescent="0.2">
      <c r="B17" s="496" t="s">
        <v>58</v>
      </c>
      <c r="C17" s="286"/>
      <c r="D17" s="122">
        <v>367861</v>
      </c>
      <c r="E17" s="296">
        <v>357077</v>
      </c>
      <c r="F17" s="173">
        <v>334453</v>
      </c>
      <c r="G17" s="296">
        <v>9.988847461377226</v>
      </c>
      <c r="H17" s="296">
        <v>3.0200769021807572</v>
      </c>
      <c r="I17" s="391"/>
    </row>
    <row r="18" spans="1:9" x14ac:dyDescent="0.2">
      <c r="B18" s="496" t="s">
        <v>281</v>
      </c>
      <c r="C18" s="286"/>
      <c r="D18" s="122">
        <v>61</v>
      </c>
      <c r="E18" s="296">
        <v>104</v>
      </c>
      <c r="F18" s="173">
        <v>67</v>
      </c>
      <c r="G18" s="296">
        <v>-8.9552238805970177</v>
      </c>
      <c r="H18" s="296">
        <v>-41.346153846153847</v>
      </c>
      <c r="I18" s="391"/>
    </row>
    <row r="19" spans="1:9" x14ac:dyDescent="0.2">
      <c r="B19" s="496" t="s">
        <v>282</v>
      </c>
      <c r="C19" s="286"/>
      <c r="D19" s="122">
        <v>14</v>
      </c>
      <c r="E19" s="296">
        <v>22</v>
      </c>
      <c r="F19" s="173">
        <v>12</v>
      </c>
      <c r="G19" s="296">
        <v>16.666666666666675</v>
      </c>
      <c r="H19" s="296">
        <v>-36.363636363636367</v>
      </c>
      <c r="I19" s="391"/>
    </row>
    <row r="20" spans="1:9" x14ac:dyDescent="0.2">
      <c r="B20" s="482"/>
      <c r="D20" s="339"/>
      <c r="E20" s="296"/>
      <c r="F20" s="185"/>
      <c r="G20" s="391"/>
      <c r="H20" s="391"/>
      <c r="I20" s="391"/>
    </row>
    <row r="21" spans="1:9" ht="15" x14ac:dyDescent="0.25">
      <c r="B21" s="70"/>
      <c r="C21" s="70"/>
      <c r="D21" s="295"/>
      <c r="E21" s="295"/>
      <c r="F21" s="137"/>
    </row>
    <row r="22" spans="1:9" x14ac:dyDescent="0.2">
      <c r="B22" s="422" t="s">
        <v>119</v>
      </c>
      <c r="C22" s="70" t="s">
        <v>469</v>
      </c>
      <c r="F22" s="137"/>
    </row>
    <row r="23" spans="1:9" x14ac:dyDescent="0.2">
      <c r="A23" s="326"/>
      <c r="B23" s="326"/>
      <c r="C23" s="329"/>
      <c r="D23" s="293"/>
      <c r="E23" s="293"/>
    </row>
    <row r="24" spans="1:9" x14ac:dyDescent="0.2">
      <c r="D24" s="293"/>
      <c r="E24" s="293"/>
    </row>
    <row r="25" spans="1:9" x14ac:dyDescent="0.2">
      <c r="D25" s="293"/>
      <c r="E25" s="293"/>
    </row>
    <row r="26" spans="1:9" x14ac:dyDescent="0.2">
      <c r="D26" s="293"/>
      <c r="E26" s="293"/>
    </row>
    <row r="27" spans="1:9" x14ac:dyDescent="0.2">
      <c r="D27" s="293"/>
      <c r="E27" s="293"/>
    </row>
    <row r="28" spans="1:9" x14ac:dyDescent="0.2">
      <c r="D28" s="293"/>
      <c r="E28" s="293"/>
    </row>
    <row r="29" spans="1:9" x14ac:dyDescent="0.2">
      <c r="D29" s="293"/>
      <c r="E29" s="293"/>
    </row>
    <row r="30" spans="1:9" x14ac:dyDescent="0.2">
      <c r="D30" s="293"/>
      <c r="E30" s="293"/>
    </row>
    <row r="31" spans="1:9" x14ac:dyDescent="0.2">
      <c r="D31" s="293"/>
      <c r="E31" s="293"/>
    </row>
    <row r="32" spans="1:9" x14ac:dyDescent="0.2">
      <c r="D32" s="293"/>
      <c r="E32" s="293"/>
    </row>
    <row r="33" spans="4:5" x14ac:dyDescent="0.2">
      <c r="D33" s="293"/>
      <c r="E33" s="293"/>
    </row>
    <row r="34" spans="4:5" x14ac:dyDescent="0.2">
      <c r="D34" s="293"/>
      <c r="E34" s="293"/>
    </row>
    <row r="35" spans="4:5" x14ac:dyDescent="0.2">
      <c r="D35" s="293"/>
      <c r="E35" s="293"/>
    </row>
    <row r="36" spans="4:5" x14ac:dyDescent="0.2">
      <c r="D36" s="293"/>
      <c r="E36" s="293"/>
    </row>
    <row r="37" spans="4:5" x14ac:dyDescent="0.2">
      <c r="D37" s="293"/>
      <c r="E37" s="293"/>
    </row>
    <row r="38" spans="4:5" x14ac:dyDescent="0.2">
      <c r="D38" s="293"/>
      <c r="E38" s="293"/>
    </row>
    <row r="39" spans="4:5" x14ac:dyDescent="0.2">
      <c r="D39" s="293"/>
      <c r="E39" s="293"/>
    </row>
    <row r="40" spans="4:5" x14ac:dyDescent="0.2">
      <c r="D40" s="293"/>
      <c r="E40" s="293"/>
    </row>
    <row r="41" spans="4:5" x14ac:dyDescent="0.2">
      <c r="D41" s="293"/>
      <c r="E41" s="293"/>
    </row>
    <row r="42" spans="4:5" x14ac:dyDescent="0.2">
      <c r="D42" s="293"/>
      <c r="E42" s="293"/>
    </row>
    <row r="43" spans="4:5" x14ac:dyDescent="0.2">
      <c r="D43" s="293"/>
      <c r="E43" s="293"/>
    </row>
    <row r="44" spans="4:5" x14ac:dyDescent="0.2">
      <c r="D44" s="293"/>
      <c r="E44" s="293"/>
    </row>
    <row r="45" spans="4:5" x14ac:dyDescent="0.2">
      <c r="D45" s="293"/>
      <c r="E45" s="293"/>
    </row>
    <row r="46" spans="4:5" x14ac:dyDescent="0.2">
      <c r="D46" s="293"/>
      <c r="E46" s="293"/>
    </row>
    <row r="47" spans="4:5" x14ac:dyDescent="0.2">
      <c r="D47" s="293"/>
      <c r="E47" s="293"/>
    </row>
    <row r="48" spans="4:5" x14ac:dyDescent="0.2">
      <c r="D48" s="293"/>
      <c r="E48" s="293"/>
    </row>
    <row r="49" spans="4:5" x14ac:dyDescent="0.2">
      <c r="D49" s="293"/>
      <c r="E49" s="293"/>
    </row>
    <row r="50" spans="4:5" x14ac:dyDescent="0.2">
      <c r="D50" s="293"/>
      <c r="E50" s="293"/>
    </row>
    <row r="51" spans="4:5" x14ac:dyDescent="0.2">
      <c r="D51" s="293"/>
      <c r="E51" s="293"/>
    </row>
    <row r="52" spans="4:5" x14ac:dyDescent="0.2">
      <c r="D52" s="293"/>
      <c r="E52" s="293"/>
    </row>
    <row r="53" spans="4:5" x14ac:dyDescent="0.2">
      <c r="D53" s="293"/>
      <c r="E53" s="293"/>
    </row>
    <row r="54" spans="4:5" x14ac:dyDescent="0.2">
      <c r="D54" s="293"/>
      <c r="E54" s="293"/>
    </row>
    <row r="55" spans="4:5" x14ac:dyDescent="0.2">
      <c r="D55" s="293"/>
      <c r="E55" s="293"/>
    </row>
    <row r="56" spans="4:5" x14ac:dyDescent="0.2">
      <c r="D56" s="293"/>
      <c r="E56" s="293"/>
    </row>
    <row r="57" spans="4:5" x14ac:dyDescent="0.2">
      <c r="D57" s="293"/>
      <c r="E57" s="293"/>
    </row>
    <row r="58" spans="4:5" x14ac:dyDescent="0.2">
      <c r="D58" s="293"/>
      <c r="E58" s="293"/>
    </row>
    <row r="59" spans="4:5" x14ac:dyDescent="0.2">
      <c r="D59" s="293"/>
      <c r="E59" s="293"/>
    </row>
    <row r="60" spans="4:5" x14ac:dyDescent="0.2">
      <c r="D60" s="293"/>
      <c r="E60" s="293"/>
    </row>
    <row r="61" spans="4:5" x14ac:dyDescent="0.2">
      <c r="D61" s="293"/>
      <c r="E61" s="293"/>
    </row>
    <row r="62" spans="4:5" x14ac:dyDescent="0.2">
      <c r="D62" s="293"/>
      <c r="E62" s="293"/>
    </row>
    <row r="63" spans="4:5" x14ac:dyDescent="0.2">
      <c r="D63" s="293"/>
      <c r="E63" s="293"/>
    </row>
    <row r="64" spans="4:5" x14ac:dyDescent="0.2">
      <c r="D64" s="293"/>
      <c r="E64" s="293"/>
    </row>
    <row r="65" spans="4:5" x14ac:dyDescent="0.2">
      <c r="D65" s="293"/>
      <c r="E65" s="293"/>
    </row>
    <row r="66" spans="4:5" x14ac:dyDescent="0.2">
      <c r="D66" s="293"/>
      <c r="E66" s="293"/>
    </row>
    <row r="67" spans="4:5" x14ac:dyDescent="0.2">
      <c r="D67" s="293"/>
      <c r="E67" s="293"/>
    </row>
    <row r="68" spans="4:5" x14ac:dyDescent="0.2">
      <c r="D68" s="293"/>
      <c r="E68" s="293"/>
    </row>
    <row r="69" spans="4:5" x14ac:dyDescent="0.2">
      <c r="D69" s="293"/>
      <c r="E69" s="293"/>
    </row>
    <row r="70" spans="4:5" x14ac:dyDescent="0.2">
      <c r="D70" s="293"/>
      <c r="E70" s="293"/>
    </row>
    <row r="71" spans="4:5" x14ac:dyDescent="0.2">
      <c r="D71" s="293"/>
      <c r="E71" s="293"/>
    </row>
    <row r="72" spans="4:5" x14ac:dyDescent="0.2">
      <c r="D72" s="293"/>
      <c r="E72" s="293"/>
    </row>
    <row r="73" spans="4:5" x14ac:dyDescent="0.2">
      <c r="D73" s="293"/>
      <c r="E73" s="293"/>
    </row>
    <row r="74" spans="4:5" x14ac:dyDescent="0.2">
      <c r="D74" s="293"/>
      <c r="E74" s="293"/>
    </row>
    <row r="75" spans="4:5" x14ac:dyDescent="0.2">
      <c r="D75" s="293"/>
      <c r="E75" s="293"/>
    </row>
    <row r="76" spans="4:5" x14ac:dyDescent="0.2">
      <c r="D76" s="293"/>
      <c r="E76" s="293"/>
    </row>
    <row r="77" spans="4:5" x14ac:dyDescent="0.2">
      <c r="D77" s="293"/>
      <c r="E77" s="293"/>
    </row>
    <row r="78" spans="4:5" x14ac:dyDescent="0.2">
      <c r="D78" s="293"/>
      <c r="E78" s="293"/>
    </row>
    <row r="79" spans="4:5" x14ac:dyDescent="0.2">
      <c r="D79" s="293"/>
      <c r="E79" s="293"/>
    </row>
    <row r="80" spans="4:5" x14ac:dyDescent="0.2">
      <c r="D80" s="293"/>
      <c r="E80" s="293"/>
    </row>
    <row r="81" spans="4:5" x14ac:dyDescent="0.2">
      <c r="D81" s="293"/>
      <c r="E81" s="293"/>
    </row>
    <row r="82" spans="4:5" x14ac:dyDescent="0.2">
      <c r="D82" s="293"/>
      <c r="E82" s="293"/>
    </row>
    <row r="83" spans="4:5" x14ac:dyDescent="0.2">
      <c r="D83" s="293"/>
      <c r="E83" s="293"/>
    </row>
    <row r="84" spans="4:5" x14ac:dyDescent="0.2">
      <c r="D84" s="293"/>
      <c r="E84" s="293"/>
    </row>
    <row r="85" spans="4:5" x14ac:dyDescent="0.2">
      <c r="D85" s="293"/>
      <c r="E85" s="293"/>
    </row>
    <row r="86" spans="4:5" x14ac:dyDescent="0.2">
      <c r="D86" s="293"/>
      <c r="E86" s="293"/>
    </row>
    <row r="87" spans="4:5" x14ac:dyDescent="0.2">
      <c r="D87" s="293"/>
      <c r="E87" s="293"/>
    </row>
    <row r="88" spans="4:5" x14ac:dyDescent="0.2">
      <c r="D88" s="293"/>
      <c r="E88" s="293"/>
    </row>
    <row r="89" spans="4:5" x14ac:dyDescent="0.2">
      <c r="D89" s="293"/>
      <c r="E89" s="293"/>
    </row>
    <row r="90" spans="4:5" x14ac:dyDescent="0.2">
      <c r="D90" s="293"/>
      <c r="E90" s="293"/>
    </row>
    <row r="91" spans="4:5" x14ac:dyDescent="0.2">
      <c r="D91" s="293"/>
      <c r="E91" s="293"/>
    </row>
    <row r="92" spans="4:5" x14ac:dyDescent="0.2">
      <c r="D92" s="293"/>
      <c r="E92" s="293"/>
    </row>
    <row r="93" spans="4:5" x14ac:dyDescent="0.2">
      <c r="D93" s="293"/>
      <c r="E93" s="293"/>
    </row>
    <row r="94" spans="4:5" x14ac:dyDescent="0.2">
      <c r="D94" s="293"/>
      <c r="E94" s="293"/>
    </row>
    <row r="95" spans="4:5" x14ac:dyDescent="0.2">
      <c r="D95" s="293"/>
      <c r="E95" s="293"/>
    </row>
    <row r="96" spans="4:5" x14ac:dyDescent="0.2">
      <c r="D96" s="293"/>
      <c r="E96" s="293"/>
    </row>
    <row r="97" spans="4:5" x14ac:dyDescent="0.2">
      <c r="D97" s="293"/>
      <c r="E97" s="293"/>
    </row>
    <row r="98" spans="4:5" x14ac:dyDescent="0.2">
      <c r="D98" s="293"/>
      <c r="E98" s="293"/>
    </row>
    <row r="99" spans="4:5" x14ac:dyDescent="0.2">
      <c r="D99" s="293"/>
      <c r="E99" s="293"/>
    </row>
    <row r="100" spans="4:5" x14ac:dyDescent="0.2">
      <c r="D100" s="293"/>
      <c r="E100" s="293"/>
    </row>
    <row r="101" spans="4:5" x14ac:dyDescent="0.2">
      <c r="D101" s="293"/>
      <c r="E101" s="293"/>
    </row>
    <row r="102" spans="4:5" x14ac:dyDescent="0.2">
      <c r="D102" s="293"/>
      <c r="E102" s="293"/>
    </row>
    <row r="103" spans="4:5" x14ac:dyDescent="0.2">
      <c r="D103" s="293"/>
      <c r="E103" s="293"/>
    </row>
    <row r="104" spans="4:5" x14ac:dyDescent="0.2">
      <c r="D104" s="293"/>
      <c r="E104" s="293"/>
    </row>
    <row r="105" spans="4:5" x14ac:dyDescent="0.2">
      <c r="D105" s="293"/>
      <c r="E105" s="293"/>
    </row>
    <row r="106" spans="4:5" x14ac:dyDescent="0.2">
      <c r="D106" s="293"/>
      <c r="E106" s="293"/>
    </row>
    <row r="107" spans="4:5" x14ac:dyDescent="0.2">
      <c r="D107" s="293"/>
      <c r="E107" s="293"/>
    </row>
    <row r="108" spans="4:5" x14ac:dyDescent="0.2">
      <c r="D108" s="293"/>
      <c r="E108" s="293"/>
    </row>
    <row r="109" spans="4:5" x14ac:dyDescent="0.2">
      <c r="D109" s="293"/>
      <c r="E109" s="293"/>
    </row>
    <row r="110" spans="4:5" x14ac:dyDescent="0.2">
      <c r="D110" s="293"/>
      <c r="E110" s="293"/>
    </row>
    <row r="111" spans="4:5" x14ac:dyDescent="0.2">
      <c r="D111" s="293"/>
      <c r="E111" s="293"/>
    </row>
    <row r="112" spans="4:5" x14ac:dyDescent="0.2">
      <c r="D112" s="293"/>
      <c r="E112" s="293"/>
    </row>
    <row r="113" spans="4:5" x14ac:dyDescent="0.2">
      <c r="D113" s="293"/>
      <c r="E113" s="293"/>
    </row>
    <row r="114" spans="4:5" x14ac:dyDescent="0.2">
      <c r="D114" s="293"/>
      <c r="E114" s="293"/>
    </row>
    <row r="115" spans="4:5" x14ac:dyDescent="0.2">
      <c r="D115" s="293"/>
      <c r="E115" s="293"/>
    </row>
    <row r="116" spans="4:5" x14ac:dyDescent="0.2">
      <c r="D116" s="293"/>
      <c r="E116" s="293"/>
    </row>
    <row r="117" spans="4:5" x14ac:dyDescent="0.2">
      <c r="D117" s="293"/>
      <c r="E117" s="293"/>
    </row>
    <row r="118" spans="4:5" x14ac:dyDescent="0.2">
      <c r="D118" s="293"/>
      <c r="E118" s="293"/>
    </row>
    <row r="119" spans="4:5" x14ac:dyDescent="0.2">
      <c r="D119" s="293"/>
      <c r="E119" s="293"/>
    </row>
    <row r="120" spans="4:5" x14ac:dyDescent="0.2">
      <c r="D120" s="293"/>
      <c r="E120" s="293"/>
    </row>
    <row r="121" spans="4:5" x14ac:dyDescent="0.2">
      <c r="D121" s="293"/>
      <c r="E121" s="293"/>
    </row>
    <row r="122" spans="4:5" x14ac:dyDescent="0.2">
      <c r="D122" s="293"/>
      <c r="E122" s="293"/>
    </row>
    <row r="123" spans="4:5" x14ac:dyDescent="0.2">
      <c r="D123" s="293"/>
      <c r="E123" s="293"/>
    </row>
    <row r="124" spans="4:5" x14ac:dyDescent="0.2">
      <c r="D124" s="293"/>
      <c r="E124" s="293"/>
    </row>
    <row r="125" spans="4:5" x14ac:dyDescent="0.2">
      <c r="D125" s="293"/>
      <c r="E125" s="293"/>
    </row>
    <row r="126" spans="4:5" x14ac:dyDescent="0.2">
      <c r="D126" s="293"/>
      <c r="E126" s="293"/>
    </row>
    <row r="127" spans="4:5" x14ac:dyDescent="0.2">
      <c r="D127" s="293"/>
      <c r="E127" s="293"/>
    </row>
    <row r="128" spans="4:5" x14ac:dyDescent="0.2">
      <c r="D128" s="293"/>
      <c r="E128" s="293"/>
    </row>
    <row r="129" spans="4:5" x14ac:dyDescent="0.2">
      <c r="D129" s="293"/>
      <c r="E129" s="293"/>
    </row>
    <row r="130" spans="4:5" x14ac:dyDescent="0.2">
      <c r="D130" s="293"/>
      <c r="E130" s="293"/>
    </row>
    <row r="131" spans="4:5" x14ac:dyDescent="0.2">
      <c r="D131" s="293"/>
      <c r="E131" s="293"/>
    </row>
    <row r="132" spans="4:5" x14ac:dyDescent="0.2">
      <c r="D132" s="293"/>
      <c r="E132" s="293"/>
    </row>
    <row r="133" spans="4:5" x14ac:dyDescent="0.2">
      <c r="D133" s="293"/>
      <c r="E133" s="293"/>
    </row>
    <row r="134" spans="4:5" x14ac:dyDescent="0.2">
      <c r="D134" s="293"/>
      <c r="E134" s="293"/>
    </row>
    <row r="135" spans="4:5" x14ac:dyDescent="0.2">
      <c r="D135" s="293"/>
      <c r="E135" s="293"/>
    </row>
    <row r="136" spans="4:5" x14ac:dyDescent="0.2">
      <c r="D136" s="293"/>
      <c r="E136" s="293"/>
    </row>
    <row r="137" spans="4:5" x14ac:dyDescent="0.2">
      <c r="D137" s="293"/>
      <c r="E137" s="293"/>
    </row>
    <row r="138" spans="4:5" x14ac:dyDescent="0.2">
      <c r="D138" s="293"/>
      <c r="E138" s="293"/>
    </row>
    <row r="139" spans="4:5" x14ac:dyDescent="0.2">
      <c r="D139" s="293"/>
      <c r="E139" s="293"/>
    </row>
    <row r="140" spans="4:5" x14ac:dyDescent="0.2">
      <c r="D140" s="293"/>
      <c r="E140" s="293"/>
    </row>
    <row r="141" spans="4:5" x14ac:dyDescent="0.2">
      <c r="D141" s="293"/>
      <c r="E141" s="293"/>
    </row>
    <row r="142" spans="4:5" x14ac:dyDescent="0.2">
      <c r="D142" s="440"/>
      <c r="E142" s="440"/>
    </row>
    <row r="143" spans="4:5" x14ac:dyDescent="0.2">
      <c r="D143" s="440"/>
      <c r="E143" s="440"/>
    </row>
    <row r="144" spans="4:5" x14ac:dyDescent="0.2">
      <c r="D144" s="440"/>
      <c r="E144" s="440"/>
    </row>
    <row r="145" spans="4:5" x14ac:dyDescent="0.2">
      <c r="D145" s="440"/>
      <c r="E145" s="440"/>
    </row>
    <row r="146" spans="4:5" x14ac:dyDescent="0.2">
      <c r="D146" s="440"/>
      <c r="E146" s="440"/>
    </row>
    <row r="147" spans="4:5" x14ac:dyDescent="0.2">
      <c r="D147" s="440"/>
      <c r="E147" s="440"/>
    </row>
    <row r="148" spans="4:5" x14ac:dyDescent="0.2">
      <c r="D148" s="440"/>
      <c r="E148" s="440"/>
    </row>
  </sheetData>
  <sheetProtection formatCells="0"/>
  <mergeCells count="1">
    <mergeCell ref="A2:C2"/>
  </mergeCells>
  <phoneticPr fontId="2" type="noConversion"/>
  <hyperlinks>
    <hyperlink ref="A2" location="Index!A1" display="Back to Index" xr:uid="{67A882EE-255F-4C6D-988B-44474DCABB00}"/>
  </hyperlinks>
  <pageMargins left="0.19685039370078741" right="0.15748031496062992" top="0.98425196850393704" bottom="0.98425196850393704" header="0.51181102362204722" footer="0.51181102362204722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1934-CDDE-40D1-8B81-FA6730AFD6E8}">
  <sheetPr>
    <tabColor rgb="FF132EF9"/>
    <pageSetUpPr fitToPage="1"/>
  </sheetPr>
  <dimension ref="A1:I148"/>
  <sheetViews>
    <sheetView showGridLines="0" zoomScale="85" zoomScaleNormal="85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4" style="286" customWidth="1"/>
    <col min="2" max="2" width="4.42578125" style="286" customWidth="1"/>
    <col min="3" max="3" width="42.5703125" style="321" customWidth="1"/>
    <col min="4" max="5" width="11.42578125" style="8" customWidth="1"/>
    <col min="6" max="8" width="11.42578125" style="286" customWidth="1"/>
    <col min="9" max="9" width="2.85546875" style="286" customWidth="1"/>
    <col min="10" max="16384" width="9.42578125" style="286"/>
  </cols>
  <sheetData>
    <row r="1" spans="1:9" s="4" customFormat="1" ht="20.25" x14ac:dyDescent="0.3">
      <c r="A1" s="3" t="s">
        <v>21</v>
      </c>
      <c r="D1" s="331"/>
      <c r="E1" s="331"/>
    </row>
    <row r="2" spans="1:9" s="6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382" t="s">
        <v>37</v>
      </c>
      <c r="G2" s="332" t="s">
        <v>467</v>
      </c>
      <c r="H2" s="332" t="s">
        <v>468</v>
      </c>
    </row>
    <row r="3" spans="1:9" s="341" customFormat="1" ht="7.5" customHeight="1" x14ac:dyDescent="0.25">
      <c r="A3" s="291"/>
      <c r="D3" s="493"/>
      <c r="E3" s="494"/>
    </row>
    <row r="4" spans="1:9" s="341" customFormat="1" ht="14.1" customHeight="1" x14ac:dyDescent="0.25">
      <c r="A4" s="316" t="s">
        <v>278</v>
      </c>
      <c r="D4" s="495"/>
      <c r="E4" s="295"/>
      <c r="G4" s="362"/>
      <c r="H4" s="362"/>
      <c r="I4" s="362"/>
    </row>
    <row r="5" spans="1:9" x14ac:dyDescent="0.2">
      <c r="B5" s="496" t="s">
        <v>40</v>
      </c>
      <c r="C5" s="286"/>
      <c r="D5" s="122">
        <v>3045</v>
      </c>
      <c r="E5" s="173">
        <v>3113</v>
      </c>
      <c r="F5" s="173">
        <v>3155</v>
      </c>
      <c r="G5" s="296">
        <v>-3.4865293185419977</v>
      </c>
      <c r="H5" s="296">
        <v>-2.1843880501124291</v>
      </c>
      <c r="I5" s="391"/>
    </row>
    <row r="6" spans="1:9" x14ac:dyDescent="0.2">
      <c r="B6" s="510" t="s">
        <v>41</v>
      </c>
      <c r="C6" s="391"/>
      <c r="D6" s="122">
        <v>919</v>
      </c>
      <c r="E6" s="173">
        <v>823</v>
      </c>
      <c r="F6" s="173">
        <v>852</v>
      </c>
      <c r="G6" s="296">
        <v>7.863849765258224</v>
      </c>
      <c r="H6" s="296">
        <v>11.664641555285549</v>
      </c>
      <c r="I6" s="391"/>
    </row>
    <row r="7" spans="1:9" x14ac:dyDescent="0.2">
      <c r="B7" s="510" t="s">
        <v>114</v>
      </c>
      <c r="C7" s="391"/>
      <c r="D7" s="122">
        <v>574</v>
      </c>
      <c r="E7" s="173">
        <v>464</v>
      </c>
      <c r="F7" s="173">
        <v>499</v>
      </c>
      <c r="G7" s="296">
        <v>15.030060120240485</v>
      </c>
      <c r="H7" s="296">
        <v>23.706896551724132</v>
      </c>
      <c r="I7" s="391"/>
    </row>
    <row r="8" spans="1:9" s="294" customFormat="1" ht="15" x14ac:dyDescent="0.25">
      <c r="B8" s="511" t="s">
        <v>44</v>
      </c>
      <c r="D8" s="101">
        <v>4538</v>
      </c>
      <c r="E8" s="214">
        <v>4400</v>
      </c>
      <c r="F8" s="214">
        <v>4506</v>
      </c>
      <c r="G8" s="296">
        <v>0.71016422547713898</v>
      </c>
      <c r="H8" s="296">
        <v>3.136363636363626</v>
      </c>
      <c r="I8" s="385"/>
    </row>
    <row r="9" spans="1:9" x14ac:dyDescent="0.2">
      <c r="B9" s="496" t="s">
        <v>7</v>
      </c>
      <c r="C9" s="286"/>
      <c r="D9" s="122">
        <v>1438</v>
      </c>
      <c r="E9" s="173">
        <v>1527</v>
      </c>
      <c r="F9" s="173">
        <v>1421</v>
      </c>
      <c r="G9" s="296">
        <v>1.1963406052075909</v>
      </c>
      <c r="H9" s="296">
        <v>-5.8284217419777296</v>
      </c>
      <c r="I9" s="391"/>
    </row>
    <row r="10" spans="1:9" x14ac:dyDescent="0.2">
      <c r="B10" s="496" t="s">
        <v>46</v>
      </c>
      <c r="C10" s="286"/>
      <c r="D10" s="122">
        <v>0</v>
      </c>
      <c r="E10" s="173">
        <v>0</v>
      </c>
      <c r="F10" s="173">
        <v>0</v>
      </c>
      <c r="G10" s="296">
        <v>0</v>
      </c>
      <c r="H10" s="296">
        <v>0</v>
      </c>
      <c r="I10" s="391"/>
    </row>
    <row r="11" spans="1:9" x14ac:dyDescent="0.2">
      <c r="B11" s="496" t="s">
        <v>8</v>
      </c>
      <c r="C11" s="286"/>
      <c r="D11" s="122">
        <v>124</v>
      </c>
      <c r="E11" s="173">
        <v>239</v>
      </c>
      <c r="F11" s="173">
        <v>2</v>
      </c>
      <c r="G11" s="296" t="s">
        <v>494</v>
      </c>
      <c r="H11" s="296">
        <v>-48.11715481171548</v>
      </c>
      <c r="I11" s="391"/>
    </row>
    <row r="12" spans="1:9" x14ac:dyDescent="0.2">
      <c r="B12" s="496" t="s">
        <v>49</v>
      </c>
      <c r="C12" s="286"/>
      <c r="D12" s="122">
        <v>2</v>
      </c>
      <c r="E12" s="173">
        <v>7</v>
      </c>
      <c r="F12" s="173">
        <v>6</v>
      </c>
      <c r="G12" s="296">
        <v>-66.666666666666671</v>
      </c>
      <c r="H12" s="296">
        <v>-71.428571428571431</v>
      </c>
      <c r="I12" s="391"/>
    </row>
    <row r="13" spans="1:9" s="294" customFormat="1" ht="15" x14ac:dyDescent="0.25">
      <c r="B13" s="341" t="s">
        <v>50</v>
      </c>
      <c r="D13" s="101">
        <v>2978</v>
      </c>
      <c r="E13" s="386">
        <v>2641</v>
      </c>
      <c r="F13" s="214">
        <v>3089</v>
      </c>
      <c r="G13" s="296">
        <v>-3.5933959210100341</v>
      </c>
      <c r="H13" s="296">
        <v>12.760318061340392</v>
      </c>
      <c r="I13" s="385"/>
    </row>
    <row r="14" spans="1:9" x14ac:dyDescent="0.2">
      <c r="C14" s="286"/>
      <c r="D14" s="122"/>
      <c r="E14" s="296"/>
      <c r="F14" s="185"/>
      <c r="G14" s="457"/>
      <c r="H14" s="457"/>
      <c r="I14" s="391"/>
    </row>
    <row r="15" spans="1:9" s="341" customFormat="1" ht="14.25" customHeight="1" x14ac:dyDescent="0.25">
      <c r="A15" s="291" t="s">
        <v>279</v>
      </c>
      <c r="D15" s="122"/>
      <c r="E15" s="296"/>
      <c r="F15" s="215"/>
      <c r="G15" s="513"/>
      <c r="H15" s="513"/>
      <c r="I15" s="362"/>
    </row>
    <row r="16" spans="1:9" x14ac:dyDescent="0.2">
      <c r="B16" s="496" t="s">
        <v>280</v>
      </c>
      <c r="C16" s="286"/>
      <c r="D16" s="122">
        <v>365267</v>
      </c>
      <c r="E16" s="296">
        <v>347241</v>
      </c>
      <c r="F16" s="173">
        <v>337405</v>
      </c>
      <c r="G16" s="296">
        <v>8.257731805989831</v>
      </c>
      <c r="H16" s="296">
        <v>5.19120725951141</v>
      </c>
      <c r="I16" s="391"/>
    </row>
    <row r="17" spans="2:9" x14ac:dyDescent="0.2">
      <c r="B17" s="496" t="s">
        <v>58</v>
      </c>
      <c r="C17" s="286"/>
      <c r="D17" s="122">
        <v>263633</v>
      </c>
      <c r="E17" s="296">
        <v>250252</v>
      </c>
      <c r="F17" s="173">
        <v>227373</v>
      </c>
      <c r="G17" s="296">
        <v>15.94736402299306</v>
      </c>
      <c r="H17" s="296">
        <v>5.3470102137045838</v>
      </c>
      <c r="I17" s="391"/>
    </row>
    <row r="18" spans="2:9" x14ac:dyDescent="0.2">
      <c r="B18" s="496" t="s">
        <v>281</v>
      </c>
      <c r="C18" s="286"/>
      <c r="D18" s="122">
        <v>11</v>
      </c>
      <c r="E18" s="296">
        <v>25</v>
      </c>
      <c r="F18" s="173">
        <v>10</v>
      </c>
      <c r="G18" s="296">
        <v>10.000000000000009</v>
      </c>
      <c r="H18" s="296">
        <v>-56.000000000000007</v>
      </c>
      <c r="I18" s="391"/>
    </row>
    <row r="19" spans="2:9" x14ac:dyDescent="0.2">
      <c r="B19" s="496" t="s">
        <v>282</v>
      </c>
      <c r="C19" s="286"/>
      <c r="D19" s="122">
        <v>3</v>
      </c>
      <c r="E19" s="296">
        <v>3</v>
      </c>
      <c r="F19" s="173">
        <v>4</v>
      </c>
      <c r="G19" s="296">
        <v>-25</v>
      </c>
      <c r="H19" s="296">
        <v>0</v>
      </c>
      <c r="I19" s="391"/>
    </row>
    <row r="20" spans="2:9" x14ac:dyDescent="0.2">
      <c r="C20" s="286"/>
      <c r="E20" s="292"/>
      <c r="F20" s="514"/>
      <c r="G20" s="515"/>
      <c r="H20" s="315"/>
      <c r="I20" s="391"/>
    </row>
    <row r="21" spans="2:9" x14ac:dyDescent="0.2">
      <c r="C21" s="286"/>
      <c r="E21" s="292"/>
      <c r="F21" s="514"/>
      <c r="G21" s="515"/>
      <c r="H21" s="315"/>
      <c r="I21" s="391"/>
    </row>
    <row r="22" spans="2:9" x14ac:dyDescent="0.2">
      <c r="B22" s="422" t="s">
        <v>119</v>
      </c>
      <c r="C22" s="70" t="s">
        <v>469</v>
      </c>
      <c r="F22" s="516"/>
    </row>
    <row r="23" spans="2:9" x14ac:dyDescent="0.2">
      <c r="D23" s="292"/>
      <c r="E23" s="293"/>
    </row>
    <row r="24" spans="2:9" x14ac:dyDescent="0.2">
      <c r="D24" s="292"/>
      <c r="E24" s="293"/>
    </row>
    <row r="25" spans="2:9" x14ac:dyDescent="0.2">
      <c r="D25" s="292"/>
      <c r="E25" s="293"/>
    </row>
    <row r="26" spans="2:9" x14ac:dyDescent="0.2">
      <c r="D26" s="292"/>
      <c r="E26" s="293"/>
    </row>
    <row r="27" spans="2:9" x14ac:dyDescent="0.2">
      <c r="D27" s="292"/>
      <c r="E27" s="293"/>
    </row>
    <row r="28" spans="2:9" x14ac:dyDescent="0.2">
      <c r="D28" s="293"/>
      <c r="E28" s="293"/>
    </row>
    <row r="29" spans="2:9" x14ac:dyDescent="0.2">
      <c r="B29" s="517"/>
      <c r="D29" s="293"/>
      <c r="E29" s="293"/>
    </row>
    <row r="30" spans="2:9" x14ac:dyDescent="0.2">
      <c r="B30" s="517"/>
      <c r="D30" s="293"/>
      <c r="E30" s="293"/>
    </row>
    <row r="31" spans="2:9" x14ac:dyDescent="0.2">
      <c r="D31" s="293"/>
      <c r="E31" s="293"/>
    </row>
    <row r="32" spans="2:9" x14ac:dyDescent="0.2">
      <c r="D32" s="293"/>
      <c r="E32" s="293"/>
    </row>
    <row r="33" spans="4:5" x14ac:dyDescent="0.2">
      <c r="D33" s="293"/>
      <c r="E33" s="293"/>
    </row>
    <row r="34" spans="4:5" x14ac:dyDescent="0.2">
      <c r="D34" s="293"/>
      <c r="E34" s="293"/>
    </row>
    <row r="35" spans="4:5" x14ac:dyDescent="0.2">
      <c r="D35" s="293"/>
      <c r="E35" s="293"/>
    </row>
    <row r="36" spans="4:5" x14ac:dyDescent="0.2">
      <c r="D36" s="293"/>
      <c r="E36" s="293"/>
    </row>
    <row r="37" spans="4:5" x14ac:dyDescent="0.2">
      <c r="D37" s="293"/>
      <c r="E37" s="293"/>
    </row>
    <row r="38" spans="4:5" x14ac:dyDescent="0.2">
      <c r="D38" s="293"/>
      <c r="E38" s="293"/>
    </row>
    <row r="39" spans="4:5" x14ac:dyDescent="0.2">
      <c r="D39" s="293"/>
      <c r="E39" s="293"/>
    </row>
    <row r="40" spans="4:5" x14ac:dyDescent="0.2">
      <c r="D40" s="293"/>
      <c r="E40" s="293"/>
    </row>
    <row r="41" spans="4:5" x14ac:dyDescent="0.2">
      <c r="D41" s="293"/>
      <c r="E41" s="293"/>
    </row>
    <row r="42" spans="4:5" x14ac:dyDescent="0.2">
      <c r="D42" s="293"/>
      <c r="E42" s="293"/>
    </row>
    <row r="43" spans="4:5" x14ac:dyDescent="0.2">
      <c r="D43" s="293"/>
      <c r="E43" s="293"/>
    </row>
    <row r="44" spans="4:5" x14ac:dyDescent="0.2">
      <c r="D44" s="293"/>
      <c r="E44" s="293"/>
    </row>
    <row r="45" spans="4:5" x14ac:dyDescent="0.2">
      <c r="D45" s="293"/>
      <c r="E45" s="293"/>
    </row>
    <row r="46" spans="4:5" x14ac:dyDescent="0.2">
      <c r="D46" s="293"/>
      <c r="E46" s="293"/>
    </row>
    <row r="47" spans="4:5" x14ac:dyDescent="0.2">
      <c r="D47" s="293"/>
      <c r="E47" s="293"/>
    </row>
    <row r="48" spans="4:5" x14ac:dyDescent="0.2">
      <c r="D48" s="293"/>
      <c r="E48" s="293"/>
    </row>
    <row r="49" spans="4:5" x14ac:dyDescent="0.2">
      <c r="D49" s="293"/>
      <c r="E49" s="293"/>
    </row>
    <row r="50" spans="4:5" x14ac:dyDescent="0.2">
      <c r="D50" s="293"/>
      <c r="E50" s="293"/>
    </row>
    <row r="51" spans="4:5" x14ac:dyDescent="0.2">
      <c r="D51" s="293"/>
      <c r="E51" s="293"/>
    </row>
    <row r="52" spans="4:5" x14ac:dyDescent="0.2">
      <c r="D52" s="293"/>
      <c r="E52" s="293"/>
    </row>
    <row r="53" spans="4:5" x14ac:dyDescent="0.2">
      <c r="D53" s="293"/>
      <c r="E53" s="293"/>
    </row>
    <row r="54" spans="4:5" x14ac:dyDescent="0.2">
      <c r="D54" s="293"/>
      <c r="E54" s="293"/>
    </row>
    <row r="55" spans="4:5" x14ac:dyDescent="0.2">
      <c r="D55" s="293"/>
      <c r="E55" s="293"/>
    </row>
    <row r="56" spans="4:5" x14ac:dyDescent="0.2">
      <c r="D56" s="293"/>
      <c r="E56" s="293"/>
    </row>
    <row r="57" spans="4:5" x14ac:dyDescent="0.2">
      <c r="D57" s="293"/>
      <c r="E57" s="293"/>
    </row>
    <row r="58" spans="4:5" x14ac:dyDescent="0.2">
      <c r="D58" s="293"/>
      <c r="E58" s="293"/>
    </row>
    <row r="59" spans="4:5" x14ac:dyDescent="0.2">
      <c r="D59" s="293"/>
      <c r="E59" s="293"/>
    </row>
    <row r="60" spans="4:5" x14ac:dyDescent="0.2">
      <c r="D60" s="293"/>
      <c r="E60" s="293"/>
    </row>
    <row r="61" spans="4:5" x14ac:dyDescent="0.2">
      <c r="D61" s="293"/>
      <c r="E61" s="293"/>
    </row>
    <row r="62" spans="4:5" x14ac:dyDescent="0.2">
      <c r="D62" s="293"/>
      <c r="E62" s="293"/>
    </row>
    <row r="63" spans="4:5" x14ac:dyDescent="0.2">
      <c r="D63" s="293"/>
      <c r="E63" s="293"/>
    </row>
    <row r="64" spans="4:5" x14ac:dyDescent="0.2">
      <c r="D64" s="293"/>
      <c r="E64" s="293"/>
    </row>
    <row r="65" spans="4:5" x14ac:dyDescent="0.2">
      <c r="D65" s="293"/>
      <c r="E65" s="293"/>
    </row>
    <row r="66" spans="4:5" x14ac:dyDescent="0.2">
      <c r="D66" s="293"/>
      <c r="E66" s="293"/>
    </row>
    <row r="67" spans="4:5" x14ac:dyDescent="0.2">
      <c r="D67" s="293"/>
      <c r="E67" s="293"/>
    </row>
    <row r="68" spans="4:5" x14ac:dyDescent="0.2">
      <c r="D68" s="293"/>
      <c r="E68" s="293"/>
    </row>
    <row r="69" spans="4:5" x14ac:dyDescent="0.2">
      <c r="D69" s="293"/>
      <c r="E69" s="293"/>
    </row>
    <row r="70" spans="4:5" x14ac:dyDescent="0.2">
      <c r="D70" s="293"/>
      <c r="E70" s="293"/>
    </row>
    <row r="71" spans="4:5" x14ac:dyDescent="0.2">
      <c r="D71" s="293"/>
      <c r="E71" s="293"/>
    </row>
    <row r="72" spans="4:5" x14ac:dyDescent="0.2">
      <c r="D72" s="293"/>
      <c r="E72" s="293"/>
    </row>
    <row r="73" spans="4:5" x14ac:dyDescent="0.2">
      <c r="D73" s="293"/>
      <c r="E73" s="293"/>
    </row>
    <row r="74" spans="4:5" x14ac:dyDescent="0.2">
      <c r="D74" s="293"/>
      <c r="E74" s="293"/>
    </row>
    <row r="75" spans="4:5" x14ac:dyDescent="0.2">
      <c r="D75" s="293"/>
      <c r="E75" s="293"/>
    </row>
    <row r="76" spans="4:5" x14ac:dyDescent="0.2">
      <c r="D76" s="293"/>
      <c r="E76" s="293"/>
    </row>
    <row r="77" spans="4:5" x14ac:dyDescent="0.2">
      <c r="D77" s="293"/>
      <c r="E77" s="293"/>
    </row>
    <row r="78" spans="4:5" x14ac:dyDescent="0.2">
      <c r="D78" s="293"/>
      <c r="E78" s="293"/>
    </row>
    <row r="79" spans="4:5" x14ac:dyDescent="0.2">
      <c r="D79" s="293"/>
      <c r="E79" s="293"/>
    </row>
    <row r="80" spans="4:5" x14ac:dyDescent="0.2">
      <c r="D80" s="293"/>
      <c r="E80" s="293"/>
    </row>
    <row r="81" spans="4:5" x14ac:dyDescent="0.2">
      <c r="D81" s="293"/>
      <c r="E81" s="293"/>
    </row>
    <row r="82" spans="4:5" x14ac:dyDescent="0.2">
      <c r="D82" s="293"/>
      <c r="E82" s="293"/>
    </row>
    <row r="83" spans="4:5" x14ac:dyDescent="0.2">
      <c r="D83" s="293"/>
      <c r="E83" s="293"/>
    </row>
    <row r="84" spans="4:5" x14ac:dyDescent="0.2">
      <c r="D84" s="293"/>
      <c r="E84" s="293"/>
    </row>
    <row r="85" spans="4:5" x14ac:dyDescent="0.2">
      <c r="D85" s="293"/>
      <c r="E85" s="293"/>
    </row>
    <row r="86" spans="4:5" x14ac:dyDescent="0.2">
      <c r="D86" s="293"/>
      <c r="E86" s="293"/>
    </row>
    <row r="87" spans="4:5" x14ac:dyDescent="0.2">
      <c r="D87" s="293"/>
      <c r="E87" s="293"/>
    </row>
    <row r="88" spans="4:5" x14ac:dyDescent="0.2">
      <c r="D88" s="293"/>
      <c r="E88" s="293"/>
    </row>
    <row r="89" spans="4:5" x14ac:dyDescent="0.2">
      <c r="D89" s="293"/>
      <c r="E89" s="293"/>
    </row>
    <row r="90" spans="4:5" x14ac:dyDescent="0.2">
      <c r="D90" s="293"/>
      <c r="E90" s="293"/>
    </row>
    <row r="91" spans="4:5" x14ac:dyDescent="0.2">
      <c r="D91" s="293"/>
      <c r="E91" s="293"/>
    </row>
    <row r="92" spans="4:5" x14ac:dyDescent="0.2">
      <c r="D92" s="293"/>
      <c r="E92" s="293"/>
    </row>
    <row r="93" spans="4:5" x14ac:dyDescent="0.2">
      <c r="D93" s="293"/>
      <c r="E93" s="293"/>
    </row>
    <row r="94" spans="4:5" x14ac:dyDescent="0.2">
      <c r="D94" s="293"/>
      <c r="E94" s="293"/>
    </row>
    <row r="95" spans="4:5" x14ac:dyDescent="0.2">
      <c r="D95" s="293"/>
      <c r="E95" s="293"/>
    </row>
    <row r="96" spans="4:5" x14ac:dyDescent="0.2">
      <c r="D96" s="293"/>
      <c r="E96" s="293"/>
    </row>
    <row r="97" spans="4:5" x14ac:dyDescent="0.2">
      <c r="D97" s="293"/>
      <c r="E97" s="293"/>
    </row>
    <row r="98" spans="4:5" x14ac:dyDescent="0.2">
      <c r="D98" s="293"/>
      <c r="E98" s="293"/>
    </row>
    <row r="99" spans="4:5" x14ac:dyDescent="0.2">
      <c r="D99" s="293"/>
      <c r="E99" s="293"/>
    </row>
    <row r="100" spans="4:5" x14ac:dyDescent="0.2">
      <c r="D100" s="293"/>
      <c r="E100" s="293"/>
    </row>
    <row r="101" spans="4:5" x14ac:dyDescent="0.2">
      <c r="D101" s="293"/>
      <c r="E101" s="293"/>
    </row>
    <row r="102" spans="4:5" x14ac:dyDescent="0.2">
      <c r="D102" s="293"/>
      <c r="E102" s="293"/>
    </row>
    <row r="103" spans="4:5" x14ac:dyDescent="0.2">
      <c r="D103" s="293"/>
      <c r="E103" s="293"/>
    </row>
    <row r="104" spans="4:5" x14ac:dyDescent="0.2">
      <c r="D104" s="293"/>
      <c r="E104" s="293"/>
    </row>
    <row r="105" spans="4:5" x14ac:dyDescent="0.2">
      <c r="D105" s="293"/>
      <c r="E105" s="293"/>
    </row>
    <row r="106" spans="4:5" x14ac:dyDescent="0.2">
      <c r="D106" s="293"/>
      <c r="E106" s="293"/>
    </row>
    <row r="107" spans="4:5" x14ac:dyDescent="0.2">
      <c r="D107" s="293"/>
      <c r="E107" s="293"/>
    </row>
    <row r="108" spans="4:5" x14ac:dyDescent="0.2">
      <c r="D108" s="293"/>
      <c r="E108" s="293"/>
    </row>
    <row r="109" spans="4:5" x14ac:dyDescent="0.2">
      <c r="D109" s="293"/>
      <c r="E109" s="293"/>
    </row>
    <row r="110" spans="4:5" x14ac:dyDescent="0.2">
      <c r="D110" s="293"/>
      <c r="E110" s="293"/>
    </row>
    <row r="111" spans="4:5" x14ac:dyDescent="0.2">
      <c r="D111" s="293"/>
      <c r="E111" s="293"/>
    </row>
    <row r="112" spans="4:5" x14ac:dyDescent="0.2">
      <c r="D112" s="293"/>
      <c r="E112" s="293"/>
    </row>
    <row r="113" spans="4:5" x14ac:dyDescent="0.2">
      <c r="D113" s="293"/>
      <c r="E113" s="293"/>
    </row>
    <row r="114" spans="4:5" x14ac:dyDescent="0.2">
      <c r="D114" s="293"/>
      <c r="E114" s="293"/>
    </row>
    <row r="115" spans="4:5" x14ac:dyDescent="0.2">
      <c r="D115" s="293"/>
      <c r="E115" s="293"/>
    </row>
    <row r="116" spans="4:5" x14ac:dyDescent="0.2">
      <c r="D116" s="293"/>
      <c r="E116" s="293"/>
    </row>
    <row r="117" spans="4:5" x14ac:dyDescent="0.2">
      <c r="D117" s="293"/>
      <c r="E117" s="293"/>
    </row>
    <row r="118" spans="4:5" x14ac:dyDescent="0.2">
      <c r="D118" s="293"/>
      <c r="E118" s="293"/>
    </row>
    <row r="119" spans="4:5" x14ac:dyDescent="0.2">
      <c r="D119" s="293"/>
      <c r="E119" s="293"/>
    </row>
    <row r="120" spans="4:5" x14ac:dyDescent="0.2">
      <c r="D120" s="293"/>
      <c r="E120" s="293"/>
    </row>
    <row r="121" spans="4:5" x14ac:dyDescent="0.2">
      <c r="D121" s="293"/>
      <c r="E121" s="293"/>
    </row>
    <row r="122" spans="4:5" x14ac:dyDescent="0.2">
      <c r="D122" s="293"/>
      <c r="E122" s="293"/>
    </row>
    <row r="123" spans="4:5" x14ac:dyDescent="0.2">
      <c r="D123" s="293"/>
      <c r="E123" s="293"/>
    </row>
    <row r="124" spans="4:5" x14ac:dyDescent="0.2">
      <c r="D124" s="293"/>
      <c r="E124" s="293"/>
    </row>
    <row r="125" spans="4:5" x14ac:dyDescent="0.2">
      <c r="D125" s="293"/>
      <c r="E125" s="293"/>
    </row>
    <row r="126" spans="4:5" x14ac:dyDescent="0.2">
      <c r="D126" s="293"/>
      <c r="E126" s="293"/>
    </row>
    <row r="127" spans="4:5" x14ac:dyDescent="0.2">
      <c r="D127" s="293"/>
      <c r="E127" s="293"/>
    </row>
    <row r="128" spans="4:5" x14ac:dyDescent="0.2">
      <c r="D128" s="293"/>
      <c r="E128" s="293"/>
    </row>
    <row r="129" spans="4:5" x14ac:dyDescent="0.2">
      <c r="D129" s="293"/>
      <c r="E129" s="293"/>
    </row>
    <row r="130" spans="4:5" x14ac:dyDescent="0.2">
      <c r="D130" s="293"/>
      <c r="E130" s="293"/>
    </row>
    <row r="131" spans="4:5" x14ac:dyDescent="0.2">
      <c r="D131" s="293"/>
      <c r="E131" s="293"/>
    </row>
    <row r="132" spans="4:5" x14ac:dyDescent="0.2">
      <c r="D132" s="293"/>
      <c r="E132" s="293"/>
    </row>
    <row r="133" spans="4:5" x14ac:dyDescent="0.2">
      <c r="D133" s="293"/>
      <c r="E133" s="293"/>
    </row>
    <row r="134" spans="4:5" x14ac:dyDescent="0.2">
      <c r="D134" s="293"/>
      <c r="E134" s="293"/>
    </row>
    <row r="135" spans="4:5" x14ac:dyDescent="0.2">
      <c r="D135" s="293"/>
      <c r="E135" s="293"/>
    </row>
    <row r="136" spans="4:5" x14ac:dyDescent="0.2">
      <c r="D136" s="293"/>
      <c r="E136" s="293"/>
    </row>
    <row r="137" spans="4:5" x14ac:dyDescent="0.2">
      <c r="D137" s="293"/>
      <c r="E137" s="293"/>
    </row>
    <row r="138" spans="4:5" x14ac:dyDescent="0.2">
      <c r="D138" s="293"/>
      <c r="E138" s="293"/>
    </row>
    <row r="139" spans="4:5" x14ac:dyDescent="0.2">
      <c r="D139" s="293"/>
      <c r="E139" s="293"/>
    </row>
    <row r="140" spans="4:5" x14ac:dyDescent="0.2">
      <c r="D140" s="293"/>
      <c r="E140" s="293"/>
    </row>
    <row r="141" spans="4:5" x14ac:dyDescent="0.2">
      <c r="D141" s="293"/>
      <c r="E141" s="293"/>
    </row>
    <row r="142" spans="4:5" x14ac:dyDescent="0.2">
      <c r="D142" s="440"/>
      <c r="E142" s="440"/>
    </row>
    <row r="143" spans="4:5" x14ac:dyDescent="0.2">
      <c r="D143" s="440"/>
      <c r="E143" s="440"/>
    </row>
    <row r="144" spans="4:5" x14ac:dyDescent="0.2">
      <c r="D144" s="440"/>
      <c r="E144" s="440"/>
    </row>
    <row r="145" spans="4:5" x14ac:dyDescent="0.2">
      <c r="D145" s="440"/>
      <c r="E145" s="440"/>
    </row>
    <row r="146" spans="4:5" x14ac:dyDescent="0.2">
      <c r="D146" s="440"/>
      <c r="E146" s="440"/>
    </row>
    <row r="147" spans="4:5" x14ac:dyDescent="0.2">
      <c r="D147" s="440"/>
      <c r="E147" s="440"/>
    </row>
    <row r="148" spans="4:5" x14ac:dyDescent="0.2">
      <c r="D148" s="440"/>
      <c r="E148" s="440"/>
    </row>
  </sheetData>
  <sheetProtection formatCells="0"/>
  <mergeCells count="1">
    <mergeCell ref="A2:C2"/>
  </mergeCells>
  <phoneticPr fontId="2" type="noConversion"/>
  <hyperlinks>
    <hyperlink ref="A2" location="Index!A1" display="Back to Index" xr:uid="{AEA098C4-5FCE-4D26-A862-13E295053393}"/>
  </hyperlinks>
  <pageMargins left="0.15748031496062992" right="0.15748031496062992" top="0.98425196850393704" bottom="0.98425196850393704" header="0.51181102362204722" footer="0.51181102362204722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5D73-19B5-4309-8379-A226BBF150DD}">
  <sheetPr>
    <tabColor rgb="FF132EF9"/>
    <pageSetUpPr fitToPage="1"/>
  </sheetPr>
  <dimension ref="A1:H148"/>
  <sheetViews>
    <sheetView showGridLines="0" zoomScale="85" zoomScaleNormal="85" zoomScaleSheetLayoutView="85" workbookViewId="0">
      <pane ySplit="2" topLeftCell="A3" activePane="bottomLeft" state="frozen"/>
      <selection activeCell="F2" sqref="F2"/>
      <selection pane="bottomLeft"/>
    </sheetView>
  </sheetViews>
  <sheetFormatPr defaultColWidth="9.42578125" defaultRowHeight="14.25" x14ac:dyDescent="0.2"/>
  <cols>
    <col min="1" max="1" width="4" style="286" customWidth="1"/>
    <col min="2" max="2" width="4.42578125" style="286" customWidth="1"/>
    <col min="3" max="3" width="43" style="321" customWidth="1"/>
    <col min="4" max="5" width="11.42578125" style="8" customWidth="1"/>
    <col min="6" max="8" width="11.42578125" style="286" customWidth="1"/>
    <col min="9" max="9" width="2.85546875" style="286" customWidth="1"/>
    <col min="10" max="16384" width="9.42578125" style="286"/>
  </cols>
  <sheetData>
    <row r="1" spans="1:8" s="4" customFormat="1" ht="20.25" x14ac:dyDescent="0.3">
      <c r="A1" s="3" t="s">
        <v>22</v>
      </c>
      <c r="D1" s="331"/>
      <c r="E1" s="331"/>
    </row>
    <row r="2" spans="1:8" s="6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382" t="s">
        <v>37</v>
      </c>
      <c r="G2" s="332" t="s">
        <v>467</v>
      </c>
      <c r="H2" s="332" t="s">
        <v>468</v>
      </c>
    </row>
    <row r="3" spans="1:8" s="341" customFormat="1" ht="6.6" customHeight="1" x14ac:dyDescent="0.25">
      <c r="A3" s="291"/>
      <c r="D3" s="493"/>
      <c r="E3" s="494"/>
    </row>
    <row r="4" spans="1:8" s="341" customFormat="1" ht="14.25" customHeight="1" x14ac:dyDescent="0.25">
      <c r="A4" s="316" t="s">
        <v>278</v>
      </c>
      <c r="D4" s="333"/>
      <c r="E4" s="295"/>
      <c r="G4" s="362"/>
      <c r="H4" s="362"/>
    </row>
    <row r="5" spans="1:8" x14ac:dyDescent="0.2">
      <c r="B5" s="496" t="s">
        <v>40</v>
      </c>
      <c r="C5" s="286"/>
      <c r="D5" s="122">
        <v>117</v>
      </c>
      <c r="E5" s="163">
        <v>21</v>
      </c>
      <c r="F5" s="173">
        <v>-15</v>
      </c>
      <c r="G5" s="296" t="s">
        <v>151</v>
      </c>
      <c r="H5" s="296" t="s">
        <v>494</v>
      </c>
    </row>
    <row r="6" spans="1:8" x14ac:dyDescent="0.2">
      <c r="B6" s="510" t="s">
        <v>41</v>
      </c>
      <c r="C6" s="391"/>
      <c r="D6" s="122">
        <v>0</v>
      </c>
      <c r="E6" s="130">
        <v>0</v>
      </c>
      <c r="F6" s="173">
        <v>0</v>
      </c>
      <c r="G6" s="296">
        <v>0</v>
      </c>
      <c r="H6" s="296">
        <v>0</v>
      </c>
    </row>
    <row r="7" spans="1:8" x14ac:dyDescent="0.2">
      <c r="B7" s="510" t="s">
        <v>114</v>
      </c>
      <c r="C7" s="391"/>
      <c r="D7" s="122">
        <v>741</v>
      </c>
      <c r="E7" s="163">
        <v>572</v>
      </c>
      <c r="F7" s="173">
        <v>796</v>
      </c>
      <c r="G7" s="296">
        <v>-6.9095477386934672</v>
      </c>
      <c r="H7" s="296">
        <v>29.54545454545454</v>
      </c>
    </row>
    <row r="8" spans="1:8" s="294" customFormat="1" ht="15" x14ac:dyDescent="0.25">
      <c r="B8" s="518" t="s">
        <v>44</v>
      </c>
      <c r="D8" s="101">
        <v>858</v>
      </c>
      <c r="E8" s="134">
        <v>593</v>
      </c>
      <c r="F8" s="214">
        <v>781</v>
      </c>
      <c r="G8" s="296">
        <v>9.8591549295774747</v>
      </c>
      <c r="H8" s="296">
        <v>44.68802698145025</v>
      </c>
    </row>
    <row r="9" spans="1:8" x14ac:dyDescent="0.2">
      <c r="B9" s="496" t="s">
        <v>7</v>
      </c>
      <c r="C9" s="286"/>
      <c r="D9" s="122">
        <v>413</v>
      </c>
      <c r="E9" s="163">
        <v>422</v>
      </c>
      <c r="F9" s="173">
        <v>388</v>
      </c>
      <c r="G9" s="296">
        <v>6.4432989690721643</v>
      </c>
      <c r="H9" s="296">
        <v>-2.1327014218009532</v>
      </c>
    </row>
    <row r="10" spans="1:8" x14ac:dyDescent="0.2">
      <c r="B10" s="496" t="s">
        <v>46</v>
      </c>
      <c r="C10" s="286"/>
      <c r="D10" s="122">
        <v>0</v>
      </c>
      <c r="E10" s="163">
        <v>0</v>
      </c>
      <c r="F10" s="173">
        <v>0</v>
      </c>
      <c r="G10" s="296">
        <v>0</v>
      </c>
      <c r="H10" s="296">
        <v>0</v>
      </c>
    </row>
    <row r="11" spans="1:8" x14ac:dyDescent="0.2">
      <c r="B11" s="496" t="s">
        <v>8</v>
      </c>
      <c r="C11" s="286"/>
      <c r="D11" s="122">
        <v>-1</v>
      </c>
      <c r="E11" s="163">
        <v>-1</v>
      </c>
      <c r="F11" s="173">
        <v>0</v>
      </c>
      <c r="G11" s="296" t="s">
        <v>151</v>
      </c>
      <c r="H11" s="296">
        <v>0</v>
      </c>
    </row>
    <row r="12" spans="1:8" x14ac:dyDescent="0.2">
      <c r="B12" s="496" t="s">
        <v>49</v>
      </c>
      <c r="C12" s="286"/>
      <c r="D12" s="122">
        <v>2</v>
      </c>
      <c r="E12" s="163">
        <v>3</v>
      </c>
      <c r="F12" s="173">
        <v>0</v>
      </c>
      <c r="G12" s="296" t="s">
        <v>151</v>
      </c>
      <c r="H12" s="296">
        <v>-33.333333333333336</v>
      </c>
    </row>
    <row r="13" spans="1:8" s="294" customFormat="1" ht="15" x14ac:dyDescent="0.25">
      <c r="B13" s="341" t="s">
        <v>50</v>
      </c>
      <c r="D13" s="101">
        <v>448</v>
      </c>
      <c r="E13" s="134">
        <v>175</v>
      </c>
      <c r="F13" s="214">
        <v>393</v>
      </c>
      <c r="G13" s="296">
        <v>13.994910941475824</v>
      </c>
      <c r="H13" s="296" t="s">
        <v>494</v>
      </c>
    </row>
    <row r="14" spans="1:8" x14ac:dyDescent="0.2">
      <c r="C14" s="286"/>
      <c r="D14" s="122"/>
      <c r="E14" s="163"/>
      <c r="F14" s="185"/>
      <c r="G14" s="512"/>
      <c r="H14" s="512"/>
    </row>
    <row r="15" spans="1:8" s="341" customFormat="1" ht="14.25" customHeight="1" x14ac:dyDescent="0.25">
      <c r="A15" s="291" t="s">
        <v>279</v>
      </c>
      <c r="D15" s="122"/>
      <c r="E15" s="163"/>
      <c r="F15" s="215"/>
      <c r="G15" s="513"/>
      <c r="H15" s="513"/>
    </row>
    <row r="16" spans="1:8" x14ac:dyDescent="0.2">
      <c r="B16" s="496" t="s">
        <v>280</v>
      </c>
      <c r="C16" s="286"/>
      <c r="D16" s="122">
        <v>278221</v>
      </c>
      <c r="E16" s="163">
        <v>243592</v>
      </c>
      <c r="F16" s="173">
        <v>230709</v>
      </c>
      <c r="G16" s="296">
        <v>20.593908343410973</v>
      </c>
      <c r="H16" s="296">
        <v>14.215984104568303</v>
      </c>
    </row>
    <row r="17" spans="2:8" x14ac:dyDescent="0.2">
      <c r="B17" s="496" t="s">
        <v>58</v>
      </c>
      <c r="C17" s="286"/>
      <c r="D17" s="122">
        <v>197221</v>
      </c>
      <c r="E17" s="163">
        <v>155123</v>
      </c>
      <c r="F17" s="173">
        <v>148728</v>
      </c>
      <c r="G17" s="296">
        <v>32.605158409983325</v>
      </c>
      <c r="H17" s="296">
        <v>27.138464315414225</v>
      </c>
    </row>
    <row r="18" spans="2:8" x14ac:dyDescent="0.2">
      <c r="B18" s="496" t="s">
        <v>281</v>
      </c>
      <c r="C18" s="286"/>
      <c r="D18" s="122">
        <v>11</v>
      </c>
      <c r="E18" s="163">
        <v>18</v>
      </c>
      <c r="F18" s="173">
        <v>11</v>
      </c>
      <c r="G18" s="296">
        <v>0</v>
      </c>
      <c r="H18" s="296">
        <v>-38.888888888888886</v>
      </c>
    </row>
    <row r="19" spans="2:8" x14ac:dyDescent="0.2">
      <c r="B19" s="496" t="s">
        <v>282</v>
      </c>
      <c r="C19" s="286"/>
      <c r="D19" s="122">
        <v>2</v>
      </c>
      <c r="E19" s="163">
        <v>3</v>
      </c>
      <c r="F19" s="173">
        <v>2</v>
      </c>
      <c r="G19" s="296">
        <v>0</v>
      </c>
      <c r="H19" s="296">
        <v>-33.333333333333336</v>
      </c>
    </row>
    <row r="20" spans="2:8" x14ac:dyDescent="0.2">
      <c r="C20" s="286"/>
      <c r="D20" s="292"/>
      <c r="F20" s="514"/>
      <c r="G20" s="519"/>
      <c r="H20" s="391"/>
    </row>
    <row r="21" spans="2:8" x14ac:dyDescent="0.2">
      <c r="C21" s="286"/>
      <c r="D21" s="292"/>
      <c r="F21" s="514"/>
      <c r="G21" s="519"/>
      <c r="H21" s="391"/>
    </row>
    <row r="22" spans="2:8" x14ac:dyDescent="0.2">
      <c r="B22" s="70" t="s">
        <v>190</v>
      </c>
      <c r="C22" s="70" t="s">
        <v>152</v>
      </c>
      <c r="D22" s="292"/>
      <c r="E22" s="293"/>
      <c r="G22" s="391"/>
      <c r="H22" s="391"/>
    </row>
    <row r="23" spans="2:8" x14ac:dyDescent="0.2">
      <c r="B23" s="422" t="s">
        <v>119</v>
      </c>
      <c r="C23" s="70" t="s">
        <v>469</v>
      </c>
      <c r="F23" s="516"/>
    </row>
    <row r="24" spans="2:8" x14ac:dyDescent="0.2">
      <c r="D24" s="292"/>
      <c r="E24" s="293"/>
      <c r="G24" s="391"/>
      <c r="H24" s="391"/>
    </row>
    <row r="25" spans="2:8" x14ac:dyDescent="0.2">
      <c r="D25" s="292"/>
      <c r="E25" s="293"/>
      <c r="G25" s="391"/>
      <c r="H25" s="391"/>
    </row>
    <row r="26" spans="2:8" x14ac:dyDescent="0.2">
      <c r="D26" s="292"/>
      <c r="E26" s="293"/>
      <c r="G26" s="391"/>
      <c r="H26" s="391"/>
    </row>
    <row r="27" spans="2:8" x14ac:dyDescent="0.2">
      <c r="D27" s="292"/>
      <c r="E27" s="293"/>
      <c r="G27" s="391"/>
      <c r="H27" s="391"/>
    </row>
    <row r="28" spans="2:8" x14ac:dyDescent="0.2">
      <c r="D28" s="292"/>
      <c r="E28" s="293"/>
      <c r="G28" s="391"/>
      <c r="H28" s="391"/>
    </row>
    <row r="29" spans="2:8" x14ac:dyDescent="0.2">
      <c r="D29" s="292"/>
      <c r="E29" s="293"/>
      <c r="G29" s="391"/>
      <c r="H29" s="391"/>
    </row>
    <row r="30" spans="2:8" x14ac:dyDescent="0.2">
      <c r="D30" s="292"/>
      <c r="E30" s="293"/>
      <c r="G30" s="391"/>
      <c r="H30" s="391"/>
    </row>
    <row r="31" spans="2:8" x14ac:dyDescent="0.2">
      <c r="D31" s="292"/>
      <c r="E31" s="293"/>
      <c r="G31" s="391"/>
      <c r="H31" s="391"/>
    </row>
    <row r="32" spans="2:8" x14ac:dyDescent="0.2">
      <c r="D32" s="292"/>
      <c r="E32" s="293"/>
      <c r="G32" s="391"/>
      <c r="H32" s="391"/>
    </row>
    <row r="33" spans="4:5" x14ac:dyDescent="0.2">
      <c r="D33" s="292"/>
      <c r="E33" s="293"/>
    </row>
    <row r="34" spans="4:5" x14ac:dyDescent="0.2">
      <c r="D34" s="292"/>
      <c r="E34" s="293"/>
    </row>
    <row r="35" spans="4:5" x14ac:dyDescent="0.2">
      <c r="D35" s="292"/>
      <c r="E35" s="293"/>
    </row>
    <row r="36" spans="4:5" x14ac:dyDescent="0.2">
      <c r="D36" s="292"/>
      <c r="E36" s="293"/>
    </row>
    <row r="37" spans="4:5" x14ac:dyDescent="0.2">
      <c r="D37" s="292"/>
      <c r="E37" s="293"/>
    </row>
    <row r="38" spans="4:5" x14ac:dyDescent="0.2">
      <c r="D38" s="292"/>
      <c r="E38" s="293"/>
    </row>
    <row r="39" spans="4:5" x14ac:dyDescent="0.2">
      <c r="D39" s="293"/>
      <c r="E39" s="293"/>
    </row>
    <row r="40" spans="4:5" x14ac:dyDescent="0.2">
      <c r="D40" s="293"/>
      <c r="E40" s="293"/>
    </row>
    <row r="41" spans="4:5" x14ac:dyDescent="0.2">
      <c r="D41" s="293"/>
      <c r="E41" s="293"/>
    </row>
    <row r="42" spans="4:5" x14ac:dyDescent="0.2">
      <c r="D42" s="293"/>
      <c r="E42" s="293"/>
    </row>
    <row r="43" spans="4:5" x14ac:dyDescent="0.2">
      <c r="D43" s="293"/>
      <c r="E43" s="293"/>
    </row>
    <row r="44" spans="4:5" x14ac:dyDescent="0.2">
      <c r="D44" s="293"/>
      <c r="E44" s="293"/>
    </row>
    <row r="45" spans="4:5" x14ac:dyDescent="0.2">
      <c r="D45" s="293"/>
      <c r="E45" s="293"/>
    </row>
    <row r="46" spans="4:5" x14ac:dyDescent="0.2">
      <c r="D46" s="293"/>
      <c r="E46" s="293"/>
    </row>
    <row r="47" spans="4:5" x14ac:dyDescent="0.2">
      <c r="D47" s="293"/>
      <c r="E47" s="293"/>
    </row>
    <row r="48" spans="4:5" x14ac:dyDescent="0.2">
      <c r="D48" s="293"/>
      <c r="E48" s="293"/>
    </row>
    <row r="49" spans="4:5" x14ac:dyDescent="0.2">
      <c r="D49" s="293"/>
      <c r="E49" s="293"/>
    </row>
    <row r="50" spans="4:5" x14ac:dyDescent="0.2">
      <c r="D50" s="293"/>
      <c r="E50" s="293"/>
    </row>
    <row r="51" spans="4:5" x14ac:dyDescent="0.2">
      <c r="D51" s="293"/>
      <c r="E51" s="293"/>
    </row>
    <row r="52" spans="4:5" x14ac:dyDescent="0.2">
      <c r="D52" s="293"/>
      <c r="E52" s="293"/>
    </row>
    <row r="53" spans="4:5" x14ac:dyDescent="0.2">
      <c r="D53" s="293"/>
      <c r="E53" s="293"/>
    </row>
    <row r="54" spans="4:5" x14ac:dyDescent="0.2">
      <c r="D54" s="293"/>
      <c r="E54" s="293"/>
    </row>
    <row r="55" spans="4:5" x14ac:dyDescent="0.2">
      <c r="D55" s="293"/>
      <c r="E55" s="293"/>
    </row>
    <row r="56" spans="4:5" x14ac:dyDescent="0.2">
      <c r="D56" s="293"/>
      <c r="E56" s="293"/>
    </row>
    <row r="57" spans="4:5" x14ac:dyDescent="0.2">
      <c r="D57" s="293"/>
      <c r="E57" s="293"/>
    </row>
    <row r="58" spans="4:5" x14ac:dyDescent="0.2">
      <c r="D58" s="293"/>
      <c r="E58" s="293"/>
    </row>
    <row r="59" spans="4:5" x14ac:dyDescent="0.2">
      <c r="D59" s="293"/>
      <c r="E59" s="293"/>
    </row>
    <row r="60" spans="4:5" x14ac:dyDescent="0.2">
      <c r="D60" s="293"/>
      <c r="E60" s="293"/>
    </row>
    <row r="61" spans="4:5" x14ac:dyDescent="0.2">
      <c r="D61" s="293"/>
      <c r="E61" s="293"/>
    </row>
    <row r="62" spans="4:5" x14ac:dyDescent="0.2">
      <c r="D62" s="293"/>
      <c r="E62" s="293"/>
    </row>
    <row r="63" spans="4:5" x14ac:dyDescent="0.2">
      <c r="D63" s="293"/>
      <c r="E63" s="293"/>
    </row>
    <row r="64" spans="4:5" x14ac:dyDescent="0.2">
      <c r="D64" s="293"/>
      <c r="E64" s="293"/>
    </row>
    <row r="65" spans="4:5" x14ac:dyDescent="0.2">
      <c r="D65" s="293"/>
      <c r="E65" s="293"/>
    </row>
    <row r="66" spans="4:5" x14ac:dyDescent="0.2">
      <c r="D66" s="293"/>
      <c r="E66" s="293"/>
    </row>
    <row r="67" spans="4:5" x14ac:dyDescent="0.2">
      <c r="D67" s="293"/>
      <c r="E67" s="293"/>
    </row>
    <row r="68" spans="4:5" x14ac:dyDescent="0.2">
      <c r="D68" s="293"/>
      <c r="E68" s="293"/>
    </row>
    <row r="69" spans="4:5" x14ac:dyDescent="0.2">
      <c r="D69" s="293"/>
      <c r="E69" s="293"/>
    </row>
    <row r="70" spans="4:5" x14ac:dyDescent="0.2">
      <c r="D70" s="293"/>
      <c r="E70" s="293"/>
    </row>
    <row r="71" spans="4:5" x14ac:dyDescent="0.2">
      <c r="D71" s="293"/>
      <c r="E71" s="293"/>
    </row>
    <row r="72" spans="4:5" x14ac:dyDescent="0.2">
      <c r="D72" s="293"/>
      <c r="E72" s="293"/>
    </row>
    <row r="73" spans="4:5" x14ac:dyDescent="0.2">
      <c r="D73" s="293"/>
      <c r="E73" s="293"/>
    </row>
    <row r="74" spans="4:5" x14ac:dyDescent="0.2">
      <c r="D74" s="293"/>
      <c r="E74" s="293"/>
    </row>
    <row r="75" spans="4:5" x14ac:dyDescent="0.2">
      <c r="D75" s="293"/>
      <c r="E75" s="293"/>
    </row>
    <row r="76" spans="4:5" x14ac:dyDescent="0.2">
      <c r="D76" s="293"/>
      <c r="E76" s="293"/>
    </row>
    <row r="77" spans="4:5" x14ac:dyDescent="0.2">
      <c r="D77" s="293"/>
      <c r="E77" s="293"/>
    </row>
    <row r="78" spans="4:5" x14ac:dyDescent="0.2">
      <c r="D78" s="293"/>
      <c r="E78" s="293"/>
    </row>
    <row r="79" spans="4:5" x14ac:dyDescent="0.2">
      <c r="D79" s="293"/>
      <c r="E79" s="293"/>
    </row>
    <row r="80" spans="4:5" x14ac:dyDescent="0.2">
      <c r="D80" s="293"/>
      <c r="E80" s="293"/>
    </row>
    <row r="81" spans="4:5" x14ac:dyDescent="0.2">
      <c r="D81" s="293"/>
      <c r="E81" s="293"/>
    </row>
    <row r="82" spans="4:5" x14ac:dyDescent="0.2">
      <c r="D82" s="293"/>
      <c r="E82" s="293"/>
    </row>
    <row r="83" spans="4:5" x14ac:dyDescent="0.2">
      <c r="D83" s="293"/>
      <c r="E83" s="293"/>
    </row>
    <row r="84" spans="4:5" x14ac:dyDescent="0.2">
      <c r="D84" s="293"/>
      <c r="E84" s="293"/>
    </row>
    <row r="85" spans="4:5" x14ac:dyDescent="0.2">
      <c r="D85" s="293"/>
      <c r="E85" s="293"/>
    </row>
    <row r="86" spans="4:5" x14ac:dyDescent="0.2">
      <c r="D86" s="293"/>
      <c r="E86" s="293"/>
    </row>
    <row r="87" spans="4:5" x14ac:dyDescent="0.2">
      <c r="D87" s="293"/>
      <c r="E87" s="293"/>
    </row>
    <row r="88" spans="4:5" x14ac:dyDescent="0.2">
      <c r="D88" s="293"/>
      <c r="E88" s="293"/>
    </row>
    <row r="89" spans="4:5" x14ac:dyDescent="0.2">
      <c r="D89" s="293"/>
      <c r="E89" s="293"/>
    </row>
    <row r="90" spans="4:5" x14ac:dyDescent="0.2">
      <c r="D90" s="293"/>
      <c r="E90" s="293"/>
    </row>
    <row r="91" spans="4:5" x14ac:dyDescent="0.2">
      <c r="D91" s="293"/>
      <c r="E91" s="293"/>
    </row>
    <row r="92" spans="4:5" x14ac:dyDescent="0.2">
      <c r="D92" s="293"/>
      <c r="E92" s="293"/>
    </row>
    <row r="93" spans="4:5" x14ac:dyDescent="0.2">
      <c r="D93" s="293"/>
      <c r="E93" s="293"/>
    </row>
    <row r="94" spans="4:5" x14ac:dyDescent="0.2">
      <c r="D94" s="293"/>
      <c r="E94" s="293"/>
    </row>
    <row r="95" spans="4:5" x14ac:dyDescent="0.2">
      <c r="D95" s="293"/>
      <c r="E95" s="293"/>
    </row>
    <row r="96" spans="4:5" x14ac:dyDescent="0.2">
      <c r="D96" s="293"/>
      <c r="E96" s="293"/>
    </row>
    <row r="97" spans="4:5" x14ac:dyDescent="0.2">
      <c r="D97" s="293"/>
      <c r="E97" s="293"/>
    </row>
    <row r="98" spans="4:5" x14ac:dyDescent="0.2">
      <c r="D98" s="293"/>
      <c r="E98" s="293"/>
    </row>
    <row r="99" spans="4:5" x14ac:dyDescent="0.2">
      <c r="D99" s="293"/>
      <c r="E99" s="293"/>
    </row>
    <row r="100" spans="4:5" x14ac:dyDescent="0.2">
      <c r="D100" s="293"/>
      <c r="E100" s="293"/>
    </row>
    <row r="101" spans="4:5" x14ac:dyDescent="0.2">
      <c r="D101" s="293"/>
      <c r="E101" s="293"/>
    </row>
    <row r="102" spans="4:5" x14ac:dyDescent="0.2">
      <c r="D102" s="293"/>
      <c r="E102" s="293"/>
    </row>
    <row r="103" spans="4:5" x14ac:dyDescent="0.2">
      <c r="D103" s="293"/>
      <c r="E103" s="293"/>
    </row>
    <row r="104" spans="4:5" x14ac:dyDescent="0.2">
      <c r="D104" s="293"/>
      <c r="E104" s="293"/>
    </row>
    <row r="105" spans="4:5" x14ac:dyDescent="0.2">
      <c r="D105" s="293"/>
      <c r="E105" s="293"/>
    </row>
    <row r="106" spans="4:5" x14ac:dyDescent="0.2">
      <c r="D106" s="293"/>
      <c r="E106" s="293"/>
    </row>
    <row r="107" spans="4:5" x14ac:dyDescent="0.2">
      <c r="D107" s="293"/>
      <c r="E107" s="293"/>
    </row>
    <row r="108" spans="4:5" x14ac:dyDescent="0.2">
      <c r="D108" s="293"/>
      <c r="E108" s="293"/>
    </row>
    <row r="109" spans="4:5" x14ac:dyDescent="0.2">
      <c r="D109" s="293"/>
      <c r="E109" s="293"/>
    </row>
    <row r="110" spans="4:5" x14ac:dyDescent="0.2">
      <c r="D110" s="293"/>
      <c r="E110" s="293"/>
    </row>
    <row r="111" spans="4:5" x14ac:dyDescent="0.2">
      <c r="D111" s="293"/>
      <c r="E111" s="293"/>
    </row>
    <row r="112" spans="4:5" x14ac:dyDescent="0.2">
      <c r="D112" s="293"/>
      <c r="E112" s="293"/>
    </row>
    <row r="113" spans="4:5" x14ac:dyDescent="0.2">
      <c r="D113" s="293"/>
      <c r="E113" s="293"/>
    </row>
    <row r="114" spans="4:5" x14ac:dyDescent="0.2">
      <c r="D114" s="293"/>
      <c r="E114" s="293"/>
    </row>
    <row r="115" spans="4:5" x14ac:dyDescent="0.2">
      <c r="D115" s="293"/>
      <c r="E115" s="293"/>
    </row>
    <row r="116" spans="4:5" x14ac:dyDescent="0.2">
      <c r="D116" s="293"/>
      <c r="E116" s="293"/>
    </row>
    <row r="117" spans="4:5" x14ac:dyDescent="0.2">
      <c r="D117" s="293"/>
      <c r="E117" s="293"/>
    </row>
    <row r="118" spans="4:5" x14ac:dyDescent="0.2">
      <c r="D118" s="293"/>
      <c r="E118" s="293"/>
    </row>
    <row r="119" spans="4:5" x14ac:dyDescent="0.2">
      <c r="D119" s="293"/>
      <c r="E119" s="293"/>
    </row>
    <row r="120" spans="4:5" x14ac:dyDescent="0.2">
      <c r="D120" s="293"/>
      <c r="E120" s="293"/>
    </row>
    <row r="121" spans="4:5" x14ac:dyDescent="0.2">
      <c r="D121" s="293"/>
      <c r="E121" s="293"/>
    </row>
    <row r="122" spans="4:5" x14ac:dyDescent="0.2">
      <c r="D122" s="293"/>
      <c r="E122" s="293"/>
    </row>
    <row r="123" spans="4:5" x14ac:dyDescent="0.2">
      <c r="D123" s="293"/>
      <c r="E123" s="293"/>
    </row>
    <row r="124" spans="4:5" x14ac:dyDescent="0.2">
      <c r="D124" s="293"/>
      <c r="E124" s="293"/>
    </row>
    <row r="125" spans="4:5" x14ac:dyDescent="0.2">
      <c r="D125" s="293"/>
      <c r="E125" s="293"/>
    </row>
    <row r="126" spans="4:5" x14ac:dyDescent="0.2">
      <c r="D126" s="293"/>
      <c r="E126" s="293"/>
    </row>
    <row r="127" spans="4:5" x14ac:dyDescent="0.2">
      <c r="D127" s="293"/>
      <c r="E127" s="293"/>
    </row>
    <row r="128" spans="4:5" x14ac:dyDescent="0.2">
      <c r="D128" s="293"/>
      <c r="E128" s="293"/>
    </row>
    <row r="129" spans="4:5" x14ac:dyDescent="0.2">
      <c r="D129" s="293"/>
      <c r="E129" s="293"/>
    </row>
    <row r="130" spans="4:5" x14ac:dyDescent="0.2">
      <c r="D130" s="293"/>
      <c r="E130" s="293"/>
    </row>
    <row r="131" spans="4:5" x14ac:dyDescent="0.2">
      <c r="D131" s="293"/>
      <c r="E131" s="293"/>
    </row>
    <row r="132" spans="4:5" x14ac:dyDescent="0.2">
      <c r="D132" s="293"/>
      <c r="E132" s="293"/>
    </row>
    <row r="133" spans="4:5" x14ac:dyDescent="0.2">
      <c r="D133" s="293"/>
      <c r="E133" s="293"/>
    </row>
    <row r="134" spans="4:5" x14ac:dyDescent="0.2">
      <c r="D134" s="293"/>
      <c r="E134" s="293"/>
    </row>
    <row r="135" spans="4:5" x14ac:dyDescent="0.2">
      <c r="D135" s="293"/>
      <c r="E135" s="293"/>
    </row>
    <row r="136" spans="4:5" x14ac:dyDescent="0.2">
      <c r="D136" s="293"/>
      <c r="E136" s="293"/>
    </row>
    <row r="137" spans="4:5" x14ac:dyDescent="0.2">
      <c r="D137" s="293"/>
      <c r="E137" s="293"/>
    </row>
    <row r="138" spans="4:5" x14ac:dyDescent="0.2">
      <c r="D138" s="293"/>
      <c r="E138" s="293"/>
    </row>
    <row r="139" spans="4:5" x14ac:dyDescent="0.2">
      <c r="D139" s="293"/>
      <c r="E139" s="293"/>
    </row>
    <row r="140" spans="4:5" x14ac:dyDescent="0.2">
      <c r="D140" s="293"/>
      <c r="E140" s="293"/>
    </row>
    <row r="141" spans="4:5" x14ac:dyDescent="0.2">
      <c r="D141" s="293"/>
      <c r="E141" s="293"/>
    </row>
    <row r="142" spans="4:5" x14ac:dyDescent="0.2">
      <c r="D142" s="440"/>
      <c r="E142" s="440"/>
    </row>
    <row r="143" spans="4:5" x14ac:dyDescent="0.2">
      <c r="D143" s="440"/>
      <c r="E143" s="440"/>
    </row>
    <row r="144" spans="4:5" x14ac:dyDescent="0.2">
      <c r="D144" s="440"/>
      <c r="E144" s="440"/>
    </row>
    <row r="145" spans="4:5" x14ac:dyDescent="0.2">
      <c r="D145" s="440"/>
      <c r="E145" s="440"/>
    </row>
    <row r="146" spans="4:5" x14ac:dyDescent="0.2">
      <c r="D146" s="440"/>
      <c r="E146" s="440"/>
    </row>
    <row r="147" spans="4:5" x14ac:dyDescent="0.2">
      <c r="D147" s="440"/>
      <c r="E147" s="440"/>
    </row>
    <row r="148" spans="4:5" x14ac:dyDescent="0.2">
      <c r="D148" s="440"/>
      <c r="E148" s="440"/>
    </row>
  </sheetData>
  <sheetProtection formatCells="0"/>
  <mergeCells count="1">
    <mergeCell ref="A2:C2"/>
  </mergeCells>
  <phoneticPr fontId="2" type="noConversion"/>
  <hyperlinks>
    <hyperlink ref="A2" location="Index!A1" display="Back to Index" xr:uid="{39EB7E9C-01B1-4368-86AF-598FAC67A4F9}"/>
  </hyperlinks>
  <pageMargins left="0.15748031496062992" right="0.15748031496062992" top="0.98425196850393704" bottom="0.98425196850393704" header="0.51181102362204722" footer="0.51181102362204722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13CA-8F0D-45AA-B1E4-207D0096EFB7}">
  <sheetPr>
    <tabColor indexed="12"/>
    <pageSetUpPr fitToPage="1"/>
  </sheetPr>
  <dimension ref="A1:H147"/>
  <sheetViews>
    <sheetView showGridLines="0" zoomScale="85" zoomScaleNormal="85" zoomScaleSheetLayoutView="70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4" style="286" customWidth="1"/>
    <col min="2" max="2" width="4.42578125" style="286" customWidth="1"/>
    <col min="3" max="3" width="42.42578125" style="321" customWidth="1"/>
    <col min="4" max="5" width="11.42578125" style="8" customWidth="1"/>
    <col min="6" max="8" width="11.42578125" style="286" customWidth="1"/>
    <col min="9" max="9" width="2.85546875" style="286" customWidth="1"/>
    <col min="10" max="16384" width="9.42578125" style="286"/>
  </cols>
  <sheetData>
    <row r="1" spans="1:8" s="4" customFormat="1" ht="20.25" x14ac:dyDescent="0.3">
      <c r="A1" s="3" t="s">
        <v>23</v>
      </c>
      <c r="D1" s="331"/>
      <c r="E1" s="331"/>
    </row>
    <row r="2" spans="1:8" s="6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382" t="s">
        <v>37</v>
      </c>
      <c r="G2" s="332" t="s">
        <v>467</v>
      </c>
      <c r="H2" s="332" t="s">
        <v>468</v>
      </c>
    </row>
    <row r="3" spans="1:8" s="341" customFormat="1" ht="6.6" customHeight="1" x14ac:dyDescent="0.25">
      <c r="A3" s="316"/>
      <c r="D3" s="493"/>
      <c r="E3" s="494"/>
    </row>
    <row r="4" spans="1:8" s="341" customFormat="1" ht="14.25" customHeight="1" x14ac:dyDescent="0.25">
      <c r="A4" s="316" t="s">
        <v>278</v>
      </c>
      <c r="D4" s="333"/>
      <c r="E4" s="295"/>
    </row>
    <row r="5" spans="1:8" x14ac:dyDescent="0.2">
      <c r="B5" s="482" t="s">
        <v>40</v>
      </c>
      <c r="D5" s="122">
        <v>1132</v>
      </c>
      <c r="E5" s="296">
        <v>1030</v>
      </c>
      <c r="F5" s="173">
        <v>1090</v>
      </c>
      <c r="G5" s="296">
        <v>3.8532110091743066</v>
      </c>
      <c r="H5" s="296">
        <v>9.9029126213592278</v>
      </c>
    </row>
    <row r="6" spans="1:8" x14ac:dyDescent="0.2">
      <c r="B6" s="510" t="s">
        <v>41</v>
      </c>
      <c r="C6" s="391"/>
      <c r="D6" s="122">
        <v>-8</v>
      </c>
      <c r="E6" s="296">
        <v>-11</v>
      </c>
      <c r="F6" s="173">
        <v>-12</v>
      </c>
      <c r="G6" s="296">
        <v>33.333333333333336</v>
      </c>
      <c r="H6" s="296">
        <v>27.27272727272727</v>
      </c>
    </row>
    <row r="7" spans="1:8" x14ac:dyDescent="0.2">
      <c r="B7" s="510" t="s">
        <v>114</v>
      </c>
      <c r="C7" s="391"/>
      <c r="D7" s="122">
        <v>-2</v>
      </c>
      <c r="E7" s="296">
        <v>-6</v>
      </c>
      <c r="F7" s="173">
        <v>-12</v>
      </c>
      <c r="G7" s="296">
        <v>83.333333333333343</v>
      </c>
      <c r="H7" s="296">
        <v>66.666666666666671</v>
      </c>
    </row>
    <row r="8" spans="1:8" s="294" customFormat="1" ht="15" x14ac:dyDescent="0.25">
      <c r="B8" s="520" t="s">
        <v>44</v>
      </c>
      <c r="C8" s="349"/>
      <c r="D8" s="101">
        <v>1122</v>
      </c>
      <c r="E8" s="386">
        <v>1013</v>
      </c>
      <c r="F8" s="214">
        <v>1066</v>
      </c>
      <c r="G8" s="296">
        <v>5.2532833020637826</v>
      </c>
      <c r="H8" s="296">
        <v>10.76011846001974</v>
      </c>
    </row>
    <row r="9" spans="1:8" x14ac:dyDescent="0.2">
      <c r="B9" s="482" t="s">
        <v>7</v>
      </c>
      <c r="D9" s="122">
        <v>111</v>
      </c>
      <c r="E9" s="296">
        <v>-26</v>
      </c>
      <c r="F9" s="173">
        <v>17</v>
      </c>
      <c r="G9" s="296" t="s">
        <v>494</v>
      </c>
      <c r="H9" s="296" t="s">
        <v>151</v>
      </c>
    </row>
    <row r="10" spans="1:8" x14ac:dyDescent="0.2">
      <c r="B10" s="482" t="s">
        <v>46</v>
      </c>
      <c r="D10" s="122">
        <v>11</v>
      </c>
      <c r="E10" s="296">
        <v>11</v>
      </c>
      <c r="F10" s="173">
        <v>12</v>
      </c>
      <c r="G10" s="296">
        <v>-8.3333333333333375</v>
      </c>
      <c r="H10" s="296">
        <v>0</v>
      </c>
    </row>
    <row r="11" spans="1:8" x14ac:dyDescent="0.2">
      <c r="B11" s="482" t="s">
        <v>8</v>
      </c>
      <c r="D11" s="122">
        <v>-20</v>
      </c>
      <c r="E11" s="296">
        <v>-175</v>
      </c>
      <c r="F11" s="173">
        <v>227</v>
      </c>
      <c r="G11" s="296" t="s">
        <v>151</v>
      </c>
      <c r="H11" s="296">
        <v>88.571428571428569</v>
      </c>
    </row>
    <row r="12" spans="1:8" x14ac:dyDescent="0.2">
      <c r="B12" s="482" t="s">
        <v>49</v>
      </c>
      <c r="D12" s="122">
        <v>134</v>
      </c>
      <c r="E12" s="296">
        <v>110</v>
      </c>
      <c r="F12" s="173">
        <v>136</v>
      </c>
      <c r="G12" s="296">
        <v>-1.4705882352941124</v>
      </c>
      <c r="H12" s="296">
        <v>21.818181818181827</v>
      </c>
    </row>
    <row r="13" spans="1:8" s="294" customFormat="1" ht="15" x14ac:dyDescent="0.25">
      <c r="B13" s="1" t="s">
        <v>50</v>
      </c>
      <c r="C13" s="349"/>
      <c r="D13" s="101">
        <v>1154</v>
      </c>
      <c r="E13" s="386">
        <v>1313</v>
      </c>
      <c r="F13" s="214">
        <v>946</v>
      </c>
      <c r="G13" s="296">
        <v>21.987315010570828</v>
      </c>
      <c r="H13" s="296">
        <v>-12.10967250571211</v>
      </c>
    </row>
    <row r="14" spans="1:8" x14ac:dyDescent="0.2">
      <c r="D14" s="122"/>
      <c r="E14" s="296"/>
      <c r="F14" s="185"/>
      <c r="G14" s="512"/>
      <c r="H14" s="512"/>
    </row>
    <row r="15" spans="1:8" s="341" customFormat="1" ht="14.25" customHeight="1" x14ac:dyDescent="0.25">
      <c r="A15" s="316" t="s">
        <v>279</v>
      </c>
      <c r="D15" s="122"/>
      <c r="E15" s="296"/>
      <c r="F15" s="215"/>
      <c r="G15" s="521"/>
      <c r="H15" s="521"/>
    </row>
    <row r="16" spans="1:8" x14ac:dyDescent="0.2">
      <c r="B16" s="496" t="s">
        <v>280</v>
      </c>
      <c r="D16" s="122">
        <v>175436</v>
      </c>
      <c r="E16" s="296">
        <v>164475</v>
      </c>
      <c r="F16" s="173">
        <v>133768</v>
      </c>
      <c r="G16" s="296">
        <v>31.149452783924403</v>
      </c>
      <c r="H16" s="296">
        <v>6.6642346861225166</v>
      </c>
    </row>
    <row r="17" spans="2:8" x14ac:dyDescent="0.2">
      <c r="B17" s="482" t="s">
        <v>58</v>
      </c>
      <c r="D17" s="122">
        <v>66665</v>
      </c>
      <c r="E17" s="296">
        <v>66120</v>
      </c>
      <c r="F17" s="173">
        <v>62732</v>
      </c>
      <c r="G17" s="296">
        <v>6.2695275138685114</v>
      </c>
      <c r="H17" s="296">
        <v>0.82425892316999594</v>
      </c>
    </row>
    <row r="18" spans="2:8" x14ac:dyDescent="0.2">
      <c r="B18" s="482" t="s">
        <v>281</v>
      </c>
      <c r="D18" s="122">
        <v>596</v>
      </c>
      <c r="E18" s="296">
        <v>157</v>
      </c>
      <c r="F18" s="173">
        <v>133</v>
      </c>
      <c r="G18" s="296" t="s">
        <v>494</v>
      </c>
      <c r="H18" s="296" t="s">
        <v>494</v>
      </c>
    </row>
    <row r="19" spans="2:8" x14ac:dyDescent="0.2">
      <c r="B19" s="482" t="s">
        <v>282</v>
      </c>
      <c r="D19" s="122">
        <v>392</v>
      </c>
      <c r="E19" s="296">
        <v>386</v>
      </c>
      <c r="F19" s="173">
        <v>392</v>
      </c>
      <c r="G19" s="296">
        <v>0</v>
      </c>
      <c r="H19" s="296">
        <v>1.5544041450777257</v>
      </c>
    </row>
    <row r="20" spans="2:8" x14ac:dyDescent="0.2">
      <c r="D20" s="292"/>
      <c r="F20" s="522"/>
      <c r="G20" s="391"/>
      <c r="H20" s="391"/>
    </row>
    <row r="21" spans="2:8" x14ac:dyDescent="0.2">
      <c r="D21" s="292"/>
      <c r="F21" s="522"/>
      <c r="G21" s="391"/>
      <c r="H21" s="391"/>
    </row>
    <row r="22" spans="2:8" x14ac:dyDescent="0.2">
      <c r="B22" s="70" t="s">
        <v>190</v>
      </c>
      <c r="C22" s="70" t="s">
        <v>152</v>
      </c>
      <c r="D22" s="292"/>
      <c r="E22" s="293"/>
    </row>
    <row r="23" spans="2:8" x14ac:dyDescent="0.2">
      <c r="B23" s="422" t="s">
        <v>119</v>
      </c>
      <c r="C23" s="70" t="s">
        <v>469</v>
      </c>
      <c r="F23" s="516"/>
    </row>
    <row r="24" spans="2:8" x14ac:dyDescent="0.2">
      <c r="D24" s="293"/>
      <c r="E24" s="293"/>
    </row>
    <row r="25" spans="2:8" x14ac:dyDescent="0.2">
      <c r="D25" s="293"/>
      <c r="E25" s="293"/>
    </row>
    <row r="26" spans="2:8" x14ac:dyDescent="0.2">
      <c r="D26" s="293"/>
      <c r="E26" s="293"/>
    </row>
    <row r="27" spans="2:8" x14ac:dyDescent="0.2">
      <c r="D27" s="293"/>
      <c r="E27" s="293"/>
    </row>
    <row r="28" spans="2:8" x14ac:dyDescent="0.2">
      <c r="D28" s="293"/>
      <c r="E28" s="293"/>
    </row>
    <row r="29" spans="2:8" x14ac:dyDescent="0.2">
      <c r="D29" s="293"/>
      <c r="E29" s="293"/>
    </row>
    <row r="30" spans="2:8" x14ac:dyDescent="0.2">
      <c r="D30" s="293"/>
      <c r="E30" s="293"/>
    </row>
    <row r="31" spans="2:8" x14ac:dyDescent="0.2">
      <c r="D31" s="293"/>
      <c r="E31" s="293"/>
    </row>
    <row r="32" spans="2:8" x14ac:dyDescent="0.2">
      <c r="D32" s="293"/>
      <c r="E32" s="293"/>
    </row>
    <row r="33" spans="4:5" x14ac:dyDescent="0.2">
      <c r="D33" s="293"/>
      <c r="E33" s="293"/>
    </row>
    <row r="34" spans="4:5" x14ac:dyDescent="0.2">
      <c r="D34" s="293"/>
      <c r="E34" s="293"/>
    </row>
    <row r="35" spans="4:5" x14ac:dyDescent="0.2">
      <c r="D35" s="293"/>
      <c r="E35" s="293"/>
    </row>
    <row r="36" spans="4:5" x14ac:dyDescent="0.2">
      <c r="D36" s="293"/>
      <c r="E36" s="293"/>
    </row>
    <row r="37" spans="4:5" x14ac:dyDescent="0.2">
      <c r="D37" s="293"/>
      <c r="E37" s="293"/>
    </row>
    <row r="38" spans="4:5" x14ac:dyDescent="0.2">
      <c r="D38" s="293"/>
      <c r="E38" s="293"/>
    </row>
    <row r="39" spans="4:5" x14ac:dyDescent="0.2">
      <c r="D39" s="293"/>
      <c r="E39" s="293"/>
    </row>
    <row r="40" spans="4:5" x14ac:dyDescent="0.2">
      <c r="D40" s="293"/>
      <c r="E40" s="293"/>
    </row>
    <row r="41" spans="4:5" x14ac:dyDescent="0.2">
      <c r="D41" s="293"/>
      <c r="E41" s="293"/>
    </row>
    <row r="42" spans="4:5" x14ac:dyDescent="0.2">
      <c r="D42" s="293"/>
      <c r="E42" s="293"/>
    </row>
    <row r="43" spans="4:5" x14ac:dyDescent="0.2">
      <c r="D43" s="293"/>
      <c r="E43" s="293"/>
    </row>
    <row r="44" spans="4:5" x14ac:dyDescent="0.2">
      <c r="D44" s="293"/>
      <c r="E44" s="293"/>
    </row>
    <row r="45" spans="4:5" x14ac:dyDescent="0.2">
      <c r="D45" s="293"/>
      <c r="E45" s="293"/>
    </row>
    <row r="46" spans="4:5" x14ac:dyDescent="0.2">
      <c r="D46" s="293"/>
      <c r="E46" s="293"/>
    </row>
    <row r="47" spans="4:5" x14ac:dyDescent="0.2">
      <c r="D47" s="293"/>
      <c r="E47" s="293"/>
    </row>
    <row r="48" spans="4:5" x14ac:dyDescent="0.2">
      <c r="D48" s="293"/>
      <c r="E48" s="293"/>
    </row>
    <row r="49" spans="4:5" x14ac:dyDescent="0.2">
      <c r="D49" s="293"/>
      <c r="E49" s="293"/>
    </row>
    <row r="50" spans="4:5" x14ac:dyDescent="0.2">
      <c r="D50" s="293"/>
      <c r="E50" s="293"/>
    </row>
    <row r="51" spans="4:5" x14ac:dyDescent="0.2">
      <c r="D51" s="293"/>
      <c r="E51" s="293"/>
    </row>
    <row r="52" spans="4:5" x14ac:dyDescent="0.2">
      <c r="D52" s="293"/>
      <c r="E52" s="293"/>
    </row>
    <row r="53" spans="4:5" x14ac:dyDescent="0.2">
      <c r="D53" s="293"/>
      <c r="E53" s="293"/>
    </row>
    <row r="54" spans="4:5" x14ac:dyDescent="0.2">
      <c r="D54" s="293"/>
      <c r="E54" s="293"/>
    </row>
    <row r="55" spans="4:5" x14ac:dyDescent="0.2">
      <c r="D55" s="293"/>
      <c r="E55" s="293"/>
    </row>
    <row r="56" spans="4:5" x14ac:dyDescent="0.2">
      <c r="D56" s="293"/>
      <c r="E56" s="293"/>
    </row>
    <row r="57" spans="4:5" x14ac:dyDescent="0.2">
      <c r="D57" s="293"/>
      <c r="E57" s="293"/>
    </row>
    <row r="58" spans="4:5" x14ac:dyDescent="0.2">
      <c r="D58" s="293"/>
      <c r="E58" s="293"/>
    </row>
    <row r="59" spans="4:5" x14ac:dyDescent="0.2">
      <c r="D59" s="293"/>
      <c r="E59" s="293"/>
    </row>
    <row r="60" spans="4:5" x14ac:dyDescent="0.2">
      <c r="D60" s="293"/>
      <c r="E60" s="293"/>
    </row>
    <row r="61" spans="4:5" x14ac:dyDescent="0.2">
      <c r="D61" s="293"/>
      <c r="E61" s="293"/>
    </row>
    <row r="62" spans="4:5" x14ac:dyDescent="0.2">
      <c r="D62" s="293"/>
      <c r="E62" s="293"/>
    </row>
    <row r="63" spans="4:5" x14ac:dyDescent="0.2">
      <c r="D63" s="293"/>
      <c r="E63" s="293"/>
    </row>
    <row r="64" spans="4:5" x14ac:dyDescent="0.2">
      <c r="D64" s="293"/>
      <c r="E64" s="293"/>
    </row>
    <row r="65" spans="4:5" x14ac:dyDescent="0.2">
      <c r="D65" s="293"/>
      <c r="E65" s="293"/>
    </row>
    <row r="66" spans="4:5" x14ac:dyDescent="0.2">
      <c r="D66" s="293"/>
      <c r="E66" s="293"/>
    </row>
    <row r="67" spans="4:5" x14ac:dyDescent="0.2">
      <c r="D67" s="293"/>
      <c r="E67" s="293"/>
    </row>
    <row r="68" spans="4:5" x14ac:dyDescent="0.2">
      <c r="D68" s="293"/>
      <c r="E68" s="293"/>
    </row>
    <row r="69" spans="4:5" x14ac:dyDescent="0.2">
      <c r="D69" s="293"/>
      <c r="E69" s="293"/>
    </row>
    <row r="70" spans="4:5" x14ac:dyDescent="0.2">
      <c r="D70" s="293"/>
      <c r="E70" s="293"/>
    </row>
    <row r="71" spans="4:5" x14ac:dyDescent="0.2">
      <c r="D71" s="293"/>
      <c r="E71" s="293"/>
    </row>
    <row r="72" spans="4:5" x14ac:dyDescent="0.2">
      <c r="D72" s="293"/>
      <c r="E72" s="293"/>
    </row>
    <row r="73" spans="4:5" x14ac:dyDescent="0.2">
      <c r="D73" s="293"/>
      <c r="E73" s="293"/>
    </row>
    <row r="74" spans="4:5" x14ac:dyDescent="0.2">
      <c r="D74" s="293"/>
      <c r="E74" s="293"/>
    </row>
    <row r="75" spans="4:5" x14ac:dyDescent="0.2">
      <c r="D75" s="293"/>
      <c r="E75" s="293"/>
    </row>
    <row r="76" spans="4:5" x14ac:dyDescent="0.2">
      <c r="D76" s="293"/>
      <c r="E76" s="293"/>
    </row>
    <row r="77" spans="4:5" x14ac:dyDescent="0.2">
      <c r="D77" s="293"/>
      <c r="E77" s="293"/>
    </row>
    <row r="78" spans="4:5" x14ac:dyDescent="0.2">
      <c r="D78" s="293"/>
      <c r="E78" s="293"/>
    </row>
    <row r="79" spans="4:5" x14ac:dyDescent="0.2">
      <c r="D79" s="293"/>
      <c r="E79" s="293"/>
    </row>
    <row r="80" spans="4:5" x14ac:dyDescent="0.2">
      <c r="D80" s="293"/>
      <c r="E80" s="293"/>
    </row>
    <row r="81" spans="4:5" x14ac:dyDescent="0.2">
      <c r="D81" s="293"/>
      <c r="E81" s="293"/>
    </row>
    <row r="82" spans="4:5" x14ac:dyDescent="0.2">
      <c r="D82" s="293"/>
      <c r="E82" s="293"/>
    </row>
    <row r="83" spans="4:5" x14ac:dyDescent="0.2">
      <c r="D83" s="293"/>
      <c r="E83" s="293"/>
    </row>
    <row r="84" spans="4:5" x14ac:dyDescent="0.2">
      <c r="D84" s="293"/>
      <c r="E84" s="293"/>
    </row>
    <row r="85" spans="4:5" x14ac:dyDescent="0.2">
      <c r="D85" s="293"/>
      <c r="E85" s="293"/>
    </row>
    <row r="86" spans="4:5" x14ac:dyDescent="0.2">
      <c r="D86" s="293"/>
      <c r="E86" s="293"/>
    </row>
    <row r="87" spans="4:5" x14ac:dyDescent="0.2">
      <c r="D87" s="293"/>
      <c r="E87" s="293"/>
    </row>
    <row r="88" spans="4:5" x14ac:dyDescent="0.2">
      <c r="D88" s="293"/>
      <c r="E88" s="293"/>
    </row>
    <row r="89" spans="4:5" x14ac:dyDescent="0.2">
      <c r="D89" s="293"/>
      <c r="E89" s="293"/>
    </row>
    <row r="90" spans="4:5" x14ac:dyDescent="0.2">
      <c r="D90" s="293"/>
      <c r="E90" s="293"/>
    </row>
    <row r="91" spans="4:5" x14ac:dyDescent="0.2">
      <c r="D91" s="293"/>
      <c r="E91" s="293"/>
    </row>
    <row r="92" spans="4:5" x14ac:dyDescent="0.2">
      <c r="D92" s="293"/>
      <c r="E92" s="293"/>
    </row>
    <row r="93" spans="4:5" x14ac:dyDescent="0.2">
      <c r="D93" s="293"/>
      <c r="E93" s="293"/>
    </row>
    <row r="94" spans="4:5" x14ac:dyDescent="0.2">
      <c r="D94" s="293"/>
      <c r="E94" s="293"/>
    </row>
    <row r="95" spans="4:5" x14ac:dyDescent="0.2">
      <c r="D95" s="293"/>
      <c r="E95" s="293"/>
    </row>
    <row r="96" spans="4:5" x14ac:dyDescent="0.2">
      <c r="D96" s="293"/>
      <c r="E96" s="293"/>
    </row>
    <row r="97" spans="4:5" x14ac:dyDescent="0.2">
      <c r="D97" s="293"/>
      <c r="E97" s="293"/>
    </row>
    <row r="98" spans="4:5" x14ac:dyDescent="0.2">
      <c r="D98" s="293"/>
      <c r="E98" s="293"/>
    </row>
    <row r="99" spans="4:5" x14ac:dyDescent="0.2">
      <c r="D99" s="293"/>
      <c r="E99" s="293"/>
    </row>
    <row r="100" spans="4:5" x14ac:dyDescent="0.2">
      <c r="D100" s="293"/>
      <c r="E100" s="293"/>
    </row>
    <row r="101" spans="4:5" x14ac:dyDescent="0.2">
      <c r="D101" s="293"/>
      <c r="E101" s="293"/>
    </row>
    <row r="102" spans="4:5" x14ac:dyDescent="0.2">
      <c r="D102" s="293"/>
      <c r="E102" s="293"/>
    </row>
    <row r="103" spans="4:5" x14ac:dyDescent="0.2">
      <c r="D103" s="293"/>
      <c r="E103" s="293"/>
    </row>
    <row r="104" spans="4:5" x14ac:dyDescent="0.2">
      <c r="D104" s="293"/>
      <c r="E104" s="293"/>
    </row>
    <row r="105" spans="4:5" x14ac:dyDescent="0.2">
      <c r="D105" s="293"/>
      <c r="E105" s="293"/>
    </row>
    <row r="106" spans="4:5" x14ac:dyDescent="0.2">
      <c r="D106" s="293"/>
      <c r="E106" s="293"/>
    </row>
    <row r="107" spans="4:5" x14ac:dyDescent="0.2">
      <c r="D107" s="293"/>
      <c r="E107" s="293"/>
    </row>
    <row r="108" spans="4:5" x14ac:dyDescent="0.2">
      <c r="D108" s="293"/>
      <c r="E108" s="293"/>
    </row>
    <row r="109" spans="4:5" x14ac:dyDescent="0.2">
      <c r="D109" s="293"/>
      <c r="E109" s="293"/>
    </row>
    <row r="110" spans="4:5" x14ac:dyDescent="0.2">
      <c r="D110" s="293"/>
      <c r="E110" s="293"/>
    </row>
    <row r="111" spans="4:5" x14ac:dyDescent="0.2">
      <c r="D111" s="293"/>
      <c r="E111" s="293"/>
    </row>
    <row r="112" spans="4:5" x14ac:dyDescent="0.2">
      <c r="D112" s="293"/>
      <c r="E112" s="293"/>
    </row>
    <row r="113" spans="4:5" x14ac:dyDescent="0.2">
      <c r="D113" s="293"/>
      <c r="E113" s="293"/>
    </row>
    <row r="114" spans="4:5" x14ac:dyDescent="0.2">
      <c r="D114" s="293"/>
      <c r="E114" s="293"/>
    </row>
    <row r="115" spans="4:5" x14ac:dyDescent="0.2">
      <c r="D115" s="293"/>
      <c r="E115" s="293"/>
    </row>
    <row r="116" spans="4:5" x14ac:dyDescent="0.2">
      <c r="D116" s="293"/>
      <c r="E116" s="293"/>
    </row>
    <row r="117" spans="4:5" x14ac:dyDescent="0.2">
      <c r="D117" s="293"/>
      <c r="E117" s="293"/>
    </row>
    <row r="118" spans="4:5" x14ac:dyDescent="0.2">
      <c r="D118" s="293"/>
      <c r="E118" s="293"/>
    </row>
    <row r="119" spans="4:5" x14ac:dyDescent="0.2">
      <c r="D119" s="293"/>
      <c r="E119" s="293"/>
    </row>
    <row r="120" spans="4:5" x14ac:dyDescent="0.2">
      <c r="D120" s="293"/>
      <c r="E120" s="293"/>
    </row>
    <row r="121" spans="4:5" x14ac:dyDescent="0.2">
      <c r="D121" s="293"/>
      <c r="E121" s="293"/>
    </row>
    <row r="122" spans="4:5" x14ac:dyDescent="0.2">
      <c r="D122" s="293"/>
      <c r="E122" s="293"/>
    </row>
    <row r="123" spans="4:5" x14ac:dyDescent="0.2">
      <c r="D123" s="293"/>
      <c r="E123" s="293"/>
    </row>
    <row r="124" spans="4:5" x14ac:dyDescent="0.2">
      <c r="D124" s="293"/>
      <c r="E124" s="293"/>
    </row>
    <row r="125" spans="4:5" x14ac:dyDescent="0.2">
      <c r="D125" s="293"/>
      <c r="E125" s="293"/>
    </row>
    <row r="126" spans="4:5" x14ac:dyDescent="0.2">
      <c r="D126" s="293"/>
      <c r="E126" s="293"/>
    </row>
    <row r="127" spans="4:5" x14ac:dyDescent="0.2">
      <c r="D127" s="293"/>
      <c r="E127" s="293"/>
    </row>
    <row r="128" spans="4:5" x14ac:dyDescent="0.2">
      <c r="D128" s="293"/>
      <c r="E128" s="293"/>
    </row>
    <row r="129" spans="4:5" x14ac:dyDescent="0.2">
      <c r="D129" s="293"/>
      <c r="E129" s="293"/>
    </row>
    <row r="130" spans="4:5" x14ac:dyDescent="0.2">
      <c r="D130" s="293"/>
      <c r="E130" s="293"/>
    </row>
    <row r="131" spans="4:5" x14ac:dyDescent="0.2">
      <c r="D131" s="293"/>
      <c r="E131" s="293"/>
    </row>
    <row r="132" spans="4:5" x14ac:dyDescent="0.2">
      <c r="D132" s="293"/>
      <c r="E132" s="293"/>
    </row>
    <row r="133" spans="4:5" x14ac:dyDescent="0.2">
      <c r="D133" s="293"/>
      <c r="E133" s="293"/>
    </row>
    <row r="134" spans="4:5" x14ac:dyDescent="0.2">
      <c r="D134" s="293"/>
      <c r="E134" s="293"/>
    </row>
    <row r="135" spans="4:5" x14ac:dyDescent="0.2">
      <c r="D135" s="293"/>
      <c r="E135" s="293"/>
    </row>
    <row r="136" spans="4:5" x14ac:dyDescent="0.2">
      <c r="D136" s="293"/>
      <c r="E136" s="293"/>
    </row>
    <row r="137" spans="4:5" x14ac:dyDescent="0.2">
      <c r="D137" s="293"/>
      <c r="E137" s="293"/>
    </row>
    <row r="138" spans="4:5" x14ac:dyDescent="0.2">
      <c r="D138" s="293"/>
      <c r="E138" s="293"/>
    </row>
    <row r="139" spans="4:5" x14ac:dyDescent="0.2">
      <c r="D139" s="293"/>
      <c r="E139" s="293"/>
    </row>
    <row r="140" spans="4:5" x14ac:dyDescent="0.2">
      <c r="D140" s="293"/>
      <c r="E140" s="293"/>
    </row>
    <row r="141" spans="4:5" x14ac:dyDescent="0.2">
      <c r="D141" s="440"/>
      <c r="E141" s="440"/>
    </row>
    <row r="142" spans="4:5" x14ac:dyDescent="0.2">
      <c r="D142" s="440"/>
      <c r="E142" s="440"/>
    </row>
    <row r="143" spans="4:5" x14ac:dyDescent="0.2">
      <c r="D143" s="440"/>
      <c r="E143" s="440"/>
    </row>
    <row r="144" spans="4:5" x14ac:dyDescent="0.2">
      <c r="D144" s="440"/>
      <c r="E144" s="440"/>
    </row>
    <row r="145" spans="4:5" x14ac:dyDescent="0.2">
      <c r="D145" s="440"/>
      <c r="E145" s="440"/>
    </row>
    <row r="146" spans="4:5" x14ac:dyDescent="0.2">
      <c r="D146" s="440"/>
      <c r="E146" s="440"/>
    </row>
    <row r="147" spans="4:5" x14ac:dyDescent="0.2">
      <c r="D147" s="440"/>
      <c r="E147" s="440"/>
    </row>
  </sheetData>
  <sheetProtection formatCells="0"/>
  <mergeCells count="1">
    <mergeCell ref="A2:C2"/>
  </mergeCells>
  <phoneticPr fontId="2" type="noConversion"/>
  <hyperlinks>
    <hyperlink ref="A2" location="Index!A1" display="Back to Index" xr:uid="{76DF25E0-9806-4578-85BC-8AC6BA55FCE4}"/>
  </hyperlinks>
  <pageMargins left="0.15748031496062992" right="0.15748031496062992" top="0.98425196850393704" bottom="0.98425196850393704" header="0.51181102362204722" footer="0.51181102362204722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C972-D18C-43C5-9F35-60B262D266BD}">
  <sheetPr>
    <tabColor indexed="18"/>
    <pageSetUpPr fitToPage="1"/>
  </sheetPr>
  <dimension ref="A1:M26"/>
  <sheetViews>
    <sheetView showGridLines="0" zoomScale="85" zoomScaleNormal="85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4" style="286" customWidth="1"/>
    <col min="2" max="2" width="4.42578125" style="286" customWidth="1"/>
    <col min="3" max="3" width="42.42578125" style="321" customWidth="1"/>
    <col min="4" max="5" width="11.42578125" style="8" customWidth="1"/>
    <col min="6" max="8" width="11.42578125" style="286" customWidth="1"/>
    <col min="9" max="9" width="2.85546875" style="286" customWidth="1"/>
    <col min="10" max="16384" width="9.42578125" style="286"/>
  </cols>
  <sheetData>
    <row r="1" spans="1:9" s="4" customFormat="1" ht="20.25" x14ac:dyDescent="0.3">
      <c r="A1" s="3" t="s">
        <v>25</v>
      </c>
      <c r="D1" s="331"/>
      <c r="E1" s="331"/>
    </row>
    <row r="2" spans="1:9" s="6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382" t="s">
        <v>37</v>
      </c>
      <c r="G2" s="332" t="s">
        <v>467</v>
      </c>
      <c r="H2" s="332" t="s">
        <v>468</v>
      </c>
    </row>
    <row r="3" spans="1:9" s="341" customFormat="1" ht="5.0999999999999996" customHeight="1" x14ac:dyDescent="0.25">
      <c r="A3" s="291"/>
      <c r="D3" s="8"/>
      <c r="E3" s="8"/>
    </row>
    <row r="4" spans="1:9" s="341" customFormat="1" ht="14.25" customHeight="1" x14ac:dyDescent="0.25">
      <c r="A4" s="291" t="s">
        <v>283</v>
      </c>
      <c r="D4" s="289"/>
      <c r="E4" s="8"/>
      <c r="G4" s="362"/>
      <c r="H4" s="362"/>
      <c r="I4" s="362"/>
    </row>
    <row r="5" spans="1:9" x14ac:dyDescent="0.2">
      <c r="B5" s="496" t="s">
        <v>40</v>
      </c>
      <c r="C5" s="286"/>
      <c r="D5" s="151">
        <v>4414</v>
      </c>
      <c r="E5" s="296">
        <v>4596</v>
      </c>
      <c r="F5" s="173">
        <v>4875</v>
      </c>
      <c r="G5" s="296">
        <v>-9.456410256410253</v>
      </c>
      <c r="H5" s="296">
        <v>-3.9599651871192298</v>
      </c>
      <c r="I5" s="391"/>
    </row>
    <row r="6" spans="1:9" x14ac:dyDescent="0.2">
      <c r="B6" s="496" t="s">
        <v>41</v>
      </c>
      <c r="C6" s="286"/>
      <c r="D6" s="151">
        <v>1735</v>
      </c>
      <c r="E6" s="296">
        <v>1501</v>
      </c>
      <c r="F6" s="173">
        <v>1445</v>
      </c>
      <c r="G6" s="296">
        <v>20.069204152249132</v>
      </c>
      <c r="H6" s="296">
        <v>15.589606928714183</v>
      </c>
      <c r="I6" s="391"/>
    </row>
    <row r="7" spans="1:9" x14ac:dyDescent="0.2">
      <c r="B7" s="496" t="s">
        <v>114</v>
      </c>
      <c r="C7" s="286"/>
      <c r="D7" s="151">
        <v>1416</v>
      </c>
      <c r="E7" s="296">
        <v>1133</v>
      </c>
      <c r="F7" s="173">
        <v>1105</v>
      </c>
      <c r="G7" s="296">
        <v>28.144796380090508</v>
      </c>
      <c r="H7" s="296">
        <v>24.977934686672555</v>
      </c>
      <c r="I7" s="391"/>
    </row>
    <row r="8" spans="1:9" s="294" customFormat="1" ht="15" x14ac:dyDescent="0.25">
      <c r="B8" s="518" t="s">
        <v>44</v>
      </c>
      <c r="D8" s="113">
        <v>7565</v>
      </c>
      <c r="E8" s="386">
        <v>7230</v>
      </c>
      <c r="F8" s="214">
        <v>7425</v>
      </c>
      <c r="G8" s="296">
        <v>1.8855218855218903</v>
      </c>
      <c r="H8" s="296">
        <v>4.6334716459197844</v>
      </c>
      <c r="I8" s="385"/>
    </row>
    <row r="9" spans="1:9" x14ac:dyDescent="0.2">
      <c r="B9" s="496" t="s">
        <v>7</v>
      </c>
      <c r="C9" s="286"/>
      <c r="D9" s="151">
        <v>2830</v>
      </c>
      <c r="E9" s="296">
        <v>2802</v>
      </c>
      <c r="F9" s="173">
        <v>2639</v>
      </c>
      <c r="G9" s="296">
        <v>7.2375899962106915</v>
      </c>
      <c r="H9" s="296">
        <v>0.9992862241256173</v>
      </c>
      <c r="I9" s="391"/>
    </row>
    <row r="10" spans="1:9" x14ac:dyDescent="0.2">
      <c r="B10" s="496" t="s">
        <v>46</v>
      </c>
      <c r="C10" s="286"/>
      <c r="D10" s="151">
        <v>0</v>
      </c>
      <c r="E10" s="296">
        <v>0</v>
      </c>
      <c r="F10" s="173">
        <v>0</v>
      </c>
      <c r="G10" s="296">
        <v>0</v>
      </c>
      <c r="H10" s="296">
        <v>0</v>
      </c>
      <c r="I10" s="391"/>
    </row>
    <row r="11" spans="1:9" x14ac:dyDescent="0.2">
      <c r="B11" s="496" t="s">
        <v>8</v>
      </c>
      <c r="C11" s="286"/>
      <c r="D11" s="151">
        <v>92</v>
      </c>
      <c r="E11" s="296">
        <v>-35</v>
      </c>
      <c r="F11" s="173">
        <v>80</v>
      </c>
      <c r="G11" s="296">
        <v>14.999999999999991</v>
      </c>
      <c r="H11" s="296" t="s">
        <v>151</v>
      </c>
      <c r="I11" s="391"/>
    </row>
    <row r="12" spans="1:9" x14ac:dyDescent="0.2">
      <c r="B12" s="496" t="s">
        <v>284</v>
      </c>
      <c r="C12" s="286"/>
      <c r="D12" s="151">
        <v>19</v>
      </c>
      <c r="E12" s="296">
        <v>21</v>
      </c>
      <c r="F12" s="173">
        <v>15</v>
      </c>
      <c r="G12" s="523">
        <v>26.666666666666661</v>
      </c>
      <c r="H12" s="296">
        <v>-9.5238095238095237</v>
      </c>
      <c r="I12" s="391"/>
    </row>
    <row r="13" spans="1:9" s="294" customFormat="1" ht="15" x14ac:dyDescent="0.25">
      <c r="B13" s="341" t="s">
        <v>50</v>
      </c>
      <c r="D13" s="113">
        <v>4662</v>
      </c>
      <c r="E13" s="386">
        <v>4484</v>
      </c>
      <c r="F13" s="214">
        <v>4721</v>
      </c>
      <c r="G13" s="296">
        <v>-1.2497352255878003</v>
      </c>
      <c r="H13" s="296">
        <v>3.9696699375557642</v>
      </c>
      <c r="I13" s="385"/>
    </row>
    <row r="14" spans="1:9" x14ac:dyDescent="0.2">
      <c r="B14" s="287" t="s">
        <v>285</v>
      </c>
      <c r="C14" s="286"/>
      <c r="D14" s="151">
        <v>734</v>
      </c>
      <c r="E14" s="296">
        <v>668</v>
      </c>
      <c r="F14" s="173">
        <v>697</v>
      </c>
      <c r="G14" s="296">
        <v>5.3084648493543662</v>
      </c>
      <c r="H14" s="296">
        <v>9.8802395209580887</v>
      </c>
      <c r="I14" s="391"/>
    </row>
    <row r="15" spans="1:9" s="294" customFormat="1" ht="15" x14ac:dyDescent="0.25">
      <c r="B15" s="341" t="s">
        <v>286</v>
      </c>
      <c r="D15" s="113">
        <v>3928</v>
      </c>
      <c r="E15" s="386">
        <v>3816</v>
      </c>
      <c r="F15" s="214">
        <v>4024</v>
      </c>
      <c r="G15" s="296">
        <v>-2.3856858846918461</v>
      </c>
      <c r="H15" s="296">
        <v>2.9350104821803003</v>
      </c>
      <c r="I15" s="385"/>
    </row>
    <row r="16" spans="1:9" x14ac:dyDescent="0.2">
      <c r="C16" s="286"/>
      <c r="D16" s="151"/>
      <c r="E16" s="302"/>
      <c r="F16" s="173"/>
      <c r="G16" s="339"/>
      <c r="H16" s="339"/>
      <c r="I16" s="391"/>
    </row>
    <row r="17" spans="1:13" s="341" customFormat="1" ht="14.25" customHeight="1" x14ac:dyDescent="0.25">
      <c r="A17" s="291" t="s">
        <v>279</v>
      </c>
      <c r="D17" s="151"/>
      <c r="E17" s="302"/>
      <c r="F17" s="173"/>
      <c r="G17" s="339"/>
      <c r="H17" s="339"/>
      <c r="I17" s="362"/>
    </row>
    <row r="18" spans="1:13" x14ac:dyDescent="0.2">
      <c r="B18" s="496" t="s">
        <v>287</v>
      </c>
      <c r="C18" s="286"/>
      <c r="D18" s="151">
        <v>284836</v>
      </c>
      <c r="E18" s="296">
        <v>271652</v>
      </c>
      <c r="F18" s="173">
        <v>263476</v>
      </c>
      <c r="G18" s="296">
        <v>8.1070002580880143</v>
      </c>
      <c r="H18" s="296">
        <v>4.8532681519002363</v>
      </c>
      <c r="I18" s="391"/>
      <c r="K18" s="451"/>
      <c r="L18" s="451"/>
      <c r="M18" s="451"/>
    </row>
    <row r="19" spans="1:13" x14ac:dyDescent="0.2">
      <c r="B19" s="496" t="s">
        <v>280</v>
      </c>
      <c r="C19" s="286"/>
      <c r="D19" s="151">
        <v>643681</v>
      </c>
      <c r="E19" s="296">
        <v>596150</v>
      </c>
      <c r="F19" s="173">
        <v>552635</v>
      </c>
      <c r="G19" s="296">
        <v>16.474888488785556</v>
      </c>
      <c r="H19" s="296">
        <v>7.9729933741508052</v>
      </c>
      <c r="I19" s="391"/>
    </row>
    <row r="20" spans="1:13" x14ac:dyDescent="0.2">
      <c r="B20" s="496" t="s">
        <v>56</v>
      </c>
      <c r="C20" s="286"/>
      <c r="D20" s="151">
        <v>648796</v>
      </c>
      <c r="E20" s="296">
        <v>601265</v>
      </c>
      <c r="F20" s="173">
        <v>557750</v>
      </c>
      <c r="G20" s="296">
        <v>16.323800986104885</v>
      </c>
      <c r="H20" s="296">
        <v>7.9051666070701021</v>
      </c>
      <c r="I20" s="391"/>
    </row>
    <row r="21" spans="1:13" x14ac:dyDescent="0.2">
      <c r="D21" s="293"/>
      <c r="G21" s="391"/>
      <c r="H21" s="391"/>
      <c r="I21" s="391"/>
    </row>
    <row r="22" spans="1:13" x14ac:dyDescent="0.2">
      <c r="B22" s="326"/>
      <c r="C22" s="329"/>
      <c r="D22" s="524"/>
      <c r="E22" s="525"/>
      <c r="G22" s="391"/>
      <c r="H22" s="391"/>
      <c r="I22" s="391"/>
    </row>
    <row r="23" spans="1:13" x14ac:dyDescent="0.2">
      <c r="B23" s="70" t="s">
        <v>190</v>
      </c>
      <c r="C23" s="70" t="s">
        <v>152</v>
      </c>
      <c r="D23" s="526"/>
      <c r="E23" s="526"/>
    </row>
    <row r="24" spans="1:13" x14ac:dyDescent="0.2">
      <c r="B24" s="422" t="s">
        <v>119</v>
      </c>
      <c r="C24" s="70" t="s">
        <v>469</v>
      </c>
      <c r="D24" s="526"/>
      <c r="E24" s="526"/>
    </row>
    <row r="25" spans="1:13" x14ac:dyDescent="0.2">
      <c r="D25" s="525"/>
      <c r="E25" s="525"/>
    </row>
    <row r="26" spans="1:13" x14ac:dyDescent="0.2">
      <c r="D26" s="525"/>
      <c r="E26" s="525"/>
    </row>
  </sheetData>
  <sheetProtection formatCells="0"/>
  <mergeCells count="1">
    <mergeCell ref="A2:C2"/>
  </mergeCells>
  <phoneticPr fontId="2" type="noConversion"/>
  <hyperlinks>
    <hyperlink ref="A2" location="Index!A1" display="Back to Index" xr:uid="{D708C196-91C7-4F83-B0E1-C16A2076E3E9}"/>
  </hyperlinks>
  <pageMargins left="0.23622047244094491" right="0.23622047244094491" top="0.98425196850393704" bottom="0.98425196850393704" header="0.51181102362204722" footer="0.51181102362204722"/>
  <pageSetup paperSize="9" orientation="landscape" r:id="rId1"/>
  <headerFooter alignWithMargins="0">
    <oddFooter>&amp;L&amp;8&amp;Z&amp;F&amp;A&amp;R&amp;8&amp;D&amp;T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516B-59DF-457A-8DD4-422EDE06A290}">
  <sheetPr>
    <tabColor indexed="18"/>
    <pageSetUpPr fitToPage="1"/>
  </sheetPr>
  <dimension ref="A1:M24"/>
  <sheetViews>
    <sheetView showGridLines="0" zoomScale="85" zoomScaleNormal="85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4" style="286" customWidth="1"/>
    <col min="2" max="2" width="4.42578125" style="286" customWidth="1"/>
    <col min="3" max="3" width="42.5703125" style="321" customWidth="1"/>
    <col min="4" max="8" width="11.42578125" style="286" customWidth="1"/>
    <col min="9" max="9" width="2.85546875" style="286" customWidth="1"/>
    <col min="10" max="16384" width="9.42578125" style="286"/>
  </cols>
  <sheetData>
    <row r="1" spans="1:9" s="4" customFormat="1" ht="20.25" x14ac:dyDescent="0.3">
      <c r="A1" s="3" t="s">
        <v>26</v>
      </c>
    </row>
    <row r="2" spans="1:9" s="6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382" t="s">
        <v>37</v>
      </c>
      <c r="G2" s="332" t="s">
        <v>467</v>
      </c>
      <c r="H2" s="332" t="s">
        <v>468</v>
      </c>
    </row>
    <row r="3" spans="1:9" s="341" customFormat="1" ht="6.6" customHeight="1" x14ac:dyDescent="0.25">
      <c r="A3" s="291"/>
      <c r="D3" s="394"/>
    </row>
    <row r="4" spans="1:9" s="341" customFormat="1" ht="14.25" customHeight="1" x14ac:dyDescent="0.25">
      <c r="A4" s="291" t="s">
        <v>283</v>
      </c>
      <c r="D4" s="527"/>
      <c r="G4" s="362"/>
      <c r="H4" s="362"/>
    </row>
    <row r="5" spans="1:9" x14ac:dyDescent="0.2">
      <c r="B5" s="496" t="s">
        <v>40</v>
      </c>
      <c r="C5" s="286"/>
      <c r="D5" s="151">
        <v>1126</v>
      </c>
      <c r="E5" s="173">
        <v>1083</v>
      </c>
      <c r="F5" s="173">
        <v>1007</v>
      </c>
      <c r="G5" s="296">
        <v>11.81727904667329</v>
      </c>
      <c r="H5" s="296">
        <v>3.970452446906747</v>
      </c>
    </row>
    <row r="6" spans="1:9" x14ac:dyDescent="0.2">
      <c r="B6" s="496" t="s">
        <v>41</v>
      </c>
      <c r="C6" s="391"/>
      <c r="D6" s="151">
        <v>641</v>
      </c>
      <c r="E6" s="173">
        <v>488</v>
      </c>
      <c r="F6" s="173">
        <v>505</v>
      </c>
      <c r="G6" s="296">
        <v>26.930693069306933</v>
      </c>
      <c r="H6" s="296">
        <v>31.352459016393453</v>
      </c>
    </row>
    <row r="7" spans="1:9" x14ac:dyDescent="0.2">
      <c r="B7" s="496" t="s">
        <v>114</v>
      </c>
      <c r="C7" s="391"/>
      <c r="D7" s="151">
        <v>183</v>
      </c>
      <c r="E7" s="173">
        <v>173</v>
      </c>
      <c r="F7" s="173">
        <v>268</v>
      </c>
      <c r="G7" s="296">
        <v>-31.71641791044776</v>
      </c>
      <c r="H7" s="296">
        <v>5.7803468208092568</v>
      </c>
    </row>
    <row r="8" spans="1:9" s="294" customFormat="1" ht="15" x14ac:dyDescent="0.25">
      <c r="B8" s="518" t="s">
        <v>44</v>
      </c>
      <c r="D8" s="113">
        <v>1950</v>
      </c>
      <c r="E8" s="214">
        <v>1744</v>
      </c>
      <c r="F8" s="214">
        <v>1780</v>
      </c>
      <c r="G8" s="296">
        <v>9.550561797752799</v>
      </c>
      <c r="H8" s="296">
        <v>11.811926605504585</v>
      </c>
      <c r="I8" s="286"/>
    </row>
    <row r="9" spans="1:9" x14ac:dyDescent="0.2">
      <c r="B9" s="496" t="s">
        <v>7</v>
      </c>
      <c r="C9" s="286"/>
      <c r="D9" s="151">
        <v>641</v>
      </c>
      <c r="E9" s="173">
        <v>697</v>
      </c>
      <c r="F9" s="173">
        <v>636</v>
      </c>
      <c r="G9" s="296">
        <v>0.78616352201257289</v>
      </c>
      <c r="H9" s="296">
        <v>-8.0344332855093228</v>
      </c>
    </row>
    <row r="10" spans="1:9" x14ac:dyDescent="0.2">
      <c r="B10" s="496" t="s">
        <v>46</v>
      </c>
      <c r="C10" s="286"/>
      <c r="D10" s="151">
        <v>0</v>
      </c>
      <c r="E10" s="173">
        <v>0</v>
      </c>
      <c r="F10" s="173">
        <v>0</v>
      </c>
      <c r="G10" s="296">
        <v>0</v>
      </c>
      <c r="H10" s="296">
        <v>0</v>
      </c>
    </row>
    <row r="11" spans="1:9" x14ac:dyDescent="0.2">
      <c r="B11" s="496" t="s">
        <v>8</v>
      </c>
      <c r="C11" s="286"/>
      <c r="D11" s="151">
        <v>84</v>
      </c>
      <c r="E11" s="173">
        <v>190</v>
      </c>
      <c r="F11" s="173">
        <v>106</v>
      </c>
      <c r="G11" s="296">
        <v>-20.75471698113207</v>
      </c>
      <c r="H11" s="296">
        <v>-55.78947368421052</v>
      </c>
    </row>
    <row r="12" spans="1:9" x14ac:dyDescent="0.2">
      <c r="B12" s="496" t="s">
        <v>284</v>
      </c>
      <c r="C12" s="286"/>
      <c r="D12" s="151">
        <v>0</v>
      </c>
      <c r="E12" s="173">
        <v>0</v>
      </c>
      <c r="F12" s="173">
        <v>0</v>
      </c>
      <c r="G12" s="296">
        <v>0</v>
      </c>
      <c r="H12" s="296">
        <v>0</v>
      </c>
    </row>
    <row r="13" spans="1:9" s="294" customFormat="1" ht="15" x14ac:dyDescent="0.25">
      <c r="B13" s="341" t="s">
        <v>50</v>
      </c>
      <c r="D13" s="113">
        <v>1225</v>
      </c>
      <c r="E13" s="214">
        <v>857</v>
      </c>
      <c r="F13" s="214">
        <v>1038</v>
      </c>
      <c r="G13" s="296">
        <v>18.015414258188823</v>
      </c>
      <c r="H13" s="296">
        <v>42.940490081680281</v>
      </c>
      <c r="I13" s="286"/>
    </row>
    <row r="14" spans="1:9" x14ac:dyDescent="0.2">
      <c r="B14" s="287" t="s">
        <v>285</v>
      </c>
      <c r="C14" s="286"/>
      <c r="D14" s="151">
        <v>198</v>
      </c>
      <c r="E14" s="173">
        <v>119</v>
      </c>
      <c r="F14" s="173">
        <v>167</v>
      </c>
      <c r="G14" s="296">
        <v>18.562874251497007</v>
      </c>
      <c r="H14" s="296">
        <v>66.386554621848745</v>
      </c>
    </row>
    <row r="15" spans="1:9" s="294" customFormat="1" ht="15" x14ac:dyDescent="0.25">
      <c r="B15" s="341" t="s">
        <v>286</v>
      </c>
      <c r="D15" s="113">
        <v>1027</v>
      </c>
      <c r="E15" s="214">
        <v>738</v>
      </c>
      <c r="F15" s="214">
        <v>871</v>
      </c>
      <c r="G15" s="296">
        <v>17.910447761194035</v>
      </c>
      <c r="H15" s="296">
        <v>39.159891598915998</v>
      </c>
      <c r="I15" s="286"/>
    </row>
    <row r="16" spans="1:9" x14ac:dyDescent="0.2">
      <c r="C16" s="286"/>
      <c r="D16" s="151"/>
      <c r="E16" s="216"/>
      <c r="F16" s="173"/>
      <c r="G16" s="339"/>
      <c r="H16" s="339"/>
    </row>
    <row r="17" spans="1:13" s="341" customFormat="1" ht="14.25" customHeight="1" x14ac:dyDescent="0.25">
      <c r="A17" s="291" t="s">
        <v>279</v>
      </c>
      <c r="D17" s="151"/>
      <c r="E17" s="216"/>
      <c r="F17" s="173"/>
      <c r="G17" s="339"/>
      <c r="H17" s="339"/>
    </row>
    <row r="18" spans="1:13" x14ac:dyDescent="0.2">
      <c r="B18" s="496" t="s">
        <v>287</v>
      </c>
      <c r="C18" s="286"/>
      <c r="D18" s="151">
        <v>64049</v>
      </c>
      <c r="E18" s="173">
        <v>62919</v>
      </c>
      <c r="F18" s="173">
        <v>60606</v>
      </c>
      <c r="G18" s="296">
        <v>5.6809556809556794</v>
      </c>
      <c r="H18" s="296">
        <v>1.7959598849314196</v>
      </c>
      <c r="K18" s="451"/>
      <c r="L18" s="451"/>
      <c r="M18" s="451"/>
    </row>
    <row r="19" spans="1:13" x14ac:dyDescent="0.2">
      <c r="B19" s="496" t="s">
        <v>280</v>
      </c>
      <c r="C19" s="286"/>
      <c r="D19" s="151">
        <v>114407</v>
      </c>
      <c r="E19" s="173">
        <v>105692</v>
      </c>
      <c r="F19" s="173">
        <v>101545</v>
      </c>
      <c r="G19" s="296">
        <v>12.666305578807435</v>
      </c>
      <c r="H19" s="296">
        <v>8.2456571925973563</v>
      </c>
    </row>
    <row r="20" spans="1:13" x14ac:dyDescent="0.2">
      <c r="B20" s="496" t="s">
        <v>56</v>
      </c>
      <c r="C20" s="286"/>
      <c r="D20" s="151">
        <v>114435</v>
      </c>
      <c r="E20" s="173">
        <v>105720</v>
      </c>
      <c r="F20" s="173">
        <v>101573</v>
      </c>
      <c r="G20" s="296">
        <v>12.66281393677453</v>
      </c>
      <c r="H20" s="296">
        <v>8.2434733257661819</v>
      </c>
    </row>
    <row r="21" spans="1:13" x14ac:dyDescent="0.2">
      <c r="C21" s="286"/>
      <c r="G21" s="315"/>
      <c r="H21" s="315"/>
    </row>
    <row r="22" spans="1:13" x14ac:dyDescent="0.2">
      <c r="B22" s="70"/>
      <c r="C22" s="70"/>
    </row>
    <row r="23" spans="1:13" x14ac:dyDescent="0.2">
      <c r="B23" s="422" t="s">
        <v>119</v>
      </c>
      <c r="C23" s="70" t="s">
        <v>469</v>
      </c>
      <c r="D23" s="526"/>
      <c r="E23" s="526"/>
    </row>
    <row r="24" spans="1:13" x14ac:dyDescent="0.2">
      <c r="D24" s="391"/>
    </row>
  </sheetData>
  <sheetProtection formatCells="0"/>
  <mergeCells count="1">
    <mergeCell ref="A2:C2"/>
  </mergeCells>
  <phoneticPr fontId="2" type="noConversion"/>
  <hyperlinks>
    <hyperlink ref="A2" location="Index!A1" display="Back to Index" xr:uid="{483EF303-418A-4B55-8990-18DB5079BF8A}"/>
  </hyperlinks>
  <pageMargins left="0.23622047244094491" right="0.23622047244094491" top="0.98425196850393704" bottom="0.98425196850393704" header="0.51181102362204722" footer="0.51181102362204722"/>
  <pageSetup orientation="landscape" r:id="rId1"/>
  <headerFooter alignWithMargins="0">
    <oddFooter>&amp;L&amp;Z&amp;F&amp;A&amp;R&amp;D&amp;T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34D7-D302-42F3-9740-7650AFCA8CA3}">
  <sheetPr>
    <tabColor indexed="18"/>
    <pageSetUpPr fitToPage="1"/>
  </sheetPr>
  <dimension ref="A1:M146"/>
  <sheetViews>
    <sheetView showGridLines="0" zoomScale="85" zoomScaleNormal="85" zoomScaleSheetLayoutView="90" workbookViewId="0">
      <pane xSplit="3" ySplit="3" topLeftCell="D10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4" style="286" customWidth="1"/>
    <col min="2" max="2" width="4.42578125" style="286" customWidth="1"/>
    <col min="3" max="3" width="43.42578125" style="321" customWidth="1"/>
    <col min="4" max="5" width="11.42578125" style="8" customWidth="1"/>
    <col min="6" max="8" width="11.42578125" style="286" customWidth="1"/>
    <col min="9" max="9" width="2.85546875" style="286" customWidth="1"/>
    <col min="10" max="16384" width="9.42578125" style="286"/>
  </cols>
  <sheetData>
    <row r="1" spans="1:9" s="4" customFormat="1" ht="20.25" x14ac:dyDescent="0.3">
      <c r="A1" s="3" t="s">
        <v>27</v>
      </c>
      <c r="D1" s="331"/>
      <c r="E1" s="331"/>
    </row>
    <row r="2" spans="1:9" s="6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382" t="s">
        <v>37</v>
      </c>
      <c r="G2" s="332" t="s">
        <v>467</v>
      </c>
      <c r="H2" s="332" t="s">
        <v>468</v>
      </c>
    </row>
    <row r="3" spans="1:9" s="341" customFormat="1" ht="6.6" customHeight="1" x14ac:dyDescent="0.25">
      <c r="A3" s="291"/>
      <c r="D3" s="428"/>
      <c r="E3" s="24"/>
    </row>
    <row r="4" spans="1:9" s="341" customFormat="1" ht="14.25" customHeight="1" x14ac:dyDescent="0.25">
      <c r="A4" s="291" t="s">
        <v>283</v>
      </c>
      <c r="D4" s="495"/>
      <c r="E4" s="407"/>
      <c r="F4" s="362"/>
      <c r="G4" s="474"/>
      <c r="H4" s="474"/>
      <c r="I4" s="474"/>
    </row>
    <row r="5" spans="1:9" x14ac:dyDescent="0.2">
      <c r="B5" s="496" t="s">
        <v>40</v>
      </c>
      <c r="C5" s="286"/>
      <c r="D5" s="151">
        <v>616</v>
      </c>
      <c r="E5" s="217">
        <v>616</v>
      </c>
      <c r="F5" s="217">
        <v>566</v>
      </c>
      <c r="G5" s="296">
        <v>8.8339222614840942</v>
      </c>
      <c r="H5" s="296">
        <v>0</v>
      </c>
      <c r="I5" s="315"/>
    </row>
    <row r="6" spans="1:9" x14ac:dyDescent="0.2">
      <c r="B6" s="496" t="s">
        <v>41</v>
      </c>
      <c r="C6" s="391"/>
      <c r="D6" s="151">
        <v>320</v>
      </c>
      <c r="E6" s="217">
        <v>249</v>
      </c>
      <c r="F6" s="217">
        <v>268</v>
      </c>
      <c r="G6" s="296">
        <v>19.402985074626855</v>
      </c>
      <c r="H6" s="296">
        <v>28.514056224899598</v>
      </c>
      <c r="I6" s="315"/>
    </row>
    <row r="7" spans="1:9" x14ac:dyDescent="0.2">
      <c r="B7" s="496" t="s">
        <v>114</v>
      </c>
      <c r="C7" s="391"/>
      <c r="D7" s="151">
        <v>301</v>
      </c>
      <c r="E7" s="217">
        <v>207</v>
      </c>
      <c r="F7" s="217">
        <v>281</v>
      </c>
      <c r="G7" s="296">
        <v>7.1174377224199281</v>
      </c>
      <c r="H7" s="296">
        <v>45.410628019323674</v>
      </c>
      <c r="I7" s="315"/>
    </row>
    <row r="8" spans="1:9" s="294" customFormat="1" ht="15" x14ac:dyDescent="0.25">
      <c r="B8" s="518" t="s">
        <v>44</v>
      </c>
      <c r="D8" s="113">
        <v>1237</v>
      </c>
      <c r="E8" s="218">
        <v>1072</v>
      </c>
      <c r="F8" s="218">
        <v>1115</v>
      </c>
      <c r="G8" s="296">
        <v>10.941704035874444</v>
      </c>
      <c r="H8" s="296">
        <v>15.391791044776127</v>
      </c>
      <c r="I8" s="475"/>
    </row>
    <row r="9" spans="1:9" x14ac:dyDescent="0.2">
      <c r="B9" s="496" t="s">
        <v>7</v>
      </c>
      <c r="C9" s="286"/>
      <c r="D9" s="151">
        <v>645</v>
      </c>
      <c r="E9" s="217">
        <v>687</v>
      </c>
      <c r="F9" s="217">
        <v>652</v>
      </c>
      <c r="G9" s="296">
        <v>-1.0736196319018454</v>
      </c>
      <c r="H9" s="296">
        <v>-6.1135371179039328</v>
      </c>
      <c r="I9" s="315"/>
    </row>
    <row r="10" spans="1:9" x14ac:dyDescent="0.2">
      <c r="B10" s="496" t="s">
        <v>46</v>
      </c>
      <c r="C10" s="286"/>
      <c r="D10" s="151">
        <v>11</v>
      </c>
      <c r="E10" s="217">
        <v>11</v>
      </c>
      <c r="F10" s="217">
        <v>12</v>
      </c>
      <c r="G10" s="296">
        <v>-8.3333333333333375</v>
      </c>
      <c r="H10" s="296">
        <v>0</v>
      </c>
      <c r="I10" s="315"/>
    </row>
    <row r="11" spans="1:9" x14ac:dyDescent="0.2">
      <c r="B11" s="496" t="s">
        <v>8</v>
      </c>
      <c r="C11" s="286"/>
      <c r="D11" s="151">
        <v>63</v>
      </c>
      <c r="E11" s="217">
        <v>67</v>
      </c>
      <c r="F11" s="217">
        <v>53</v>
      </c>
      <c r="G11" s="296">
        <v>18.867924528301884</v>
      </c>
      <c r="H11" s="296">
        <v>-5.9701492537313383</v>
      </c>
      <c r="I11" s="315"/>
    </row>
    <row r="12" spans="1:9" x14ac:dyDescent="0.2">
      <c r="B12" s="496" t="s">
        <v>284</v>
      </c>
      <c r="C12" s="286"/>
      <c r="D12" s="151">
        <v>116</v>
      </c>
      <c r="E12" s="217">
        <v>96</v>
      </c>
      <c r="F12" s="217">
        <v>127</v>
      </c>
      <c r="G12" s="296">
        <v>-8.6614173228346409</v>
      </c>
      <c r="H12" s="296">
        <v>20.833333333333325</v>
      </c>
      <c r="I12" s="315"/>
    </row>
    <row r="13" spans="1:9" s="294" customFormat="1" ht="15" x14ac:dyDescent="0.25">
      <c r="B13" s="341" t="s">
        <v>50</v>
      </c>
      <c r="D13" s="113">
        <v>634</v>
      </c>
      <c r="E13" s="218">
        <v>403</v>
      </c>
      <c r="F13" s="218">
        <v>525</v>
      </c>
      <c r="G13" s="296">
        <v>20.761904761904759</v>
      </c>
      <c r="H13" s="296">
        <v>57.320099255583123</v>
      </c>
      <c r="I13" s="475"/>
    </row>
    <row r="14" spans="1:9" x14ac:dyDescent="0.2">
      <c r="B14" s="287" t="s">
        <v>285</v>
      </c>
      <c r="C14" s="286"/>
      <c r="D14" s="151">
        <v>101</v>
      </c>
      <c r="E14" s="217">
        <v>50</v>
      </c>
      <c r="F14" s="217">
        <v>87</v>
      </c>
      <c r="G14" s="296">
        <v>16.09195402298851</v>
      </c>
      <c r="H14" s="296" t="s">
        <v>494</v>
      </c>
      <c r="I14" s="315"/>
    </row>
    <row r="15" spans="1:9" s="294" customFormat="1" ht="15" x14ac:dyDescent="0.25">
      <c r="B15" s="341" t="s">
        <v>286</v>
      </c>
      <c r="D15" s="113">
        <v>533</v>
      </c>
      <c r="E15" s="218">
        <v>353</v>
      </c>
      <c r="F15" s="218">
        <v>438</v>
      </c>
      <c r="G15" s="296">
        <v>21.689497716894969</v>
      </c>
      <c r="H15" s="296">
        <v>50.991501416430587</v>
      </c>
      <c r="I15" s="475"/>
    </row>
    <row r="16" spans="1:9" x14ac:dyDescent="0.2">
      <c r="C16" s="286"/>
      <c r="D16" s="151"/>
      <c r="E16" s="296"/>
      <c r="F16" s="173"/>
      <c r="G16" s="339"/>
      <c r="H16" s="339"/>
      <c r="I16" s="315"/>
    </row>
    <row r="17" spans="1:13" s="341" customFormat="1" ht="14.25" customHeight="1" x14ac:dyDescent="0.25">
      <c r="A17" s="291" t="s">
        <v>279</v>
      </c>
      <c r="D17" s="151"/>
      <c r="E17" s="386"/>
      <c r="F17" s="173"/>
      <c r="G17" s="339"/>
      <c r="H17" s="339"/>
      <c r="I17" s="474"/>
    </row>
    <row r="18" spans="1:13" x14ac:dyDescent="0.2">
      <c r="B18" s="496" t="s">
        <v>287</v>
      </c>
      <c r="C18" s="286"/>
      <c r="D18" s="151">
        <v>51254</v>
      </c>
      <c r="E18" s="296">
        <v>48029</v>
      </c>
      <c r="F18" s="173">
        <v>48324</v>
      </c>
      <c r="G18" s="296">
        <v>6.0632397980299624</v>
      </c>
      <c r="H18" s="296">
        <v>6.7146932061879383</v>
      </c>
      <c r="I18" s="315"/>
      <c r="K18" s="451"/>
      <c r="L18" s="451"/>
      <c r="M18" s="451"/>
    </row>
    <row r="19" spans="1:13" x14ac:dyDescent="0.2">
      <c r="B19" s="496" t="s">
        <v>280</v>
      </c>
      <c r="C19" s="286"/>
      <c r="D19" s="151">
        <v>84735</v>
      </c>
      <c r="E19" s="296">
        <v>81214</v>
      </c>
      <c r="F19" s="173">
        <v>76035</v>
      </c>
      <c r="G19" s="296">
        <v>11.442099033339904</v>
      </c>
      <c r="H19" s="296">
        <v>4.3354594035511118</v>
      </c>
      <c r="I19" s="315"/>
    </row>
    <row r="20" spans="1:13" x14ac:dyDescent="0.2">
      <c r="B20" s="496" t="s">
        <v>56</v>
      </c>
      <c r="C20" s="286"/>
      <c r="D20" s="151">
        <v>85732</v>
      </c>
      <c r="E20" s="296">
        <v>82228</v>
      </c>
      <c r="F20" s="173">
        <v>77126</v>
      </c>
      <c r="G20" s="296">
        <v>11.158364235147689</v>
      </c>
      <c r="H20" s="296">
        <v>4.2613221773605048</v>
      </c>
      <c r="I20" s="315"/>
    </row>
    <row r="21" spans="1:13" x14ac:dyDescent="0.2">
      <c r="C21" s="286"/>
      <c r="E21" s="292"/>
      <c r="G21" s="315"/>
      <c r="H21" s="315"/>
      <c r="I21" s="315"/>
    </row>
    <row r="22" spans="1:13" x14ac:dyDescent="0.2">
      <c r="E22" s="293"/>
      <c r="G22" s="315"/>
      <c r="H22" s="315"/>
      <c r="I22" s="315"/>
    </row>
    <row r="23" spans="1:13" x14ac:dyDescent="0.2">
      <c r="B23" s="422" t="s">
        <v>119</v>
      </c>
      <c r="C23" s="70" t="s">
        <v>469</v>
      </c>
      <c r="D23" s="526"/>
      <c r="E23" s="526"/>
    </row>
    <row r="24" spans="1:13" x14ac:dyDescent="0.2">
      <c r="D24" s="528"/>
      <c r="E24" s="528"/>
    </row>
    <row r="25" spans="1:13" x14ac:dyDescent="0.2">
      <c r="D25" s="529"/>
      <c r="E25" s="529"/>
    </row>
    <row r="26" spans="1:13" x14ac:dyDescent="0.2">
      <c r="D26" s="528"/>
      <c r="E26" s="528"/>
    </row>
    <row r="27" spans="1:13" x14ac:dyDescent="0.2">
      <c r="D27" s="530"/>
      <c r="E27" s="530"/>
    </row>
    <row r="28" spans="1:13" x14ac:dyDescent="0.2">
      <c r="D28" s="531"/>
      <c r="E28" s="531"/>
    </row>
    <row r="29" spans="1:13" x14ac:dyDescent="0.2">
      <c r="D29" s="530"/>
      <c r="E29" s="530"/>
    </row>
    <row r="30" spans="1:13" x14ac:dyDescent="0.2">
      <c r="D30" s="531"/>
      <c r="E30" s="531"/>
    </row>
    <row r="31" spans="1:13" x14ac:dyDescent="0.2">
      <c r="D31" s="530"/>
      <c r="E31" s="530"/>
    </row>
    <row r="32" spans="1:13" x14ac:dyDescent="0.2">
      <c r="D32" s="293"/>
      <c r="E32" s="293"/>
    </row>
    <row r="33" spans="4:5" x14ac:dyDescent="0.2">
      <c r="D33" s="293"/>
      <c r="E33" s="293"/>
    </row>
    <row r="34" spans="4:5" x14ac:dyDescent="0.2">
      <c r="D34" s="293"/>
      <c r="E34" s="293"/>
    </row>
    <row r="35" spans="4:5" x14ac:dyDescent="0.2">
      <c r="D35" s="293"/>
      <c r="E35" s="293"/>
    </row>
    <row r="36" spans="4:5" x14ac:dyDescent="0.2">
      <c r="D36" s="293"/>
      <c r="E36" s="293"/>
    </row>
    <row r="37" spans="4:5" x14ac:dyDescent="0.2">
      <c r="D37" s="293"/>
      <c r="E37" s="293"/>
    </row>
    <row r="38" spans="4:5" x14ac:dyDescent="0.2">
      <c r="D38" s="293"/>
      <c r="E38" s="293"/>
    </row>
    <row r="39" spans="4:5" x14ac:dyDescent="0.2">
      <c r="D39" s="293"/>
      <c r="E39" s="293"/>
    </row>
    <row r="40" spans="4:5" x14ac:dyDescent="0.2">
      <c r="D40" s="293"/>
      <c r="E40" s="293"/>
    </row>
    <row r="41" spans="4:5" x14ac:dyDescent="0.2">
      <c r="D41" s="293"/>
      <c r="E41" s="293"/>
    </row>
    <row r="42" spans="4:5" x14ac:dyDescent="0.2">
      <c r="D42" s="293"/>
      <c r="E42" s="293"/>
    </row>
    <row r="43" spans="4:5" x14ac:dyDescent="0.2">
      <c r="D43" s="293"/>
      <c r="E43" s="293"/>
    </row>
    <row r="44" spans="4:5" x14ac:dyDescent="0.2">
      <c r="D44" s="293"/>
      <c r="E44" s="293"/>
    </row>
    <row r="45" spans="4:5" x14ac:dyDescent="0.2">
      <c r="D45" s="293"/>
      <c r="E45" s="293"/>
    </row>
    <row r="46" spans="4:5" x14ac:dyDescent="0.2">
      <c r="D46" s="293"/>
      <c r="E46" s="293"/>
    </row>
    <row r="47" spans="4:5" x14ac:dyDescent="0.2">
      <c r="D47" s="293"/>
      <c r="E47" s="293"/>
    </row>
    <row r="48" spans="4:5" x14ac:dyDescent="0.2">
      <c r="D48" s="293"/>
      <c r="E48" s="293"/>
    </row>
    <row r="49" spans="4:5" x14ac:dyDescent="0.2">
      <c r="D49" s="293"/>
      <c r="E49" s="293"/>
    </row>
    <row r="50" spans="4:5" x14ac:dyDescent="0.2">
      <c r="D50" s="293"/>
      <c r="E50" s="293"/>
    </row>
    <row r="51" spans="4:5" x14ac:dyDescent="0.2">
      <c r="D51" s="293"/>
      <c r="E51" s="293"/>
    </row>
    <row r="52" spans="4:5" x14ac:dyDescent="0.2">
      <c r="D52" s="293"/>
      <c r="E52" s="293"/>
    </row>
    <row r="53" spans="4:5" x14ac:dyDescent="0.2">
      <c r="D53" s="293"/>
      <c r="E53" s="293"/>
    </row>
    <row r="54" spans="4:5" x14ac:dyDescent="0.2">
      <c r="D54" s="293"/>
      <c r="E54" s="293"/>
    </row>
    <row r="55" spans="4:5" x14ac:dyDescent="0.2">
      <c r="D55" s="293"/>
      <c r="E55" s="293"/>
    </row>
    <row r="56" spans="4:5" x14ac:dyDescent="0.2">
      <c r="D56" s="293"/>
      <c r="E56" s="293"/>
    </row>
    <row r="57" spans="4:5" x14ac:dyDescent="0.2">
      <c r="D57" s="293"/>
      <c r="E57" s="293"/>
    </row>
    <row r="58" spans="4:5" x14ac:dyDescent="0.2">
      <c r="D58" s="293"/>
      <c r="E58" s="293"/>
    </row>
    <row r="59" spans="4:5" x14ac:dyDescent="0.2">
      <c r="D59" s="293"/>
      <c r="E59" s="293"/>
    </row>
    <row r="60" spans="4:5" x14ac:dyDescent="0.2">
      <c r="D60" s="293"/>
      <c r="E60" s="293"/>
    </row>
    <row r="61" spans="4:5" x14ac:dyDescent="0.2">
      <c r="D61" s="293"/>
      <c r="E61" s="293"/>
    </row>
    <row r="62" spans="4:5" x14ac:dyDescent="0.2">
      <c r="D62" s="293"/>
      <c r="E62" s="293"/>
    </row>
    <row r="63" spans="4:5" x14ac:dyDescent="0.2">
      <c r="D63" s="293"/>
      <c r="E63" s="293"/>
    </row>
    <row r="64" spans="4:5" x14ac:dyDescent="0.2">
      <c r="D64" s="293"/>
      <c r="E64" s="293"/>
    </row>
    <row r="65" spans="4:5" x14ac:dyDescent="0.2">
      <c r="D65" s="293"/>
      <c r="E65" s="293"/>
    </row>
    <row r="66" spans="4:5" x14ac:dyDescent="0.2">
      <c r="D66" s="293"/>
      <c r="E66" s="293"/>
    </row>
    <row r="67" spans="4:5" x14ac:dyDescent="0.2">
      <c r="D67" s="293"/>
      <c r="E67" s="293"/>
    </row>
    <row r="68" spans="4:5" x14ac:dyDescent="0.2">
      <c r="D68" s="293"/>
      <c r="E68" s="293"/>
    </row>
    <row r="69" spans="4:5" x14ac:dyDescent="0.2">
      <c r="D69" s="293"/>
      <c r="E69" s="293"/>
    </row>
    <row r="70" spans="4:5" x14ac:dyDescent="0.2">
      <c r="D70" s="293"/>
      <c r="E70" s="293"/>
    </row>
    <row r="71" spans="4:5" x14ac:dyDescent="0.2">
      <c r="D71" s="293"/>
      <c r="E71" s="293"/>
    </row>
    <row r="72" spans="4:5" x14ac:dyDescent="0.2">
      <c r="D72" s="293"/>
      <c r="E72" s="293"/>
    </row>
    <row r="73" spans="4:5" x14ac:dyDescent="0.2">
      <c r="D73" s="293"/>
      <c r="E73" s="293"/>
    </row>
    <row r="74" spans="4:5" x14ac:dyDescent="0.2">
      <c r="D74" s="293"/>
      <c r="E74" s="293"/>
    </row>
    <row r="75" spans="4:5" x14ac:dyDescent="0.2">
      <c r="D75" s="293"/>
      <c r="E75" s="293"/>
    </row>
    <row r="76" spans="4:5" x14ac:dyDescent="0.2">
      <c r="D76" s="293"/>
      <c r="E76" s="293"/>
    </row>
    <row r="77" spans="4:5" x14ac:dyDescent="0.2">
      <c r="D77" s="293"/>
      <c r="E77" s="293"/>
    </row>
    <row r="78" spans="4:5" x14ac:dyDescent="0.2">
      <c r="D78" s="293"/>
      <c r="E78" s="293"/>
    </row>
    <row r="79" spans="4:5" x14ac:dyDescent="0.2">
      <c r="D79" s="293"/>
      <c r="E79" s="293"/>
    </row>
    <row r="80" spans="4:5" x14ac:dyDescent="0.2">
      <c r="D80" s="293"/>
      <c r="E80" s="293"/>
    </row>
    <row r="81" spans="4:5" x14ac:dyDescent="0.2">
      <c r="D81" s="293"/>
      <c r="E81" s="293"/>
    </row>
    <row r="82" spans="4:5" x14ac:dyDescent="0.2">
      <c r="D82" s="293"/>
      <c r="E82" s="293"/>
    </row>
    <row r="83" spans="4:5" x14ac:dyDescent="0.2">
      <c r="D83" s="293"/>
      <c r="E83" s="293"/>
    </row>
    <row r="84" spans="4:5" x14ac:dyDescent="0.2">
      <c r="D84" s="293"/>
      <c r="E84" s="293"/>
    </row>
    <row r="85" spans="4:5" x14ac:dyDescent="0.2">
      <c r="D85" s="293"/>
      <c r="E85" s="293"/>
    </row>
    <row r="86" spans="4:5" x14ac:dyDescent="0.2">
      <c r="D86" s="293"/>
      <c r="E86" s="293"/>
    </row>
    <row r="87" spans="4:5" x14ac:dyDescent="0.2">
      <c r="D87" s="293"/>
      <c r="E87" s="293"/>
    </row>
    <row r="88" spans="4:5" x14ac:dyDescent="0.2">
      <c r="D88" s="293"/>
      <c r="E88" s="293"/>
    </row>
    <row r="89" spans="4:5" x14ac:dyDescent="0.2">
      <c r="D89" s="293"/>
      <c r="E89" s="293"/>
    </row>
    <row r="90" spans="4:5" x14ac:dyDescent="0.2">
      <c r="D90" s="293"/>
      <c r="E90" s="293"/>
    </row>
    <row r="91" spans="4:5" x14ac:dyDescent="0.2">
      <c r="D91" s="293"/>
      <c r="E91" s="293"/>
    </row>
    <row r="92" spans="4:5" x14ac:dyDescent="0.2">
      <c r="D92" s="293"/>
      <c r="E92" s="293"/>
    </row>
    <row r="93" spans="4:5" x14ac:dyDescent="0.2">
      <c r="D93" s="293"/>
      <c r="E93" s="293"/>
    </row>
    <row r="94" spans="4:5" x14ac:dyDescent="0.2">
      <c r="D94" s="293"/>
      <c r="E94" s="293"/>
    </row>
    <row r="95" spans="4:5" x14ac:dyDescent="0.2">
      <c r="D95" s="293"/>
      <c r="E95" s="293"/>
    </row>
    <row r="96" spans="4:5" x14ac:dyDescent="0.2">
      <c r="D96" s="293"/>
      <c r="E96" s="293"/>
    </row>
    <row r="97" spans="4:5" x14ac:dyDescent="0.2">
      <c r="D97" s="293"/>
      <c r="E97" s="293"/>
    </row>
    <row r="98" spans="4:5" x14ac:dyDescent="0.2">
      <c r="D98" s="293"/>
      <c r="E98" s="293"/>
    </row>
    <row r="99" spans="4:5" x14ac:dyDescent="0.2">
      <c r="D99" s="293"/>
      <c r="E99" s="293"/>
    </row>
    <row r="100" spans="4:5" x14ac:dyDescent="0.2">
      <c r="D100" s="293"/>
      <c r="E100" s="293"/>
    </row>
    <row r="101" spans="4:5" x14ac:dyDescent="0.2">
      <c r="D101" s="293"/>
      <c r="E101" s="293"/>
    </row>
    <row r="102" spans="4:5" x14ac:dyDescent="0.2">
      <c r="D102" s="293"/>
      <c r="E102" s="293"/>
    </row>
    <row r="103" spans="4:5" x14ac:dyDescent="0.2">
      <c r="D103" s="293"/>
      <c r="E103" s="293"/>
    </row>
    <row r="104" spans="4:5" x14ac:dyDescent="0.2">
      <c r="D104" s="293"/>
      <c r="E104" s="293"/>
    </row>
    <row r="105" spans="4:5" x14ac:dyDescent="0.2">
      <c r="D105" s="293"/>
      <c r="E105" s="293"/>
    </row>
    <row r="106" spans="4:5" x14ac:dyDescent="0.2">
      <c r="D106" s="293"/>
      <c r="E106" s="293"/>
    </row>
    <row r="107" spans="4:5" x14ac:dyDescent="0.2">
      <c r="D107" s="293"/>
      <c r="E107" s="293"/>
    </row>
    <row r="108" spans="4:5" x14ac:dyDescent="0.2">
      <c r="D108" s="293"/>
      <c r="E108" s="293"/>
    </row>
    <row r="109" spans="4:5" x14ac:dyDescent="0.2">
      <c r="D109" s="293"/>
      <c r="E109" s="293"/>
    </row>
    <row r="110" spans="4:5" x14ac:dyDescent="0.2">
      <c r="D110" s="293"/>
      <c r="E110" s="293"/>
    </row>
    <row r="111" spans="4:5" x14ac:dyDescent="0.2">
      <c r="D111" s="293"/>
      <c r="E111" s="293"/>
    </row>
    <row r="112" spans="4:5" x14ac:dyDescent="0.2">
      <c r="D112" s="293"/>
      <c r="E112" s="293"/>
    </row>
    <row r="113" spans="4:5" x14ac:dyDescent="0.2">
      <c r="D113" s="293"/>
      <c r="E113" s="293"/>
    </row>
    <row r="114" spans="4:5" x14ac:dyDescent="0.2">
      <c r="D114" s="293"/>
      <c r="E114" s="293"/>
    </row>
    <row r="115" spans="4:5" x14ac:dyDescent="0.2">
      <c r="D115" s="293"/>
      <c r="E115" s="293"/>
    </row>
    <row r="116" spans="4:5" x14ac:dyDescent="0.2">
      <c r="D116" s="293"/>
      <c r="E116" s="293"/>
    </row>
    <row r="117" spans="4:5" x14ac:dyDescent="0.2">
      <c r="D117" s="293"/>
      <c r="E117" s="293"/>
    </row>
    <row r="118" spans="4:5" x14ac:dyDescent="0.2">
      <c r="D118" s="293"/>
      <c r="E118" s="293"/>
    </row>
    <row r="119" spans="4:5" x14ac:dyDescent="0.2">
      <c r="D119" s="293"/>
      <c r="E119" s="293"/>
    </row>
    <row r="120" spans="4:5" x14ac:dyDescent="0.2">
      <c r="D120" s="293"/>
      <c r="E120" s="293"/>
    </row>
    <row r="121" spans="4:5" x14ac:dyDescent="0.2">
      <c r="D121" s="293"/>
      <c r="E121" s="293"/>
    </row>
    <row r="122" spans="4:5" x14ac:dyDescent="0.2">
      <c r="D122" s="293"/>
      <c r="E122" s="293"/>
    </row>
    <row r="123" spans="4:5" x14ac:dyDescent="0.2">
      <c r="D123" s="293"/>
      <c r="E123" s="293"/>
    </row>
    <row r="124" spans="4:5" x14ac:dyDescent="0.2">
      <c r="D124" s="293"/>
      <c r="E124" s="293"/>
    </row>
    <row r="125" spans="4:5" x14ac:dyDescent="0.2">
      <c r="D125" s="293"/>
      <c r="E125" s="293"/>
    </row>
    <row r="126" spans="4:5" x14ac:dyDescent="0.2">
      <c r="D126" s="293"/>
      <c r="E126" s="293"/>
    </row>
    <row r="127" spans="4:5" x14ac:dyDescent="0.2">
      <c r="D127" s="293"/>
      <c r="E127" s="293"/>
    </row>
    <row r="128" spans="4:5" x14ac:dyDescent="0.2">
      <c r="D128" s="293"/>
      <c r="E128" s="293"/>
    </row>
    <row r="129" spans="4:5" x14ac:dyDescent="0.2">
      <c r="D129" s="293"/>
      <c r="E129" s="293"/>
    </row>
    <row r="130" spans="4:5" x14ac:dyDescent="0.2">
      <c r="D130" s="293"/>
      <c r="E130" s="293"/>
    </row>
    <row r="131" spans="4:5" x14ac:dyDescent="0.2">
      <c r="D131" s="293"/>
      <c r="E131" s="293"/>
    </row>
    <row r="132" spans="4:5" x14ac:dyDescent="0.2">
      <c r="D132" s="293"/>
      <c r="E132" s="293"/>
    </row>
    <row r="133" spans="4:5" x14ac:dyDescent="0.2">
      <c r="D133" s="293"/>
      <c r="E133" s="293"/>
    </row>
    <row r="134" spans="4:5" x14ac:dyDescent="0.2">
      <c r="D134" s="293"/>
      <c r="E134" s="293"/>
    </row>
    <row r="135" spans="4:5" x14ac:dyDescent="0.2">
      <c r="D135" s="293"/>
      <c r="E135" s="293"/>
    </row>
    <row r="136" spans="4:5" x14ac:dyDescent="0.2">
      <c r="D136" s="293"/>
      <c r="E136" s="293"/>
    </row>
    <row r="137" spans="4:5" x14ac:dyDescent="0.2">
      <c r="D137" s="293"/>
      <c r="E137" s="293"/>
    </row>
    <row r="138" spans="4:5" x14ac:dyDescent="0.2">
      <c r="D138" s="293"/>
      <c r="E138" s="293"/>
    </row>
    <row r="139" spans="4:5" x14ac:dyDescent="0.2">
      <c r="D139" s="293"/>
      <c r="E139" s="293"/>
    </row>
    <row r="140" spans="4:5" x14ac:dyDescent="0.2">
      <c r="D140" s="440"/>
      <c r="E140" s="440"/>
    </row>
    <row r="141" spans="4:5" x14ac:dyDescent="0.2">
      <c r="D141" s="440"/>
      <c r="E141" s="440"/>
    </row>
    <row r="142" spans="4:5" x14ac:dyDescent="0.2">
      <c r="D142" s="440"/>
      <c r="E142" s="440"/>
    </row>
    <row r="143" spans="4:5" x14ac:dyDescent="0.2">
      <c r="D143" s="440"/>
      <c r="E143" s="440"/>
    </row>
    <row r="144" spans="4:5" x14ac:dyDescent="0.2">
      <c r="D144" s="440"/>
      <c r="E144" s="440"/>
    </row>
    <row r="145" spans="4:5" x14ac:dyDescent="0.2">
      <c r="D145" s="440"/>
      <c r="E145" s="440"/>
    </row>
    <row r="146" spans="4:5" x14ac:dyDescent="0.2">
      <c r="D146" s="440"/>
      <c r="E146" s="440"/>
    </row>
  </sheetData>
  <sheetProtection formatCells="0"/>
  <mergeCells count="1">
    <mergeCell ref="A2:C2"/>
  </mergeCells>
  <phoneticPr fontId="2" type="noConversion"/>
  <hyperlinks>
    <hyperlink ref="A2" location="Index!A1" display="Back to Index" xr:uid="{FFC7FFC7-9E43-444E-BB17-AC5909A66CC3}"/>
  </hyperlinks>
  <pageMargins left="0.51181102362204722" right="0.35433070866141736" top="0.98425196850393704" bottom="0.98425196850393704" header="0.51181102362204722" footer="0.51181102362204722"/>
  <pageSetup orientation="landscape" r:id="rId1"/>
  <headerFooter alignWithMargins="0">
    <oddFooter>&amp;L&amp;Z&amp;F&amp;A&amp;R&amp;D&amp;T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4F36-12FF-4DE9-BC96-C948D4C9C144}">
  <sheetPr>
    <tabColor indexed="18"/>
    <pageSetUpPr fitToPage="1"/>
  </sheetPr>
  <dimension ref="A1:M150"/>
  <sheetViews>
    <sheetView showGridLines="0" zoomScaleNormal="100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4" style="286" customWidth="1"/>
    <col min="2" max="2" width="4.42578125" style="286" customWidth="1"/>
    <col min="3" max="3" width="41.42578125" style="321" customWidth="1"/>
    <col min="4" max="5" width="11.42578125" style="8" customWidth="1"/>
    <col min="6" max="8" width="11.42578125" style="286" customWidth="1"/>
    <col min="9" max="9" width="2.85546875" style="286" customWidth="1"/>
    <col min="10" max="16384" width="9.42578125" style="286"/>
  </cols>
  <sheetData>
    <row r="1" spans="1:9" s="4" customFormat="1" ht="20.25" x14ac:dyDescent="0.3">
      <c r="A1" s="3" t="s">
        <v>28</v>
      </c>
      <c r="D1" s="331"/>
      <c r="E1" s="331"/>
    </row>
    <row r="2" spans="1:9" s="6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382" t="s">
        <v>37</v>
      </c>
      <c r="G2" s="332" t="s">
        <v>467</v>
      </c>
      <c r="H2" s="332" t="s">
        <v>468</v>
      </c>
    </row>
    <row r="3" spans="1:9" s="341" customFormat="1" ht="5.0999999999999996" customHeight="1" x14ac:dyDescent="0.25">
      <c r="A3" s="291"/>
      <c r="D3" s="428"/>
      <c r="E3" s="24"/>
    </row>
    <row r="4" spans="1:9" s="341" customFormat="1" ht="14.25" customHeight="1" x14ac:dyDescent="0.25">
      <c r="A4" s="291" t="s">
        <v>283</v>
      </c>
      <c r="D4" s="532"/>
      <c r="E4" s="295"/>
    </row>
    <row r="5" spans="1:9" x14ac:dyDescent="0.2">
      <c r="B5" s="496" t="s">
        <v>40</v>
      </c>
      <c r="C5" s="286"/>
      <c r="D5" s="151">
        <v>575</v>
      </c>
      <c r="E5" s="219">
        <v>597</v>
      </c>
      <c r="F5" s="219">
        <v>602</v>
      </c>
      <c r="G5" s="296">
        <v>-4.4850498338870448</v>
      </c>
      <c r="H5" s="296">
        <v>-3.68509212730318</v>
      </c>
      <c r="I5" s="391"/>
    </row>
    <row r="6" spans="1:9" x14ac:dyDescent="0.2">
      <c r="B6" s="496" t="s">
        <v>41</v>
      </c>
      <c r="C6" s="286"/>
      <c r="D6" s="151">
        <v>161</v>
      </c>
      <c r="E6" s="219">
        <v>148</v>
      </c>
      <c r="F6" s="219">
        <v>165</v>
      </c>
      <c r="G6" s="296">
        <v>-2.4242424242424288</v>
      </c>
      <c r="H6" s="296">
        <v>8.7837837837837931</v>
      </c>
      <c r="I6" s="391"/>
    </row>
    <row r="7" spans="1:9" x14ac:dyDescent="0.2">
      <c r="B7" s="496" t="s">
        <v>114</v>
      </c>
      <c r="C7" s="286"/>
      <c r="D7" s="151">
        <v>79</v>
      </c>
      <c r="E7" s="219">
        <v>56</v>
      </c>
      <c r="F7" s="219">
        <v>130</v>
      </c>
      <c r="G7" s="296">
        <v>-39.230769230769234</v>
      </c>
      <c r="H7" s="296">
        <v>41.071428571428584</v>
      </c>
      <c r="I7" s="391"/>
    </row>
    <row r="8" spans="1:9" s="294" customFormat="1" ht="15" x14ac:dyDescent="0.25">
      <c r="B8" s="518" t="s">
        <v>44</v>
      </c>
      <c r="D8" s="113">
        <v>815</v>
      </c>
      <c r="E8" s="220">
        <v>801</v>
      </c>
      <c r="F8" s="220">
        <v>897</v>
      </c>
      <c r="G8" s="296">
        <v>-9.1415830546265333</v>
      </c>
      <c r="H8" s="296">
        <v>1.7478152309613026</v>
      </c>
      <c r="I8" s="385"/>
    </row>
    <row r="9" spans="1:9" x14ac:dyDescent="0.2">
      <c r="B9" s="496" t="s">
        <v>7</v>
      </c>
      <c r="C9" s="286"/>
      <c r="D9" s="151">
        <v>449</v>
      </c>
      <c r="E9" s="219">
        <v>482</v>
      </c>
      <c r="F9" s="219">
        <v>474</v>
      </c>
      <c r="G9" s="296">
        <v>-5.2742616033755301</v>
      </c>
      <c r="H9" s="296">
        <v>-6.846473029045641</v>
      </c>
      <c r="I9" s="391"/>
    </row>
    <row r="10" spans="1:9" x14ac:dyDescent="0.2">
      <c r="B10" s="496" t="s">
        <v>46</v>
      </c>
      <c r="C10" s="286"/>
      <c r="D10" s="151">
        <v>0</v>
      </c>
      <c r="E10" s="219">
        <v>0</v>
      </c>
      <c r="F10" s="219">
        <v>0</v>
      </c>
      <c r="G10" s="296">
        <v>0</v>
      </c>
      <c r="H10" s="296">
        <v>0</v>
      </c>
      <c r="I10" s="391"/>
    </row>
    <row r="11" spans="1:9" x14ac:dyDescent="0.2">
      <c r="B11" s="496" t="s">
        <v>8</v>
      </c>
      <c r="C11" s="286"/>
      <c r="D11" s="151">
        <v>51</v>
      </c>
      <c r="E11" s="219">
        <v>127</v>
      </c>
      <c r="F11" s="219">
        <v>93</v>
      </c>
      <c r="G11" s="296">
        <v>-45.161290322580648</v>
      </c>
      <c r="H11" s="296">
        <v>-59.842519685039377</v>
      </c>
      <c r="I11" s="391"/>
    </row>
    <row r="12" spans="1:9" x14ac:dyDescent="0.2">
      <c r="B12" s="496" t="s">
        <v>284</v>
      </c>
      <c r="C12" s="286"/>
      <c r="D12" s="151">
        <v>0</v>
      </c>
      <c r="E12" s="219">
        <v>0</v>
      </c>
      <c r="F12" s="219">
        <v>0</v>
      </c>
      <c r="G12" s="296">
        <v>0</v>
      </c>
      <c r="H12" s="296">
        <v>0</v>
      </c>
      <c r="I12" s="391"/>
    </row>
    <row r="13" spans="1:9" s="294" customFormat="1" ht="15" x14ac:dyDescent="0.25">
      <c r="B13" s="341" t="s">
        <v>50</v>
      </c>
      <c r="D13" s="113">
        <v>315</v>
      </c>
      <c r="E13" s="220">
        <v>192</v>
      </c>
      <c r="F13" s="220">
        <v>330</v>
      </c>
      <c r="G13" s="296">
        <v>-4.5454545454545414</v>
      </c>
      <c r="H13" s="296">
        <v>64.0625</v>
      </c>
      <c r="I13" s="385"/>
    </row>
    <row r="14" spans="1:9" ht="13.35" customHeight="1" x14ac:dyDescent="0.2">
      <c r="B14" s="287" t="s">
        <v>285</v>
      </c>
      <c r="C14" s="286"/>
      <c r="D14" s="151">
        <v>69</v>
      </c>
      <c r="E14" s="219">
        <v>33</v>
      </c>
      <c r="F14" s="219">
        <v>76</v>
      </c>
      <c r="G14" s="296">
        <v>-9.210526315789469</v>
      </c>
      <c r="H14" s="296" t="s">
        <v>494</v>
      </c>
      <c r="I14" s="391"/>
    </row>
    <row r="15" spans="1:9" s="294" customFormat="1" ht="15" x14ac:dyDescent="0.25">
      <c r="B15" s="341" t="s">
        <v>286</v>
      </c>
      <c r="D15" s="113">
        <v>246</v>
      </c>
      <c r="E15" s="220">
        <v>159</v>
      </c>
      <c r="F15" s="220">
        <v>254</v>
      </c>
      <c r="G15" s="296">
        <v>-3.1496062992126039</v>
      </c>
      <c r="H15" s="296">
        <v>54.716981132075482</v>
      </c>
      <c r="I15" s="385"/>
    </row>
    <row r="16" spans="1:9" x14ac:dyDescent="0.2">
      <c r="C16" s="286"/>
      <c r="D16" s="151"/>
      <c r="E16" s="296"/>
      <c r="F16" s="302"/>
      <c r="G16" s="339"/>
      <c r="H16" s="339"/>
      <c r="I16" s="391"/>
    </row>
    <row r="17" spans="1:13" s="341" customFormat="1" ht="14.25" customHeight="1" x14ac:dyDescent="0.25">
      <c r="A17" s="291" t="s">
        <v>279</v>
      </c>
      <c r="D17" s="151"/>
      <c r="E17" s="386"/>
      <c r="F17" s="533"/>
      <c r="G17" s="339"/>
      <c r="H17" s="339"/>
      <c r="I17" s="362"/>
    </row>
    <row r="18" spans="1:13" x14ac:dyDescent="0.2">
      <c r="B18" s="496" t="s">
        <v>287</v>
      </c>
      <c r="C18" s="286"/>
      <c r="D18" s="151">
        <v>27428</v>
      </c>
      <c r="E18" s="296">
        <v>25560</v>
      </c>
      <c r="F18" s="296">
        <v>25260</v>
      </c>
      <c r="G18" s="296">
        <v>8.5827395091053091</v>
      </c>
      <c r="H18" s="296">
        <v>7.3082942097026704</v>
      </c>
      <c r="I18" s="391"/>
      <c r="K18" s="451"/>
      <c r="L18" s="451"/>
      <c r="M18" s="451"/>
    </row>
    <row r="19" spans="1:13" x14ac:dyDescent="0.2">
      <c r="B19" s="496" t="s">
        <v>280</v>
      </c>
      <c r="C19" s="286"/>
      <c r="D19" s="151">
        <v>45918</v>
      </c>
      <c r="E19" s="296">
        <v>42270</v>
      </c>
      <c r="F19" s="296">
        <v>41419</v>
      </c>
      <c r="G19" s="296">
        <v>10.862164707018529</v>
      </c>
      <c r="H19" s="296">
        <v>8.6302342086586279</v>
      </c>
      <c r="I19" s="391"/>
    </row>
    <row r="20" spans="1:13" x14ac:dyDescent="0.2">
      <c r="B20" s="496" t="s">
        <v>56</v>
      </c>
      <c r="C20" s="286"/>
      <c r="D20" s="151">
        <v>46068</v>
      </c>
      <c r="E20" s="296">
        <v>42427</v>
      </c>
      <c r="F20" s="296">
        <v>41582</v>
      </c>
      <c r="G20" s="296">
        <v>10.78832187003993</v>
      </c>
      <c r="H20" s="296">
        <v>8.5817993259009526</v>
      </c>
      <c r="I20" s="391"/>
    </row>
    <row r="21" spans="1:13" x14ac:dyDescent="0.2">
      <c r="D21" s="534"/>
      <c r="F21" s="391"/>
      <c r="G21" s="315"/>
      <c r="H21" s="315"/>
      <c r="I21" s="391"/>
    </row>
    <row r="22" spans="1:13" x14ac:dyDescent="0.2">
      <c r="B22" s="70"/>
      <c r="C22" s="70"/>
      <c r="D22" s="535"/>
      <c r="E22" s="535"/>
    </row>
    <row r="23" spans="1:13" x14ac:dyDescent="0.2">
      <c r="B23" s="536" t="s">
        <v>119</v>
      </c>
      <c r="C23" s="70" t="s">
        <v>469</v>
      </c>
      <c r="D23" s="525"/>
      <c r="E23" s="525"/>
    </row>
    <row r="24" spans="1:13" x14ac:dyDescent="0.2">
      <c r="D24" s="528"/>
      <c r="E24" s="528"/>
    </row>
    <row r="25" spans="1:13" x14ac:dyDescent="0.2">
      <c r="D25" s="529"/>
      <c r="E25" s="529"/>
    </row>
    <row r="26" spans="1:13" x14ac:dyDescent="0.2">
      <c r="D26" s="528"/>
      <c r="E26" s="528"/>
    </row>
    <row r="27" spans="1:13" x14ac:dyDescent="0.2">
      <c r="D27" s="530"/>
      <c r="E27" s="530"/>
    </row>
    <row r="28" spans="1:13" x14ac:dyDescent="0.2">
      <c r="D28" s="531"/>
      <c r="E28" s="531"/>
    </row>
    <row r="29" spans="1:13" x14ac:dyDescent="0.2">
      <c r="D29" s="530"/>
      <c r="E29" s="530"/>
    </row>
    <row r="30" spans="1:13" x14ac:dyDescent="0.2">
      <c r="D30" s="531"/>
      <c r="E30" s="531"/>
    </row>
    <row r="31" spans="1:13" x14ac:dyDescent="0.2">
      <c r="D31" s="530"/>
      <c r="E31" s="530"/>
    </row>
    <row r="32" spans="1:13" x14ac:dyDescent="0.2">
      <c r="D32" s="293"/>
      <c r="E32" s="293"/>
    </row>
    <row r="33" spans="4:5" x14ac:dyDescent="0.2">
      <c r="D33" s="293"/>
      <c r="E33" s="293"/>
    </row>
    <row r="34" spans="4:5" x14ac:dyDescent="0.2">
      <c r="D34" s="293"/>
      <c r="E34" s="293"/>
    </row>
    <row r="35" spans="4:5" x14ac:dyDescent="0.2">
      <c r="D35" s="293"/>
      <c r="E35" s="293"/>
    </row>
    <row r="36" spans="4:5" x14ac:dyDescent="0.2">
      <c r="D36" s="293"/>
      <c r="E36" s="293"/>
    </row>
    <row r="37" spans="4:5" x14ac:dyDescent="0.2">
      <c r="D37" s="293"/>
      <c r="E37" s="293"/>
    </row>
    <row r="38" spans="4:5" x14ac:dyDescent="0.2">
      <c r="D38" s="293"/>
      <c r="E38" s="293"/>
    </row>
    <row r="39" spans="4:5" x14ac:dyDescent="0.2">
      <c r="D39" s="293"/>
      <c r="E39" s="293"/>
    </row>
    <row r="40" spans="4:5" x14ac:dyDescent="0.2">
      <c r="D40" s="293"/>
      <c r="E40" s="293"/>
    </row>
    <row r="41" spans="4:5" x14ac:dyDescent="0.2">
      <c r="D41" s="293"/>
      <c r="E41" s="293"/>
    </row>
    <row r="42" spans="4:5" x14ac:dyDescent="0.2">
      <c r="D42" s="293"/>
      <c r="E42" s="293"/>
    </row>
    <row r="43" spans="4:5" x14ac:dyDescent="0.2">
      <c r="D43" s="293"/>
      <c r="E43" s="293"/>
    </row>
    <row r="44" spans="4:5" x14ac:dyDescent="0.2">
      <c r="D44" s="293"/>
      <c r="E44" s="293"/>
    </row>
    <row r="45" spans="4:5" x14ac:dyDescent="0.2">
      <c r="D45" s="293"/>
      <c r="E45" s="293"/>
    </row>
    <row r="46" spans="4:5" x14ac:dyDescent="0.2">
      <c r="D46" s="293"/>
      <c r="E46" s="293"/>
    </row>
    <row r="47" spans="4:5" x14ac:dyDescent="0.2">
      <c r="D47" s="293"/>
      <c r="E47" s="293"/>
    </row>
    <row r="48" spans="4:5" x14ac:dyDescent="0.2">
      <c r="D48" s="293"/>
      <c r="E48" s="293"/>
    </row>
    <row r="49" spans="4:5" x14ac:dyDescent="0.2">
      <c r="D49" s="293"/>
      <c r="E49" s="293"/>
    </row>
    <row r="50" spans="4:5" x14ac:dyDescent="0.2">
      <c r="D50" s="293"/>
      <c r="E50" s="293"/>
    </row>
    <row r="51" spans="4:5" x14ac:dyDescent="0.2">
      <c r="D51" s="293"/>
      <c r="E51" s="293"/>
    </row>
    <row r="52" spans="4:5" x14ac:dyDescent="0.2">
      <c r="D52" s="293"/>
      <c r="E52" s="293"/>
    </row>
    <row r="53" spans="4:5" x14ac:dyDescent="0.2">
      <c r="D53" s="293"/>
      <c r="E53" s="293"/>
    </row>
    <row r="54" spans="4:5" x14ac:dyDescent="0.2">
      <c r="D54" s="293"/>
      <c r="E54" s="293"/>
    </row>
    <row r="55" spans="4:5" x14ac:dyDescent="0.2">
      <c r="D55" s="293"/>
      <c r="E55" s="293"/>
    </row>
    <row r="56" spans="4:5" x14ac:dyDescent="0.2">
      <c r="D56" s="293"/>
      <c r="E56" s="293"/>
    </row>
    <row r="57" spans="4:5" x14ac:dyDescent="0.2">
      <c r="D57" s="293"/>
      <c r="E57" s="293"/>
    </row>
    <row r="58" spans="4:5" x14ac:dyDescent="0.2">
      <c r="D58" s="293"/>
      <c r="E58" s="293"/>
    </row>
    <row r="59" spans="4:5" x14ac:dyDescent="0.2">
      <c r="D59" s="293"/>
      <c r="E59" s="293"/>
    </row>
    <row r="60" spans="4:5" x14ac:dyDescent="0.2">
      <c r="D60" s="293"/>
      <c r="E60" s="293"/>
    </row>
    <row r="61" spans="4:5" x14ac:dyDescent="0.2">
      <c r="D61" s="293"/>
      <c r="E61" s="293"/>
    </row>
    <row r="62" spans="4:5" x14ac:dyDescent="0.2">
      <c r="D62" s="293"/>
      <c r="E62" s="293"/>
    </row>
    <row r="63" spans="4:5" x14ac:dyDescent="0.2">
      <c r="D63" s="293"/>
      <c r="E63" s="293"/>
    </row>
    <row r="64" spans="4:5" x14ac:dyDescent="0.2">
      <c r="D64" s="293"/>
      <c r="E64" s="293"/>
    </row>
    <row r="65" spans="4:5" x14ac:dyDescent="0.2">
      <c r="D65" s="293"/>
      <c r="E65" s="293"/>
    </row>
    <row r="66" spans="4:5" x14ac:dyDescent="0.2">
      <c r="D66" s="293"/>
      <c r="E66" s="293"/>
    </row>
    <row r="67" spans="4:5" x14ac:dyDescent="0.2">
      <c r="D67" s="293"/>
      <c r="E67" s="293"/>
    </row>
    <row r="68" spans="4:5" x14ac:dyDescent="0.2">
      <c r="D68" s="293"/>
      <c r="E68" s="293"/>
    </row>
    <row r="69" spans="4:5" x14ac:dyDescent="0.2">
      <c r="D69" s="293"/>
      <c r="E69" s="293"/>
    </row>
    <row r="70" spans="4:5" x14ac:dyDescent="0.2">
      <c r="D70" s="293"/>
      <c r="E70" s="293"/>
    </row>
    <row r="71" spans="4:5" x14ac:dyDescent="0.2">
      <c r="D71" s="293"/>
      <c r="E71" s="293"/>
    </row>
    <row r="72" spans="4:5" x14ac:dyDescent="0.2">
      <c r="D72" s="293"/>
      <c r="E72" s="293"/>
    </row>
    <row r="73" spans="4:5" x14ac:dyDescent="0.2">
      <c r="D73" s="293"/>
      <c r="E73" s="293"/>
    </row>
    <row r="74" spans="4:5" x14ac:dyDescent="0.2">
      <c r="D74" s="293"/>
      <c r="E74" s="293"/>
    </row>
    <row r="75" spans="4:5" x14ac:dyDescent="0.2">
      <c r="D75" s="293"/>
      <c r="E75" s="293"/>
    </row>
    <row r="76" spans="4:5" x14ac:dyDescent="0.2">
      <c r="D76" s="293"/>
      <c r="E76" s="293"/>
    </row>
    <row r="77" spans="4:5" x14ac:dyDescent="0.2">
      <c r="D77" s="293"/>
      <c r="E77" s="293"/>
    </row>
    <row r="78" spans="4:5" x14ac:dyDescent="0.2">
      <c r="D78" s="293"/>
      <c r="E78" s="293"/>
    </row>
    <row r="79" spans="4:5" x14ac:dyDescent="0.2">
      <c r="D79" s="293"/>
      <c r="E79" s="293"/>
    </row>
    <row r="80" spans="4:5" x14ac:dyDescent="0.2">
      <c r="D80" s="293"/>
      <c r="E80" s="293"/>
    </row>
    <row r="81" spans="4:5" x14ac:dyDescent="0.2">
      <c r="D81" s="293"/>
      <c r="E81" s="293"/>
    </row>
    <row r="82" spans="4:5" x14ac:dyDescent="0.2">
      <c r="D82" s="293"/>
      <c r="E82" s="293"/>
    </row>
    <row r="83" spans="4:5" x14ac:dyDescent="0.2">
      <c r="D83" s="293"/>
      <c r="E83" s="293"/>
    </row>
    <row r="84" spans="4:5" x14ac:dyDescent="0.2">
      <c r="D84" s="293"/>
      <c r="E84" s="293"/>
    </row>
    <row r="85" spans="4:5" x14ac:dyDescent="0.2">
      <c r="D85" s="293"/>
      <c r="E85" s="293"/>
    </row>
    <row r="86" spans="4:5" x14ac:dyDescent="0.2">
      <c r="D86" s="293"/>
      <c r="E86" s="293"/>
    </row>
    <row r="87" spans="4:5" x14ac:dyDescent="0.2">
      <c r="D87" s="293"/>
      <c r="E87" s="293"/>
    </row>
    <row r="88" spans="4:5" x14ac:dyDescent="0.2">
      <c r="D88" s="293"/>
      <c r="E88" s="293"/>
    </row>
    <row r="89" spans="4:5" x14ac:dyDescent="0.2">
      <c r="D89" s="293"/>
      <c r="E89" s="293"/>
    </row>
    <row r="90" spans="4:5" x14ac:dyDescent="0.2">
      <c r="D90" s="293"/>
      <c r="E90" s="293"/>
    </row>
    <row r="91" spans="4:5" x14ac:dyDescent="0.2">
      <c r="D91" s="293"/>
      <c r="E91" s="293"/>
    </row>
    <row r="92" spans="4:5" x14ac:dyDescent="0.2">
      <c r="D92" s="293"/>
      <c r="E92" s="293"/>
    </row>
    <row r="93" spans="4:5" x14ac:dyDescent="0.2">
      <c r="D93" s="293"/>
      <c r="E93" s="293"/>
    </row>
    <row r="94" spans="4:5" x14ac:dyDescent="0.2">
      <c r="D94" s="293"/>
      <c r="E94" s="293"/>
    </row>
    <row r="95" spans="4:5" x14ac:dyDescent="0.2">
      <c r="D95" s="293"/>
      <c r="E95" s="293"/>
    </row>
    <row r="96" spans="4:5" x14ac:dyDescent="0.2">
      <c r="D96" s="293"/>
      <c r="E96" s="293"/>
    </row>
    <row r="97" spans="4:5" x14ac:dyDescent="0.2">
      <c r="D97" s="293"/>
      <c r="E97" s="293"/>
    </row>
    <row r="98" spans="4:5" x14ac:dyDescent="0.2">
      <c r="D98" s="293"/>
      <c r="E98" s="293"/>
    </row>
    <row r="99" spans="4:5" x14ac:dyDescent="0.2">
      <c r="D99" s="293"/>
      <c r="E99" s="293"/>
    </row>
    <row r="100" spans="4:5" x14ac:dyDescent="0.2">
      <c r="D100" s="293"/>
      <c r="E100" s="293"/>
    </row>
    <row r="101" spans="4:5" x14ac:dyDescent="0.2">
      <c r="D101" s="293"/>
      <c r="E101" s="293"/>
    </row>
    <row r="102" spans="4:5" x14ac:dyDescent="0.2">
      <c r="D102" s="293"/>
      <c r="E102" s="293"/>
    </row>
    <row r="103" spans="4:5" x14ac:dyDescent="0.2">
      <c r="D103" s="293"/>
      <c r="E103" s="293"/>
    </row>
    <row r="104" spans="4:5" x14ac:dyDescent="0.2">
      <c r="D104" s="293"/>
      <c r="E104" s="293"/>
    </row>
    <row r="105" spans="4:5" x14ac:dyDescent="0.2">
      <c r="D105" s="293"/>
      <c r="E105" s="293"/>
    </row>
    <row r="106" spans="4:5" x14ac:dyDescent="0.2">
      <c r="D106" s="293"/>
      <c r="E106" s="293"/>
    </row>
    <row r="107" spans="4:5" x14ac:dyDescent="0.2">
      <c r="D107" s="293"/>
      <c r="E107" s="293"/>
    </row>
    <row r="108" spans="4:5" x14ac:dyDescent="0.2">
      <c r="D108" s="293"/>
      <c r="E108" s="293"/>
    </row>
    <row r="109" spans="4:5" x14ac:dyDescent="0.2">
      <c r="D109" s="293"/>
      <c r="E109" s="293"/>
    </row>
    <row r="110" spans="4:5" x14ac:dyDescent="0.2">
      <c r="D110" s="293"/>
      <c r="E110" s="293"/>
    </row>
    <row r="111" spans="4:5" x14ac:dyDescent="0.2">
      <c r="D111" s="293"/>
      <c r="E111" s="293"/>
    </row>
    <row r="112" spans="4:5" x14ac:dyDescent="0.2">
      <c r="D112" s="293"/>
      <c r="E112" s="293"/>
    </row>
    <row r="113" spans="4:5" x14ac:dyDescent="0.2">
      <c r="D113" s="293"/>
      <c r="E113" s="293"/>
    </row>
    <row r="114" spans="4:5" x14ac:dyDescent="0.2">
      <c r="D114" s="293"/>
      <c r="E114" s="293"/>
    </row>
    <row r="115" spans="4:5" x14ac:dyDescent="0.2">
      <c r="D115" s="293"/>
      <c r="E115" s="293"/>
    </row>
    <row r="116" spans="4:5" x14ac:dyDescent="0.2">
      <c r="D116" s="293"/>
      <c r="E116" s="293"/>
    </row>
    <row r="117" spans="4:5" x14ac:dyDescent="0.2">
      <c r="D117" s="293"/>
      <c r="E117" s="293"/>
    </row>
    <row r="118" spans="4:5" x14ac:dyDescent="0.2">
      <c r="D118" s="293"/>
      <c r="E118" s="293"/>
    </row>
    <row r="119" spans="4:5" x14ac:dyDescent="0.2">
      <c r="D119" s="293"/>
      <c r="E119" s="293"/>
    </row>
    <row r="120" spans="4:5" x14ac:dyDescent="0.2">
      <c r="D120" s="293"/>
      <c r="E120" s="293"/>
    </row>
    <row r="121" spans="4:5" x14ac:dyDescent="0.2">
      <c r="D121" s="293"/>
      <c r="E121" s="293"/>
    </row>
    <row r="122" spans="4:5" x14ac:dyDescent="0.2">
      <c r="D122" s="293"/>
      <c r="E122" s="293"/>
    </row>
    <row r="123" spans="4:5" x14ac:dyDescent="0.2">
      <c r="D123" s="293"/>
      <c r="E123" s="293"/>
    </row>
    <row r="124" spans="4:5" x14ac:dyDescent="0.2">
      <c r="D124" s="293"/>
      <c r="E124" s="293"/>
    </row>
    <row r="125" spans="4:5" x14ac:dyDescent="0.2">
      <c r="D125" s="293"/>
      <c r="E125" s="293"/>
    </row>
    <row r="126" spans="4:5" x14ac:dyDescent="0.2">
      <c r="D126" s="293"/>
      <c r="E126" s="293"/>
    </row>
    <row r="127" spans="4:5" x14ac:dyDescent="0.2">
      <c r="D127" s="293"/>
      <c r="E127" s="293"/>
    </row>
    <row r="128" spans="4:5" x14ac:dyDescent="0.2">
      <c r="D128" s="293"/>
      <c r="E128" s="293"/>
    </row>
    <row r="129" spans="4:5" x14ac:dyDescent="0.2">
      <c r="D129" s="293"/>
      <c r="E129" s="293"/>
    </row>
    <row r="130" spans="4:5" x14ac:dyDescent="0.2">
      <c r="D130" s="293"/>
      <c r="E130" s="293"/>
    </row>
    <row r="131" spans="4:5" x14ac:dyDescent="0.2">
      <c r="D131" s="293"/>
      <c r="E131" s="293"/>
    </row>
    <row r="132" spans="4:5" x14ac:dyDescent="0.2">
      <c r="D132" s="293"/>
      <c r="E132" s="293"/>
    </row>
    <row r="133" spans="4:5" x14ac:dyDescent="0.2">
      <c r="D133" s="293"/>
      <c r="E133" s="293"/>
    </row>
    <row r="134" spans="4:5" x14ac:dyDescent="0.2">
      <c r="D134" s="293"/>
      <c r="E134" s="293"/>
    </row>
    <row r="135" spans="4:5" x14ac:dyDescent="0.2">
      <c r="D135" s="293"/>
      <c r="E135" s="293"/>
    </row>
    <row r="136" spans="4:5" x14ac:dyDescent="0.2">
      <c r="D136" s="293"/>
      <c r="E136" s="293"/>
    </row>
    <row r="137" spans="4:5" x14ac:dyDescent="0.2">
      <c r="D137" s="293"/>
      <c r="E137" s="293"/>
    </row>
    <row r="138" spans="4:5" x14ac:dyDescent="0.2">
      <c r="D138" s="293"/>
      <c r="E138" s="293"/>
    </row>
    <row r="139" spans="4:5" x14ac:dyDescent="0.2">
      <c r="D139" s="293"/>
      <c r="E139" s="293"/>
    </row>
    <row r="140" spans="4:5" x14ac:dyDescent="0.2">
      <c r="D140" s="293"/>
      <c r="E140" s="293"/>
    </row>
    <row r="141" spans="4:5" x14ac:dyDescent="0.2">
      <c r="D141" s="293"/>
      <c r="E141" s="293"/>
    </row>
    <row r="142" spans="4:5" x14ac:dyDescent="0.2">
      <c r="D142" s="293"/>
      <c r="E142" s="293"/>
    </row>
    <row r="143" spans="4:5" x14ac:dyDescent="0.2">
      <c r="D143" s="293"/>
      <c r="E143" s="293"/>
    </row>
    <row r="144" spans="4:5" x14ac:dyDescent="0.2">
      <c r="D144" s="440"/>
      <c r="E144" s="440"/>
    </row>
    <row r="145" spans="4:5" x14ac:dyDescent="0.2">
      <c r="D145" s="440"/>
      <c r="E145" s="440"/>
    </row>
    <row r="146" spans="4:5" x14ac:dyDescent="0.2">
      <c r="D146" s="440"/>
      <c r="E146" s="440"/>
    </row>
    <row r="147" spans="4:5" x14ac:dyDescent="0.2">
      <c r="D147" s="440"/>
      <c r="E147" s="440"/>
    </row>
    <row r="148" spans="4:5" x14ac:dyDescent="0.2">
      <c r="D148" s="440"/>
      <c r="E148" s="440"/>
    </row>
    <row r="149" spans="4:5" x14ac:dyDescent="0.2">
      <c r="D149" s="440"/>
      <c r="E149" s="440"/>
    </row>
    <row r="150" spans="4:5" x14ac:dyDescent="0.2">
      <c r="D150" s="440"/>
      <c r="E150" s="440"/>
    </row>
  </sheetData>
  <sheetProtection formatCells="0"/>
  <mergeCells count="1">
    <mergeCell ref="A2:C2"/>
  </mergeCells>
  <phoneticPr fontId="2" type="noConversion"/>
  <hyperlinks>
    <hyperlink ref="A2" location="Index!A1" display="Back to Index" xr:uid="{CC94F58D-553E-4738-8886-C9535A64E2DB}"/>
  </hyperlinks>
  <pageMargins left="0.31496062992125984" right="0.27559055118110237" top="0.98425196850393704" bottom="0.98425196850393704" header="0.51181102362204722" footer="0.51181102362204722"/>
  <pageSetup orientation="landscape" r:id="rId1"/>
  <headerFooter alignWithMargins="0">
    <oddFooter>&amp;L&amp;Z&amp;F&amp;A&amp;R&amp;D&amp;T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53D7-818B-41DD-A37D-38E600F4AF78}">
  <sheetPr>
    <tabColor indexed="18"/>
    <pageSetUpPr fitToPage="1"/>
  </sheetPr>
  <dimension ref="A1:M144"/>
  <sheetViews>
    <sheetView showGridLines="0" zoomScale="85" zoomScaleNormal="85" workbookViewId="0">
      <pane xSplit="3" ySplit="3" topLeftCell="D4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4" style="286" customWidth="1"/>
    <col min="2" max="2" width="4.42578125" style="286" customWidth="1"/>
    <col min="3" max="3" width="41.42578125" style="321" customWidth="1"/>
    <col min="4" max="5" width="11.42578125" style="8" customWidth="1"/>
    <col min="6" max="8" width="11.42578125" style="286" customWidth="1"/>
    <col min="9" max="9" width="2.85546875" style="286" customWidth="1"/>
    <col min="10" max="16384" width="9.42578125" style="286"/>
  </cols>
  <sheetData>
    <row r="1" spans="1:9" s="4" customFormat="1" ht="20.25" x14ac:dyDescent="0.3">
      <c r="A1" s="3" t="s">
        <v>136</v>
      </c>
      <c r="D1" s="331"/>
      <c r="E1" s="331"/>
    </row>
    <row r="2" spans="1:9" s="6" customFormat="1" ht="60" x14ac:dyDescent="0.25">
      <c r="A2" s="729" t="s">
        <v>34</v>
      </c>
      <c r="B2" s="729"/>
      <c r="C2" s="729"/>
      <c r="D2" s="284" t="s">
        <v>449</v>
      </c>
      <c r="E2" s="284" t="s">
        <v>450</v>
      </c>
      <c r="F2" s="382" t="s">
        <v>37</v>
      </c>
      <c r="G2" s="332" t="s">
        <v>467</v>
      </c>
      <c r="H2" s="332" t="s">
        <v>468</v>
      </c>
    </row>
    <row r="3" spans="1:9" s="341" customFormat="1" ht="6.75" customHeight="1" x14ac:dyDescent="0.25">
      <c r="A3" s="291"/>
      <c r="D3" s="333"/>
      <c r="E3" s="295"/>
    </row>
    <row r="4" spans="1:9" s="341" customFormat="1" ht="14.25" customHeight="1" x14ac:dyDescent="0.25">
      <c r="A4" s="291" t="s">
        <v>283</v>
      </c>
      <c r="D4" s="333"/>
      <c r="E4" s="295"/>
      <c r="G4" s="362"/>
      <c r="H4" s="362"/>
      <c r="I4" s="362"/>
    </row>
    <row r="5" spans="1:9" x14ac:dyDescent="0.2">
      <c r="B5" s="496" t="s">
        <v>40</v>
      </c>
      <c r="C5" s="286"/>
      <c r="D5" s="151">
        <v>344</v>
      </c>
      <c r="E5" s="296">
        <v>279</v>
      </c>
      <c r="F5" s="296">
        <v>279</v>
      </c>
      <c r="G5" s="296">
        <v>23.297491039426532</v>
      </c>
      <c r="H5" s="296">
        <v>23.297491039426532</v>
      </c>
      <c r="I5" s="391"/>
    </row>
    <row r="6" spans="1:9" x14ac:dyDescent="0.2">
      <c r="B6" s="496" t="s">
        <v>41</v>
      </c>
      <c r="C6" s="391"/>
      <c r="D6" s="151">
        <v>85</v>
      </c>
      <c r="E6" s="296">
        <v>70</v>
      </c>
      <c r="F6" s="296">
        <v>59</v>
      </c>
      <c r="G6" s="296">
        <v>44.067796610169488</v>
      </c>
      <c r="H6" s="296">
        <v>21.42857142857142</v>
      </c>
      <c r="I6" s="391"/>
    </row>
    <row r="7" spans="1:9" x14ac:dyDescent="0.2">
      <c r="B7" s="496" t="s">
        <v>114</v>
      </c>
      <c r="C7" s="391"/>
      <c r="D7" s="151">
        <v>45</v>
      </c>
      <c r="E7" s="296">
        <v>67</v>
      </c>
      <c r="F7" s="296">
        <v>82</v>
      </c>
      <c r="G7" s="296">
        <v>-45.121951219512191</v>
      </c>
      <c r="H7" s="296">
        <v>-32.835820895522382</v>
      </c>
      <c r="I7" s="391"/>
    </row>
    <row r="8" spans="1:9" s="294" customFormat="1" ht="15" x14ac:dyDescent="0.25">
      <c r="B8" s="518" t="s">
        <v>44</v>
      </c>
      <c r="D8" s="113">
        <v>474</v>
      </c>
      <c r="E8" s="386">
        <v>416</v>
      </c>
      <c r="F8" s="386">
        <v>420</v>
      </c>
      <c r="G8" s="296">
        <v>12.857142857142856</v>
      </c>
      <c r="H8" s="296">
        <v>13.942307692307686</v>
      </c>
      <c r="I8" s="385"/>
    </row>
    <row r="9" spans="1:9" x14ac:dyDescent="0.2">
      <c r="B9" s="496" t="s">
        <v>7</v>
      </c>
      <c r="C9" s="286"/>
      <c r="D9" s="151">
        <v>84</v>
      </c>
      <c r="E9" s="296">
        <v>97</v>
      </c>
      <c r="F9" s="296">
        <v>83</v>
      </c>
      <c r="G9" s="296">
        <v>1.2048192771084265</v>
      </c>
      <c r="H9" s="296">
        <v>-13.4020618556701</v>
      </c>
      <c r="I9" s="391"/>
    </row>
    <row r="10" spans="1:9" x14ac:dyDescent="0.2">
      <c r="B10" s="496" t="s">
        <v>46</v>
      </c>
      <c r="C10" s="286"/>
      <c r="D10" s="151">
        <v>0</v>
      </c>
      <c r="E10" s="296">
        <v>0</v>
      </c>
      <c r="F10" s="296">
        <v>0</v>
      </c>
      <c r="G10" s="296">
        <v>0</v>
      </c>
      <c r="H10" s="296">
        <v>0</v>
      </c>
      <c r="I10" s="391"/>
    </row>
    <row r="11" spans="1:9" x14ac:dyDescent="0.2">
      <c r="B11" s="496" t="s">
        <v>8</v>
      </c>
      <c r="C11" s="286"/>
      <c r="D11" s="151">
        <v>13</v>
      </c>
      <c r="E11" s="130">
        <v>-16</v>
      </c>
      <c r="F11" s="130">
        <v>126</v>
      </c>
      <c r="G11" s="296">
        <v>-89.682539682539684</v>
      </c>
      <c r="H11" s="296" t="s">
        <v>151</v>
      </c>
      <c r="I11" s="391"/>
    </row>
    <row r="12" spans="1:9" x14ac:dyDescent="0.2">
      <c r="B12" s="496" t="s">
        <v>284</v>
      </c>
      <c r="C12" s="286"/>
      <c r="D12" s="151">
        <v>3</v>
      </c>
      <c r="E12" s="130">
        <v>3</v>
      </c>
      <c r="F12" s="130">
        <v>0</v>
      </c>
      <c r="G12" s="296" t="s">
        <v>151</v>
      </c>
      <c r="H12" s="296">
        <v>0</v>
      </c>
      <c r="I12" s="391"/>
    </row>
    <row r="13" spans="1:9" s="294" customFormat="1" ht="15" x14ac:dyDescent="0.25">
      <c r="B13" s="341" t="s">
        <v>50</v>
      </c>
      <c r="D13" s="113">
        <v>380</v>
      </c>
      <c r="E13" s="386">
        <v>338</v>
      </c>
      <c r="F13" s="386">
        <v>211</v>
      </c>
      <c r="G13" s="296">
        <v>80.094786729857816</v>
      </c>
      <c r="H13" s="296">
        <v>12.426035502958577</v>
      </c>
      <c r="I13" s="385"/>
    </row>
    <row r="14" spans="1:9" x14ac:dyDescent="0.2">
      <c r="B14" s="287" t="s">
        <v>285</v>
      </c>
      <c r="C14" s="286"/>
      <c r="D14" s="151">
        <v>105</v>
      </c>
      <c r="E14" s="296">
        <v>92</v>
      </c>
      <c r="F14" s="296">
        <v>77</v>
      </c>
      <c r="G14" s="296">
        <v>36.363636363636353</v>
      </c>
      <c r="H14" s="296">
        <v>14.130434782608692</v>
      </c>
      <c r="I14" s="391"/>
    </row>
    <row r="15" spans="1:9" s="294" customFormat="1" ht="15" x14ac:dyDescent="0.25">
      <c r="B15" s="341" t="s">
        <v>286</v>
      </c>
      <c r="D15" s="113">
        <v>275</v>
      </c>
      <c r="E15" s="386">
        <v>246</v>
      </c>
      <c r="F15" s="386">
        <v>134</v>
      </c>
      <c r="G15" s="296" t="s">
        <v>494</v>
      </c>
      <c r="H15" s="296">
        <v>11.788617886178866</v>
      </c>
      <c r="I15" s="385"/>
    </row>
    <row r="16" spans="1:9" x14ac:dyDescent="0.2">
      <c r="C16" s="286"/>
      <c r="D16" s="151"/>
      <c r="E16" s="302"/>
      <c r="F16" s="302"/>
      <c r="G16" s="339"/>
      <c r="H16" s="339"/>
      <c r="I16" s="391"/>
    </row>
    <row r="17" spans="1:13" s="341" customFormat="1" ht="14.25" customHeight="1" x14ac:dyDescent="0.25">
      <c r="A17" s="291" t="s">
        <v>279</v>
      </c>
      <c r="D17" s="151"/>
      <c r="E17" s="533"/>
      <c r="F17" s="533"/>
      <c r="G17" s="339"/>
      <c r="H17" s="339"/>
      <c r="I17" s="362"/>
    </row>
    <row r="18" spans="1:13" x14ac:dyDescent="0.2">
      <c r="B18" s="496" t="s">
        <v>287</v>
      </c>
      <c r="C18" s="286"/>
      <c r="D18" s="151">
        <v>47671</v>
      </c>
      <c r="E18" s="296">
        <v>42756</v>
      </c>
      <c r="F18" s="296">
        <v>41434</v>
      </c>
      <c r="G18" s="296">
        <v>15.052855143119181</v>
      </c>
      <c r="H18" s="296">
        <v>11.495462625128638</v>
      </c>
      <c r="I18" s="391"/>
      <c r="K18" s="451"/>
      <c r="L18" s="451"/>
      <c r="M18" s="451"/>
    </row>
    <row r="19" spans="1:13" x14ac:dyDescent="0.2">
      <c r="B19" s="496" t="s">
        <v>280</v>
      </c>
      <c r="C19" s="286"/>
      <c r="D19" s="151">
        <v>70566</v>
      </c>
      <c r="E19" s="296">
        <v>65848</v>
      </c>
      <c r="F19" s="296">
        <v>63865</v>
      </c>
      <c r="G19" s="296">
        <v>10.492445001174344</v>
      </c>
      <c r="H19" s="296">
        <v>7.1649860284290989</v>
      </c>
      <c r="I19" s="391"/>
    </row>
    <row r="20" spans="1:13" x14ac:dyDescent="0.2">
      <c r="B20" s="496" t="s">
        <v>56</v>
      </c>
      <c r="C20" s="286"/>
      <c r="D20" s="151">
        <v>70566</v>
      </c>
      <c r="E20" s="296">
        <v>65848</v>
      </c>
      <c r="F20" s="296">
        <v>63865</v>
      </c>
      <c r="G20" s="296">
        <v>10.492445001174344</v>
      </c>
      <c r="H20" s="296">
        <v>7.1649860284290989</v>
      </c>
      <c r="I20" s="391"/>
    </row>
    <row r="21" spans="1:13" x14ac:dyDescent="0.2">
      <c r="B21" s="496"/>
      <c r="C21" s="286"/>
      <c r="D21" s="296"/>
      <c r="E21" s="296"/>
      <c r="F21" s="296"/>
      <c r="G21" s="296"/>
      <c r="H21" s="296"/>
      <c r="I21" s="391"/>
    </row>
    <row r="22" spans="1:13" x14ac:dyDescent="0.2">
      <c r="C22" s="286"/>
      <c r="D22" s="293"/>
      <c r="G22" s="315"/>
      <c r="H22" s="315"/>
      <c r="I22" s="391"/>
    </row>
    <row r="23" spans="1:13" x14ac:dyDescent="0.2">
      <c r="B23" s="70" t="s">
        <v>190</v>
      </c>
      <c r="C23" s="329" t="s">
        <v>152</v>
      </c>
      <c r="D23" s="537"/>
      <c r="E23" s="528"/>
      <c r="G23" s="391"/>
      <c r="H23" s="391"/>
      <c r="I23" s="391"/>
    </row>
    <row r="24" spans="1:13" x14ac:dyDescent="0.2">
      <c r="B24" s="536" t="s">
        <v>119</v>
      </c>
      <c r="C24" s="70" t="s">
        <v>469</v>
      </c>
      <c r="D24" s="525"/>
      <c r="E24" s="525"/>
    </row>
    <row r="25" spans="1:13" x14ac:dyDescent="0.2">
      <c r="D25" s="537"/>
      <c r="E25" s="528"/>
      <c r="G25" s="391"/>
      <c r="H25" s="391"/>
      <c r="I25" s="391"/>
    </row>
    <row r="26" spans="1:13" x14ac:dyDescent="0.2">
      <c r="D26" s="529"/>
      <c r="E26" s="529"/>
      <c r="G26" s="391"/>
      <c r="H26" s="391"/>
      <c r="I26" s="391"/>
    </row>
    <row r="27" spans="1:13" x14ac:dyDescent="0.2">
      <c r="D27" s="528"/>
      <c r="E27" s="528"/>
      <c r="G27" s="391"/>
      <c r="H27" s="391"/>
      <c r="I27" s="391"/>
    </row>
    <row r="28" spans="1:13" x14ac:dyDescent="0.2">
      <c r="D28" s="530"/>
      <c r="E28" s="530"/>
    </row>
    <row r="29" spans="1:13" x14ac:dyDescent="0.2">
      <c r="D29" s="531"/>
      <c r="E29" s="531"/>
    </row>
    <row r="30" spans="1:13" x14ac:dyDescent="0.2">
      <c r="D30" s="530"/>
      <c r="E30" s="530"/>
    </row>
    <row r="31" spans="1:13" x14ac:dyDescent="0.2">
      <c r="D31" s="531"/>
      <c r="E31" s="531"/>
    </row>
    <row r="32" spans="1:13" x14ac:dyDescent="0.2">
      <c r="D32" s="530"/>
      <c r="E32" s="530"/>
    </row>
    <row r="33" spans="4:5" x14ac:dyDescent="0.2">
      <c r="D33" s="293"/>
      <c r="E33" s="293"/>
    </row>
    <row r="34" spans="4:5" x14ac:dyDescent="0.2">
      <c r="D34" s="293"/>
      <c r="E34" s="293"/>
    </row>
    <row r="35" spans="4:5" x14ac:dyDescent="0.2">
      <c r="D35" s="293"/>
      <c r="E35" s="293"/>
    </row>
    <row r="36" spans="4:5" x14ac:dyDescent="0.2">
      <c r="D36" s="293"/>
      <c r="E36" s="293"/>
    </row>
    <row r="37" spans="4:5" x14ac:dyDescent="0.2">
      <c r="D37" s="293"/>
      <c r="E37" s="293"/>
    </row>
    <row r="38" spans="4:5" x14ac:dyDescent="0.2">
      <c r="D38" s="293"/>
      <c r="E38" s="293"/>
    </row>
    <row r="39" spans="4:5" x14ac:dyDescent="0.2">
      <c r="D39" s="293"/>
      <c r="E39" s="293"/>
    </row>
    <row r="40" spans="4:5" x14ac:dyDescent="0.2">
      <c r="D40" s="293"/>
      <c r="E40" s="293"/>
    </row>
    <row r="41" spans="4:5" x14ac:dyDescent="0.2">
      <c r="D41" s="293"/>
      <c r="E41" s="293"/>
    </row>
    <row r="42" spans="4:5" x14ac:dyDescent="0.2">
      <c r="D42" s="293"/>
      <c r="E42" s="293"/>
    </row>
    <row r="43" spans="4:5" x14ac:dyDescent="0.2">
      <c r="D43" s="293"/>
      <c r="E43" s="293"/>
    </row>
    <row r="44" spans="4:5" x14ac:dyDescent="0.2">
      <c r="D44" s="293"/>
      <c r="E44" s="293"/>
    </row>
    <row r="45" spans="4:5" x14ac:dyDescent="0.2">
      <c r="D45" s="293"/>
      <c r="E45" s="293"/>
    </row>
    <row r="46" spans="4:5" x14ac:dyDescent="0.2">
      <c r="D46" s="293"/>
      <c r="E46" s="293"/>
    </row>
    <row r="47" spans="4:5" x14ac:dyDescent="0.2">
      <c r="D47" s="293"/>
      <c r="E47" s="293"/>
    </row>
    <row r="48" spans="4:5" x14ac:dyDescent="0.2">
      <c r="D48" s="293"/>
      <c r="E48" s="293"/>
    </row>
    <row r="49" spans="4:5" x14ac:dyDescent="0.2">
      <c r="D49" s="293"/>
      <c r="E49" s="293"/>
    </row>
    <row r="50" spans="4:5" x14ac:dyDescent="0.2">
      <c r="D50" s="293"/>
      <c r="E50" s="293"/>
    </row>
    <row r="51" spans="4:5" x14ac:dyDescent="0.2">
      <c r="D51" s="293"/>
      <c r="E51" s="293"/>
    </row>
    <row r="52" spans="4:5" x14ac:dyDescent="0.2">
      <c r="D52" s="293"/>
      <c r="E52" s="293"/>
    </row>
    <row r="53" spans="4:5" x14ac:dyDescent="0.2">
      <c r="D53" s="293"/>
      <c r="E53" s="293"/>
    </row>
    <row r="54" spans="4:5" x14ac:dyDescent="0.2">
      <c r="D54" s="293"/>
      <c r="E54" s="293"/>
    </row>
    <row r="55" spans="4:5" x14ac:dyDescent="0.2">
      <c r="D55" s="293"/>
      <c r="E55" s="293"/>
    </row>
    <row r="56" spans="4:5" x14ac:dyDescent="0.2">
      <c r="D56" s="293"/>
      <c r="E56" s="293"/>
    </row>
    <row r="57" spans="4:5" x14ac:dyDescent="0.2">
      <c r="D57" s="293"/>
      <c r="E57" s="293"/>
    </row>
    <row r="58" spans="4:5" x14ac:dyDescent="0.2">
      <c r="D58" s="293"/>
      <c r="E58" s="293"/>
    </row>
    <row r="59" spans="4:5" x14ac:dyDescent="0.2">
      <c r="D59" s="293"/>
      <c r="E59" s="293"/>
    </row>
    <row r="60" spans="4:5" x14ac:dyDescent="0.2">
      <c r="D60" s="293"/>
      <c r="E60" s="293"/>
    </row>
    <row r="61" spans="4:5" x14ac:dyDescent="0.2">
      <c r="D61" s="293"/>
      <c r="E61" s="293"/>
    </row>
    <row r="62" spans="4:5" x14ac:dyDescent="0.2">
      <c r="D62" s="293"/>
      <c r="E62" s="293"/>
    </row>
    <row r="63" spans="4:5" x14ac:dyDescent="0.2">
      <c r="D63" s="293"/>
      <c r="E63" s="293"/>
    </row>
    <row r="64" spans="4:5" x14ac:dyDescent="0.2">
      <c r="D64" s="293"/>
      <c r="E64" s="293"/>
    </row>
    <row r="65" spans="4:5" x14ac:dyDescent="0.2">
      <c r="D65" s="293"/>
      <c r="E65" s="293"/>
    </row>
    <row r="66" spans="4:5" x14ac:dyDescent="0.2">
      <c r="D66" s="293"/>
      <c r="E66" s="293"/>
    </row>
    <row r="67" spans="4:5" x14ac:dyDescent="0.2">
      <c r="D67" s="293"/>
      <c r="E67" s="293"/>
    </row>
    <row r="68" spans="4:5" x14ac:dyDescent="0.2">
      <c r="D68" s="293"/>
      <c r="E68" s="293"/>
    </row>
    <row r="69" spans="4:5" x14ac:dyDescent="0.2">
      <c r="D69" s="293"/>
      <c r="E69" s="293"/>
    </row>
    <row r="70" spans="4:5" x14ac:dyDescent="0.2">
      <c r="D70" s="293"/>
      <c r="E70" s="293"/>
    </row>
    <row r="71" spans="4:5" x14ac:dyDescent="0.2">
      <c r="D71" s="293"/>
      <c r="E71" s="293"/>
    </row>
    <row r="72" spans="4:5" x14ac:dyDescent="0.2">
      <c r="D72" s="293"/>
      <c r="E72" s="293"/>
    </row>
    <row r="73" spans="4:5" x14ac:dyDescent="0.2">
      <c r="D73" s="293"/>
      <c r="E73" s="293"/>
    </row>
    <row r="74" spans="4:5" x14ac:dyDescent="0.2">
      <c r="D74" s="293"/>
      <c r="E74" s="293"/>
    </row>
    <row r="75" spans="4:5" x14ac:dyDescent="0.2">
      <c r="D75" s="293"/>
      <c r="E75" s="293"/>
    </row>
    <row r="76" spans="4:5" x14ac:dyDescent="0.2">
      <c r="D76" s="293"/>
      <c r="E76" s="293"/>
    </row>
    <row r="77" spans="4:5" x14ac:dyDescent="0.2">
      <c r="D77" s="293"/>
      <c r="E77" s="293"/>
    </row>
    <row r="78" spans="4:5" x14ac:dyDescent="0.2">
      <c r="D78" s="293"/>
      <c r="E78" s="293"/>
    </row>
    <row r="79" spans="4:5" x14ac:dyDescent="0.2">
      <c r="D79" s="293"/>
      <c r="E79" s="293"/>
    </row>
    <row r="80" spans="4:5" x14ac:dyDescent="0.2">
      <c r="D80" s="293"/>
      <c r="E80" s="293"/>
    </row>
    <row r="81" spans="4:5" x14ac:dyDescent="0.2">
      <c r="D81" s="293"/>
      <c r="E81" s="293"/>
    </row>
    <row r="82" spans="4:5" x14ac:dyDescent="0.2">
      <c r="D82" s="293"/>
      <c r="E82" s="293"/>
    </row>
    <row r="83" spans="4:5" x14ac:dyDescent="0.2">
      <c r="D83" s="293"/>
      <c r="E83" s="293"/>
    </row>
    <row r="84" spans="4:5" x14ac:dyDescent="0.2">
      <c r="D84" s="293"/>
      <c r="E84" s="293"/>
    </row>
    <row r="85" spans="4:5" x14ac:dyDescent="0.2">
      <c r="D85" s="293"/>
      <c r="E85" s="293"/>
    </row>
    <row r="86" spans="4:5" x14ac:dyDescent="0.2">
      <c r="D86" s="293"/>
      <c r="E86" s="293"/>
    </row>
    <row r="87" spans="4:5" x14ac:dyDescent="0.2">
      <c r="D87" s="293"/>
      <c r="E87" s="293"/>
    </row>
    <row r="88" spans="4:5" x14ac:dyDescent="0.2">
      <c r="D88" s="293"/>
      <c r="E88" s="293"/>
    </row>
    <row r="89" spans="4:5" x14ac:dyDescent="0.2">
      <c r="D89" s="293"/>
      <c r="E89" s="293"/>
    </row>
    <row r="90" spans="4:5" x14ac:dyDescent="0.2">
      <c r="D90" s="293"/>
      <c r="E90" s="293"/>
    </row>
    <row r="91" spans="4:5" x14ac:dyDescent="0.2">
      <c r="D91" s="293"/>
      <c r="E91" s="293"/>
    </row>
    <row r="92" spans="4:5" x14ac:dyDescent="0.2">
      <c r="D92" s="293"/>
      <c r="E92" s="293"/>
    </row>
    <row r="93" spans="4:5" x14ac:dyDescent="0.2">
      <c r="D93" s="293"/>
      <c r="E93" s="293"/>
    </row>
    <row r="94" spans="4:5" x14ac:dyDescent="0.2">
      <c r="D94" s="293"/>
      <c r="E94" s="293"/>
    </row>
    <row r="95" spans="4:5" x14ac:dyDescent="0.2">
      <c r="D95" s="293"/>
      <c r="E95" s="293"/>
    </row>
    <row r="96" spans="4:5" x14ac:dyDescent="0.2">
      <c r="D96" s="293"/>
      <c r="E96" s="293"/>
    </row>
    <row r="97" spans="4:5" x14ac:dyDescent="0.2">
      <c r="D97" s="293"/>
      <c r="E97" s="293"/>
    </row>
    <row r="98" spans="4:5" x14ac:dyDescent="0.2">
      <c r="D98" s="293"/>
      <c r="E98" s="293"/>
    </row>
    <row r="99" spans="4:5" x14ac:dyDescent="0.2">
      <c r="D99" s="293"/>
      <c r="E99" s="293"/>
    </row>
    <row r="100" spans="4:5" x14ac:dyDescent="0.2">
      <c r="D100" s="293"/>
      <c r="E100" s="293"/>
    </row>
    <row r="101" spans="4:5" x14ac:dyDescent="0.2">
      <c r="D101" s="293"/>
      <c r="E101" s="293"/>
    </row>
    <row r="102" spans="4:5" x14ac:dyDescent="0.2">
      <c r="D102" s="293"/>
      <c r="E102" s="293"/>
    </row>
    <row r="103" spans="4:5" x14ac:dyDescent="0.2">
      <c r="D103" s="293"/>
      <c r="E103" s="293"/>
    </row>
    <row r="104" spans="4:5" x14ac:dyDescent="0.2">
      <c r="D104" s="293"/>
      <c r="E104" s="293"/>
    </row>
    <row r="105" spans="4:5" x14ac:dyDescent="0.2">
      <c r="D105" s="293"/>
      <c r="E105" s="293"/>
    </row>
    <row r="106" spans="4:5" x14ac:dyDescent="0.2">
      <c r="D106" s="293"/>
      <c r="E106" s="293"/>
    </row>
    <row r="107" spans="4:5" x14ac:dyDescent="0.2">
      <c r="D107" s="293"/>
      <c r="E107" s="293"/>
    </row>
    <row r="108" spans="4:5" x14ac:dyDescent="0.2">
      <c r="D108" s="293"/>
      <c r="E108" s="293"/>
    </row>
    <row r="109" spans="4:5" x14ac:dyDescent="0.2">
      <c r="D109" s="293"/>
      <c r="E109" s="293"/>
    </row>
    <row r="110" spans="4:5" x14ac:dyDescent="0.2">
      <c r="D110" s="293"/>
      <c r="E110" s="293"/>
    </row>
    <row r="111" spans="4:5" x14ac:dyDescent="0.2">
      <c r="D111" s="293"/>
      <c r="E111" s="293"/>
    </row>
    <row r="112" spans="4:5" x14ac:dyDescent="0.2">
      <c r="D112" s="293"/>
      <c r="E112" s="293"/>
    </row>
    <row r="113" spans="4:5" x14ac:dyDescent="0.2">
      <c r="D113" s="293"/>
      <c r="E113" s="293"/>
    </row>
    <row r="114" spans="4:5" x14ac:dyDescent="0.2">
      <c r="D114" s="293"/>
      <c r="E114" s="293"/>
    </row>
    <row r="115" spans="4:5" x14ac:dyDescent="0.2">
      <c r="D115" s="293"/>
      <c r="E115" s="293"/>
    </row>
    <row r="116" spans="4:5" x14ac:dyDescent="0.2">
      <c r="D116" s="293"/>
      <c r="E116" s="293"/>
    </row>
    <row r="117" spans="4:5" x14ac:dyDescent="0.2">
      <c r="D117" s="293"/>
      <c r="E117" s="293"/>
    </row>
    <row r="118" spans="4:5" x14ac:dyDescent="0.2">
      <c r="D118" s="293"/>
      <c r="E118" s="293"/>
    </row>
    <row r="119" spans="4:5" x14ac:dyDescent="0.2">
      <c r="D119" s="293"/>
      <c r="E119" s="293"/>
    </row>
    <row r="120" spans="4:5" x14ac:dyDescent="0.2">
      <c r="D120" s="293"/>
      <c r="E120" s="293"/>
    </row>
    <row r="121" spans="4:5" x14ac:dyDescent="0.2">
      <c r="D121" s="293"/>
      <c r="E121" s="293"/>
    </row>
    <row r="122" spans="4:5" x14ac:dyDescent="0.2">
      <c r="D122" s="293"/>
      <c r="E122" s="293"/>
    </row>
    <row r="123" spans="4:5" x14ac:dyDescent="0.2">
      <c r="D123" s="293"/>
      <c r="E123" s="293"/>
    </row>
    <row r="124" spans="4:5" x14ac:dyDescent="0.2">
      <c r="D124" s="293"/>
      <c r="E124" s="293"/>
    </row>
    <row r="125" spans="4:5" x14ac:dyDescent="0.2">
      <c r="D125" s="293"/>
      <c r="E125" s="293"/>
    </row>
    <row r="126" spans="4:5" x14ac:dyDescent="0.2">
      <c r="D126" s="293"/>
      <c r="E126" s="293"/>
    </row>
    <row r="127" spans="4:5" x14ac:dyDescent="0.2">
      <c r="D127" s="293"/>
      <c r="E127" s="293"/>
    </row>
    <row r="128" spans="4:5" x14ac:dyDescent="0.2">
      <c r="D128" s="293"/>
      <c r="E128" s="293"/>
    </row>
    <row r="129" spans="4:5" x14ac:dyDescent="0.2">
      <c r="D129" s="293"/>
      <c r="E129" s="293"/>
    </row>
    <row r="130" spans="4:5" x14ac:dyDescent="0.2">
      <c r="D130" s="293"/>
      <c r="E130" s="293"/>
    </row>
    <row r="131" spans="4:5" x14ac:dyDescent="0.2">
      <c r="D131" s="293"/>
      <c r="E131" s="293"/>
    </row>
    <row r="132" spans="4:5" x14ac:dyDescent="0.2">
      <c r="D132" s="293"/>
      <c r="E132" s="293"/>
    </row>
    <row r="133" spans="4:5" x14ac:dyDescent="0.2">
      <c r="D133" s="293"/>
      <c r="E133" s="293"/>
    </row>
    <row r="134" spans="4:5" x14ac:dyDescent="0.2">
      <c r="D134" s="293"/>
      <c r="E134" s="293"/>
    </row>
    <row r="135" spans="4:5" x14ac:dyDescent="0.2">
      <c r="D135" s="293"/>
      <c r="E135" s="293"/>
    </row>
    <row r="136" spans="4:5" x14ac:dyDescent="0.2">
      <c r="D136" s="293"/>
      <c r="E136" s="293"/>
    </row>
    <row r="137" spans="4:5" x14ac:dyDescent="0.2">
      <c r="D137" s="293"/>
      <c r="E137" s="293"/>
    </row>
    <row r="138" spans="4:5" x14ac:dyDescent="0.2">
      <c r="D138" s="440"/>
      <c r="E138" s="440"/>
    </row>
    <row r="139" spans="4:5" x14ac:dyDescent="0.2">
      <c r="D139" s="440"/>
      <c r="E139" s="440"/>
    </row>
    <row r="140" spans="4:5" x14ac:dyDescent="0.2">
      <c r="D140" s="440"/>
      <c r="E140" s="440"/>
    </row>
    <row r="141" spans="4:5" x14ac:dyDescent="0.2">
      <c r="D141" s="440"/>
      <c r="E141" s="440"/>
    </row>
    <row r="142" spans="4:5" x14ac:dyDescent="0.2">
      <c r="D142" s="440"/>
      <c r="E142" s="440"/>
    </row>
    <row r="143" spans="4:5" x14ac:dyDescent="0.2">
      <c r="D143" s="440"/>
      <c r="E143" s="440"/>
    </row>
    <row r="144" spans="4:5" x14ac:dyDescent="0.2">
      <c r="D144" s="440"/>
      <c r="E144" s="440"/>
    </row>
  </sheetData>
  <sheetProtection formatCells="0"/>
  <mergeCells count="1">
    <mergeCell ref="A2:C2"/>
  </mergeCells>
  <phoneticPr fontId="2" type="noConversion"/>
  <hyperlinks>
    <hyperlink ref="A2" location="Index!A1" display="Back to Index" xr:uid="{D49A619B-13FF-417C-8EFB-5237CA16B3DC}"/>
  </hyperlinks>
  <pageMargins left="0.74803149606299213" right="0.74803149606299213" top="0.98425196850393704" bottom="0.98425196850393704" header="0.51181102362204722" footer="0.51181102362204722"/>
  <pageSetup orientation="landscape" r:id="rId1"/>
  <headerFooter alignWithMargins="0">
    <oddFooter>&amp;L&amp;Z&amp;F&amp;A&amp;R&amp;D&amp;T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A6C4-DDE9-4990-916C-4256DC2292C1}">
  <dimension ref="A1:G168"/>
  <sheetViews>
    <sheetView showGridLines="0" zoomScale="86" zoomScaleNormal="86" workbookViewId="0"/>
  </sheetViews>
  <sheetFormatPr defaultColWidth="8.85546875" defaultRowHeight="12.75" x14ac:dyDescent="0.2"/>
  <cols>
    <col min="1" max="1" width="2" customWidth="1"/>
    <col min="2" max="2" width="61.7109375" customWidth="1"/>
    <col min="3" max="3" width="11.42578125" style="591" customWidth="1"/>
    <col min="4" max="4" width="11.42578125" style="330" customWidth="1"/>
    <col min="5" max="7" width="11.42578125" style="592" customWidth="1"/>
  </cols>
  <sheetData>
    <row r="1" spans="1:7" s="539" customFormat="1" ht="20.25" x14ac:dyDescent="0.3">
      <c r="A1" s="538" t="s">
        <v>288</v>
      </c>
      <c r="C1" s="540"/>
      <c r="D1" s="541"/>
      <c r="E1" s="542"/>
      <c r="F1" s="543"/>
      <c r="G1" s="544"/>
    </row>
    <row r="2" spans="1:7" s="548" customFormat="1" ht="15" x14ac:dyDescent="0.25">
      <c r="A2" s="732" t="s">
        <v>34</v>
      </c>
      <c r="B2" s="732"/>
      <c r="C2" s="732"/>
      <c r="D2" s="545"/>
      <c r="E2" s="546"/>
      <c r="F2" s="547"/>
      <c r="G2" s="546"/>
    </row>
    <row r="3" spans="1:7" ht="15.75" thickBot="1" x14ac:dyDescent="0.3">
      <c r="A3" s="2"/>
      <c r="B3" s="2"/>
      <c r="C3" s="474"/>
      <c r="D3" s="342"/>
      <c r="E3" s="549"/>
      <c r="F3" s="550"/>
      <c r="G3" s="549"/>
    </row>
    <row r="4" spans="1:7" s="2" customFormat="1" ht="16.350000000000001" customHeight="1" thickTop="1" x14ac:dyDescent="0.2">
      <c r="B4" s="551"/>
      <c r="C4" s="552" t="s">
        <v>289</v>
      </c>
      <c r="D4" s="552" t="s">
        <v>289</v>
      </c>
      <c r="E4" s="553" t="s">
        <v>290</v>
      </c>
      <c r="F4" s="552" t="s">
        <v>291</v>
      </c>
      <c r="G4" s="553" t="s">
        <v>290</v>
      </c>
    </row>
    <row r="5" spans="1:7" s="2" customFormat="1" ht="17.100000000000001" customHeight="1" thickBot="1" x14ac:dyDescent="0.3">
      <c r="B5" s="554" t="s">
        <v>292</v>
      </c>
      <c r="C5" s="555" t="s">
        <v>479</v>
      </c>
      <c r="D5" s="555" t="s">
        <v>293</v>
      </c>
      <c r="E5" s="556" t="s">
        <v>294</v>
      </c>
      <c r="F5" s="555" t="s">
        <v>293</v>
      </c>
      <c r="G5" s="556" t="s">
        <v>294</v>
      </c>
    </row>
    <row r="6" spans="1:7" s="2" customFormat="1" ht="15.75" thickTop="1" x14ac:dyDescent="0.2">
      <c r="B6" s="557"/>
      <c r="C6" s="558"/>
      <c r="D6" s="559"/>
      <c r="E6" s="560"/>
      <c r="F6" s="558"/>
      <c r="G6" s="561"/>
    </row>
    <row r="7" spans="1:7" s="2" customFormat="1" ht="15" x14ac:dyDescent="0.25">
      <c r="B7" s="562" t="s">
        <v>295</v>
      </c>
      <c r="C7" s="563"/>
      <c r="D7" s="564"/>
      <c r="E7" s="560"/>
      <c r="F7" s="563"/>
      <c r="G7" s="560"/>
    </row>
    <row r="8" spans="1:7" s="2" customFormat="1" ht="15" x14ac:dyDescent="0.25">
      <c r="B8" s="369" t="s">
        <v>94</v>
      </c>
      <c r="C8" s="223">
        <v>13341</v>
      </c>
      <c r="D8" s="240">
        <v>14541</v>
      </c>
      <c r="E8" s="200">
        <v>-8.2525273364968061</v>
      </c>
      <c r="F8" s="296">
        <v>13727</v>
      </c>
      <c r="G8" s="241">
        <v>-2.8119763968820544</v>
      </c>
    </row>
    <row r="9" spans="1:7" s="2" customFormat="1" ht="15" x14ac:dyDescent="0.25">
      <c r="B9" s="369" t="s">
        <v>99</v>
      </c>
      <c r="C9" s="223">
        <v>6266</v>
      </c>
      <c r="D9" s="240">
        <v>7212</v>
      </c>
      <c r="E9" s="178">
        <v>-13.117027176927342</v>
      </c>
      <c r="F9" s="296">
        <v>6556</v>
      </c>
      <c r="G9" s="200">
        <v>-4.4234289200732135</v>
      </c>
    </row>
    <row r="10" spans="1:7" s="2" customFormat="1" ht="15" x14ac:dyDescent="0.25">
      <c r="B10" s="565" t="s">
        <v>40</v>
      </c>
      <c r="C10" s="224">
        <v>7075</v>
      </c>
      <c r="D10" s="242">
        <v>7329</v>
      </c>
      <c r="E10" s="243">
        <v>-3.4656842679765321</v>
      </c>
      <c r="F10" s="566">
        <v>7171</v>
      </c>
      <c r="G10" s="244">
        <v>-1.3387254218379607</v>
      </c>
    </row>
    <row r="11" spans="1:7" s="2" customFormat="1" ht="15" x14ac:dyDescent="0.25">
      <c r="B11" s="369" t="s">
        <v>41</v>
      </c>
      <c r="C11" s="223">
        <v>2942</v>
      </c>
      <c r="D11" s="240">
        <v>2442</v>
      </c>
      <c r="E11" s="245">
        <v>20.475020475020479</v>
      </c>
      <c r="F11" s="296">
        <v>2456</v>
      </c>
      <c r="G11" s="241">
        <v>19.788273615635177</v>
      </c>
    </row>
    <row r="12" spans="1:7" s="2" customFormat="1" ht="15" x14ac:dyDescent="0.25">
      <c r="B12" s="369" t="s">
        <v>115</v>
      </c>
      <c r="C12" s="223">
        <v>1900</v>
      </c>
      <c r="D12" s="240">
        <v>1723</v>
      </c>
      <c r="E12" s="245">
        <v>10.272780034822993</v>
      </c>
      <c r="F12" s="296">
        <v>1638</v>
      </c>
      <c r="G12" s="245">
        <v>15.995115995116006</v>
      </c>
    </row>
    <row r="13" spans="1:7" s="2" customFormat="1" ht="15" x14ac:dyDescent="0.25">
      <c r="B13" s="369" t="s">
        <v>117</v>
      </c>
      <c r="C13" s="223">
        <v>101</v>
      </c>
      <c r="D13" s="240">
        <v>123</v>
      </c>
      <c r="E13" s="245">
        <v>-17.886178861788615</v>
      </c>
      <c r="F13" s="296">
        <v>-23</v>
      </c>
      <c r="G13" s="245" t="s">
        <v>151</v>
      </c>
    </row>
    <row r="14" spans="1:7" s="2" customFormat="1" ht="15" x14ac:dyDescent="0.25">
      <c r="B14" s="567" t="s">
        <v>116</v>
      </c>
      <c r="C14" s="223">
        <v>23</v>
      </c>
      <c r="D14" s="240">
        <v>20</v>
      </c>
      <c r="E14" s="245">
        <v>14.999999999999991</v>
      </c>
      <c r="F14" s="296">
        <v>21</v>
      </c>
      <c r="G14" s="246">
        <v>9.5238095238095344</v>
      </c>
    </row>
    <row r="15" spans="1:7" s="2" customFormat="1" ht="15" x14ac:dyDescent="0.25">
      <c r="B15" s="568" t="s">
        <v>6</v>
      </c>
      <c r="C15" s="224">
        <v>4966</v>
      </c>
      <c r="D15" s="242">
        <v>4308</v>
      </c>
      <c r="E15" s="243">
        <v>15.273909006499542</v>
      </c>
      <c r="F15" s="566">
        <v>4092</v>
      </c>
      <c r="G15" s="244">
        <v>21.358748778103621</v>
      </c>
    </row>
    <row r="16" spans="1:7" s="2" customFormat="1" ht="15" x14ac:dyDescent="0.25">
      <c r="B16" s="1" t="s">
        <v>44</v>
      </c>
      <c r="C16" s="223">
        <v>12041</v>
      </c>
      <c r="D16" s="240">
        <v>11637</v>
      </c>
      <c r="E16" s="178">
        <v>3.4716851422187833</v>
      </c>
      <c r="F16" s="296">
        <v>11263</v>
      </c>
      <c r="G16" s="245">
        <v>6.9075734706561365</v>
      </c>
    </row>
    <row r="17" spans="2:7" s="2" customFormat="1" ht="15" x14ac:dyDescent="0.25">
      <c r="B17" s="369" t="s">
        <v>296</v>
      </c>
      <c r="C17" s="223">
        <v>3065</v>
      </c>
      <c r="D17" s="240">
        <v>2909</v>
      </c>
      <c r="E17" s="245">
        <v>5.3626675833619908</v>
      </c>
      <c r="F17" s="296">
        <v>2923</v>
      </c>
      <c r="G17" s="245">
        <v>4.8580225795415766</v>
      </c>
    </row>
    <row r="18" spans="2:7" s="2" customFormat="1" ht="15" x14ac:dyDescent="0.25">
      <c r="B18" s="567" t="s">
        <v>297</v>
      </c>
      <c r="C18" s="226">
        <v>1584</v>
      </c>
      <c r="D18" s="240">
        <v>1575</v>
      </c>
      <c r="E18" s="245">
        <v>0.57142857142857828</v>
      </c>
      <c r="F18" s="163">
        <v>1942</v>
      </c>
      <c r="G18" s="246">
        <v>-18.4346035015448</v>
      </c>
    </row>
    <row r="19" spans="2:7" s="2" customFormat="1" ht="15" x14ac:dyDescent="0.25">
      <c r="B19" s="568" t="s">
        <v>298</v>
      </c>
      <c r="C19" s="227">
        <v>4649</v>
      </c>
      <c r="D19" s="242">
        <v>4484</v>
      </c>
      <c r="E19" s="243">
        <v>3.6797502230151657</v>
      </c>
      <c r="F19" s="247">
        <v>4865</v>
      </c>
      <c r="G19" s="248">
        <v>-4.4398766700925023</v>
      </c>
    </row>
    <row r="20" spans="2:7" s="2" customFormat="1" ht="15" x14ac:dyDescent="0.25">
      <c r="B20" s="562" t="s">
        <v>45</v>
      </c>
      <c r="C20" s="223">
        <v>7392</v>
      </c>
      <c r="D20" s="240">
        <v>7153</v>
      </c>
      <c r="E20" s="245">
        <v>3.3412554173074316</v>
      </c>
      <c r="F20" s="296">
        <v>6398</v>
      </c>
      <c r="G20" s="245">
        <v>15.536105032822768</v>
      </c>
    </row>
    <row r="21" spans="2:7" s="2" customFormat="1" ht="15" x14ac:dyDescent="0.25">
      <c r="B21" s="369" t="s">
        <v>46</v>
      </c>
      <c r="C21" s="223">
        <v>11</v>
      </c>
      <c r="D21" s="240">
        <v>12</v>
      </c>
      <c r="E21" s="245">
        <v>-8.3333333333333375</v>
      </c>
      <c r="F21" s="296">
        <v>11</v>
      </c>
      <c r="G21" s="245">
        <v>0</v>
      </c>
    </row>
    <row r="22" spans="2:7" s="2" customFormat="1" ht="15" x14ac:dyDescent="0.25">
      <c r="B22" s="369" t="s">
        <v>8</v>
      </c>
      <c r="C22" s="228">
        <v>303</v>
      </c>
      <c r="D22" s="249">
        <v>458</v>
      </c>
      <c r="E22" s="246">
        <v>-33.842794759825324</v>
      </c>
      <c r="F22" s="130">
        <v>333</v>
      </c>
      <c r="G22" s="248">
        <v>-9.0090090090090058</v>
      </c>
    </row>
    <row r="23" spans="2:7" s="2" customFormat="1" ht="15" x14ac:dyDescent="0.25">
      <c r="B23" s="569" t="s">
        <v>299</v>
      </c>
      <c r="C23" s="229">
        <v>7078</v>
      </c>
      <c r="D23" s="240">
        <v>6683</v>
      </c>
      <c r="E23" s="178">
        <v>5.9105192278916752</v>
      </c>
      <c r="F23" s="250">
        <v>6054</v>
      </c>
      <c r="G23" s="200">
        <v>16.914436736042294</v>
      </c>
    </row>
    <row r="24" spans="2:7" s="2" customFormat="1" ht="15" x14ac:dyDescent="0.25">
      <c r="B24" s="369" t="s">
        <v>300</v>
      </c>
      <c r="C24" s="228">
        <v>138</v>
      </c>
      <c r="D24" s="249">
        <v>142</v>
      </c>
      <c r="E24" s="246">
        <v>-2.8169014084507005</v>
      </c>
      <c r="F24" s="130">
        <v>120</v>
      </c>
      <c r="G24" s="248">
        <v>14.999999999999991</v>
      </c>
    </row>
    <row r="25" spans="2:7" s="2" customFormat="1" ht="15" x14ac:dyDescent="0.25">
      <c r="B25" s="569" t="s">
        <v>301</v>
      </c>
      <c r="C25" s="223">
        <v>7216</v>
      </c>
      <c r="D25" s="240">
        <v>6825</v>
      </c>
      <c r="E25" s="245">
        <v>5.7289377289377219</v>
      </c>
      <c r="F25" s="570">
        <v>6174</v>
      </c>
      <c r="G25" s="200">
        <v>16.877227081308721</v>
      </c>
    </row>
    <row r="26" spans="2:7" s="2" customFormat="1" ht="15" x14ac:dyDescent="0.25">
      <c r="B26" s="567" t="s">
        <v>302</v>
      </c>
      <c r="C26" s="223">
        <v>1206</v>
      </c>
      <c r="D26" s="240">
        <v>1104</v>
      </c>
      <c r="E26" s="178">
        <v>9.2391304347826164</v>
      </c>
      <c r="F26" s="296">
        <v>961</v>
      </c>
      <c r="G26" s="246">
        <v>25.494276795005199</v>
      </c>
    </row>
    <row r="27" spans="2:7" s="2" customFormat="1" ht="15.75" thickBot="1" x14ac:dyDescent="0.3">
      <c r="B27" s="571" t="s">
        <v>286</v>
      </c>
      <c r="C27" s="230">
        <v>6010</v>
      </c>
      <c r="D27" s="251">
        <v>5721</v>
      </c>
      <c r="E27" s="252">
        <v>5.0515644118161118</v>
      </c>
      <c r="F27" s="572">
        <v>5213</v>
      </c>
      <c r="G27" s="252">
        <v>15.28870132361404</v>
      </c>
    </row>
    <row r="28" spans="2:7" s="2" customFormat="1" ht="15" thickTop="1" x14ac:dyDescent="0.2">
      <c r="B28" s="369"/>
      <c r="C28" s="231"/>
      <c r="D28" s="253"/>
      <c r="F28" s="245"/>
      <c r="G28" s="245"/>
    </row>
    <row r="29" spans="2:7" s="2" customFormat="1" ht="14.25" x14ac:dyDescent="0.2">
      <c r="B29" s="369" t="s">
        <v>303</v>
      </c>
      <c r="C29" s="231"/>
      <c r="D29" s="253"/>
      <c r="F29" s="245"/>
      <c r="G29" s="245"/>
    </row>
    <row r="30" spans="2:7" s="2" customFormat="1" ht="15" x14ac:dyDescent="0.25">
      <c r="B30" s="562" t="s">
        <v>304</v>
      </c>
      <c r="C30" s="174">
        <v>6009</v>
      </c>
      <c r="D30" s="240">
        <v>5721</v>
      </c>
      <c r="E30" s="245">
        <v>5.0340849501835372</v>
      </c>
      <c r="F30" s="143">
        <v>5212</v>
      </c>
      <c r="G30" s="245">
        <v>15.291634689178824</v>
      </c>
    </row>
    <row r="31" spans="2:7" s="2" customFormat="1" ht="15" x14ac:dyDescent="0.25">
      <c r="B31" s="567" t="s">
        <v>305</v>
      </c>
      <c r="C31" s="232">
        <v>1</v>
      </c>
      <c r="D31" s="240">
        <v>0</v>
      </c>
      <c r="E31" s="246" t="s">
        <v>151</v>
      </c>
      <c r="F31" s="254">
        <v>1</v>
      </c>
      <c r="G31" s="246">
        <v>0</v>
      </c>
    </row>
    <row r="32" spans="2:7" s="2" customFormat="1" ht="15.75" thickBot="1" x14ac:dyDescent="0.3">
      <c r="B32" s="573"/>
      <c r="C32" s="233">
        <v>6010</v>
      </c>
      <c r="D32" s="251">
        <v>5721</v>
      </c>
      <c r="E32" s="252">
        <v>5.0515644118161118</v>
      </c>
      <c r="F32" s="255">
        <v>5213</v>
      </c>
      <c r="G32" s="252">
        <v>15.28870132361404</v>
      </c>
    </row>
    <row r="33" spans="1:7" ht="15" thickTop="1" x14ac:dyDescent="0.2">
      <c r="A33" s="2"/>
      <c r="B33" s="287"/>
      <c r="C33" s="234"/>
      <c r="D33" s="310"/>
      <c r="E33" s="256"/>
      <c r="F33" s="257"/>
      <c r="G33" s="256"/>
    </row>
    <row r="34" spans="1:7" ht="14.25" x14ac:dyDescent="0.2">
      <c r="A34" s="2"/>
      <c r="B34" s="287"/>
      <c r="C34" s="234"/>
      <c r="D34" s="310"/>
      <c r="E34" s="256"/>
      <c r="F34" s="257"/>
      <c r="G34" s="256"/>
    </row>
    <row r="35" spans="1:7" s="576" customFormat="1" ht="20.25" x14ac:dyDescent="0.3">
      <c r="A35" s="574" t="s">
        <v>306</v>
      </c>
      <c r="B35" s="574"/>
      <c r="C35" s="235"/>
      <c r="D35" s="575"/>
      <c r="E35" s="258"/>
      <c r="F35" s="259"/>
      <c r="G35" s="258"/>
    </row>
    <row r="36" spans="1:7" ht="15" thickBot="1" x14ac:dyDescent="0.25">
      <c r="A36" s="2"/>
      <c r="B36" s="287"/>
      <c r="C36" s="236"/>
      <c r="D36" s="310"/>
      <c r="E36" s="256"/>
      <c r="F36" s="257"/>
      <c r="G36" s="256"/>
    </row>
    <row r="37" spans="1:7" ht="17.25" customHeight="1" thickTop="1" x14ac:dyDescent="0.2">
      <c r="A37" s="2"/>
      <c r="B37" s="551"/>
      <c r="C37" s="221" t="s">
        <v>289</v>
      </c>
      <c r="D37" s="552" t="s">
        <v>289</v>
      </c>
      <c r="E37" s="553" t="s">
        <v>290</v>
      </c>
      <c r="F37" s="552" t="s">
        <v>291</v>
      </c>
      <c r="G37" s="553" t="s">
        <v>290</v>
      </c>
    </row>
    <row r="38" spans="1:7" ht="15.75" thickBot="1" x14ac:dyDescent="0.3">
      <c r="A38" s="2"/>
      <c r="B38" s="554" t="s">
        <v>292</v>
      </c>
      <c r="C38" s="222" t="s">
        <v>479</v>
      </c>
      <c r="D38" s="555" t="s">
        <v>293</v>
      </c>
      <c r="E38" s="556" t="s">
        <v>294</v>
      </c>
      <c r="F38" s="555" t="s">
        <v>293</v>
      </c>
      <c r="G38" s="556" t="s">
        <v>294</v>
      </c>
    </row>
    <row r="39" spans="1:7" ht="15" thickTop="1" x14ac:dyDescent="0.2">
      <c r="A39" s="2"/>
      <c r="B39" s="557"/>
      <c r="C39" s="208"/>
      <c r="D39" s="577"/>
      <c r="E39" s="245"/>
      <c r="F39" s="260"/>
      <c r="G39" s="245"/>
    </row>
    <row r="40" spans="1:7" ht="15" x14ac:dyDescent="0.25">
      <c r="A40" s="2"/>
      <c r="B40" s="562" t="s">
        <v>286</v>
      </c>
      <c r="C40" s="223">
        <v>6010</v>
      </c>
      <c r="D40" s="240">
        <v>5721</v>
      </c>
      <c r="E40" s="200">
        <v>5.0515644118161118</v>
      </c>
      <c r="F40" s="240">
        <v>5213</v>
      </c>
      <c r="G40" s="200">
        <v>15.28870132361404</v>
      </c>
    </row>
    <row r="41" spans="1:7" ht="15" x14ac:dyDescent="0.25">
      <c r="A41" s="2"/>
      <c r="B41" s="562"/>
      <c r="C41" s="237"/>
      <c r="D41" s="261"/>
      <c r="E41" s="245"/>
      <c r="F41" s="240"/>
      <c r="G41" s="245"/>
    </row>
    <row r="42" spans="1:7" ht="15" x14ac:dyDescent="0.25">
      <c r="A42" s="2"/>
      <c r="B42" s="562" t="s">
        <v>307</v>
      </c>
      <c r="C42" s="237"/>
      <c r="D42" s="261"/>
      <c r="E42" s="245"/>
      <c r="F42" s="240"/>
      <c r="G42" s="245"/>
    </row>
    <row r="43" spans="1:7" ht="15" x14ac:dyDescent="0.25">
      <c r="A43" s="2"/>
      <c r="B43" s="562"/>
      <c r="C43" s="237"/>
      <c r="D43" s="261"/>
      <c r="E43" s="245"/>
      <c r="F43" s="240"/>
      <c r="G43" s="245"/>
    </row>
    <row r="44" spans="1:7" ht="30" customHeight="1" x14ac:dyDescent="0.25">
      <c r="A44" s="2"/>
      <c r="B44" s="562" t="s">
        <v>308</v>
      </c>
      <c r="C44" s="237"/>
      <c r="D44" s="261"/>
      <c r="E44" s="245"/>
      <c r="F44" s="240"/>
      <c r="G44" s="245"/>
    </row>
    <row r="45" spans="1:7" ht="15" x14ac:dyDescent="0.25">
      <c r="A45" s="2"/>
      <c r="B45" s="369" t="s">
        <v>309</v>
      </c>
      <c r="C45" s="229">
        <v>110</v>
      </c>
      <c r="D45" s="240">
        <v>-1559</v>
      </c>
      <c r="E45" s="245" t="s">
        <v>151</v>
      </c>
      <c r="F45" s="240">
        <v>141</v>
      </c>
      <c r="G45" s="200">
        <v>-21.98581560283688</v>
      </c>
    </row>
    <row r="46" spans="1:7" ht="15.6" customHeight="1" x14ac:dyDescent="0.25">
      <c r="A46" s="2"/>
      <c r="B46" s="321" t="s">
        <v>480</v>
      </c>
      <c r="C46" s="229">
        <v>3</v>
      </c>
      <c r="D46" s="240">
        <v>-7</v>
      </c>
      <c r="E46" s="245" t="s">
        <v>151</v>
      </c>
      <c r="F46" s="240">
        <v>10</v>
      </c>
      <c r="G46" s="200">
        <v>-70</v>
      </c>
    </row>
    <row r="47" spans="1:7" ht="30" customHeight="1" x14ac:dyDescent="0.25">
      <c r="A47" s="2"/>
      <c r="B47" s="578" t="s">
        <v>424</v>
      </c>
      <c r="C47" s="229"/>
      <c r="D47" s="240"/>
      <c r="E47" s="200"/>
      <c r="F47" s="240"/>
      <c r="G47" s="200"/>
    </row>
    <row r="48" spans="1:7" ht="15" x14ac:dyDescent="0.25">
      <c r="A48" s="2"/>
      <c r="B48" s="369" t="s">
        <v>487</v>
      </c>
      <c r="C48" s="229">
        <v>-136</v>
      </c>
      <c r="D48" s="200">
        <v>417</v>
      </c>
      <c r="E48" s="245" t="s">
        <v>151</v>
      </c>
      <c r="F48" s="200">
        <v>175</v>
      </c>
      <c r="G48" s="200" t="s">
        <v>151</v>
      </c>
    </row>
    <row r="49" spans="1:7" ht="15.6" customHeight="1" x14ac:dyDescent="0.25">
      <c r="A49" s="2"/>
      <c r="B49" s="369" t="s">
        <v>488</v>
      </c>
      <c r="C49" s="229">
        <v>-58</v>
      </c>
      <c r="D49" s="200">
        <v>-103</v>
      </c>
      <c r="E49" s="245">
        <v>43.689320388349515</v>
      </c>
      <c r="F49" s="200">
        <v>41</v>
      </c>
      <c r="G49" s="200" t="s">
        <v>151</v>
      </c>
    </row>
    <row r="50" spans="1:7" ht="15" x14ac:dyDescent="0.25">
      <c r="A50" s="2"/>
      <c r="B50" s="2" t="s">
        <v>310</v>
      </c>
      <c r="C50" s="229">
        <v>27</v>
      </c>
      <c r="D50" s="200">
        <v>-39</v>
      </c>
      <c r="E50" s="245" t="s">
        <v>151</v>
      </c>
      <c r="F50" s="200">
        <v>-33</v>
      </c>
      <c r="G50" s="200" t="s">
        <v>151</v>
      </c>
    </row>
    <row r="51" spans="1:7" ht="15" x14ac:dyDescent="0.25">
      <c r="A51" s="2"/>
      <c r="B51" s="369" t="s">
        <v>427</v>
      </c>
      <c r="C51" s="229"/>
      <c r="D51" s="240"/>
      <c r="E51" s="200"/>
      <c r="F51" s="240"/>
      <c r="G51" s="200"/>
    </row>
    <row r="52" spans="1:7" ht="15.6" customHeight="1" x14ac:dyDescent="0.25">
      <c r="A52" s="2"/>
      <c r="B52" s="369" t="s">
        <v>425</v>
      </c>
      <c r="C52" s="229">
        <v>354</v>
      </c>
      <c r="D52" s="240">
        <v>1531</v>
      </c>
      <c r="E52" s="245">
        <v>-76.877857609405623</v>
      </c>
      <c r="F52" s="240">
        <v>853</v>
      </c>
      <c r="G52" s="200">
        <v>-58.49941383352872</v>
      </c>
    </row>
    <row r="53" spans="1:7" ht="15.6" customHeight="1" x14ac:dyDescent="0.25">
      <c r="A53" s="2"/>
      <c r="B53" s="369" t="s">
        <v>426</v>
      </c>
      <c r="C53" s="229">
        <v>-580</v>
      </c>
      <c r="D53" s="240">
        <v>-574</v>
      </c>
      <c r="E53" s="245">
        <v>-1.0452961672473782</v>
      </c>
      <c r="F53" s="240">
        <v>-809</v>
      </c>
      <c r="G53" s="200">
        <v>28.30655129789864</v>
      </c>
    </row>
    <row r="54" spans="1:7" ht="15" x14ac:dyDescent="0.25">
      <c r="A54" s="2"/>
      <c r="B54" s="2" t="s">
        <v>310</v>
      </c>
      <c r="C54" s="229">
        <v>39</v>
      </c>
      <c r="D54" s="240">
        <v>-119</v>
      </c>
      <c r="E54" s="245" t="s">
        <v>151</v>
      </c>
      <c r="F54" s="240">
        <v>-17</v>
      </c>
      <c r="G54" s="200" t="s">
        <v>151</v>
      </c>
    </row>
    <row r="55" spans="1:7" ht="14.25" x14ac:dyDescent="0.2">
      <c r="A55" s="2"/>
      <c r="B55" s="579"/>
      <c r="C55" s="281"/>
      <c r="D55" s="240"/>
      <c r="E55" s="200"/>
      <c r="F55" s="240"/>
      <c r="G55" s="200"/>
    </row>
    <row r="56" spans="1:7" ht="30" x14ac:dyDescent="0.25">
      <c r="A56" s="2"/>
      <c r="B56" s="562" t="s">
        <v>311</v>
      </c>
      <c r="C56" s="281"/>
      <c r="D56" s="240"/>
      <c r="E56" s="200"/>
      <c r="F56" s="240"/>
      <c r="G56" s="200"/>
    </row>
    <row r="57" spans="1:7" ht="27.95" customHeight="1" x14ac:dyDescent="0.25">
      <c r="A57" s="2"/>
      <c r="B57" s="578" t="s">
        <v>489</v>
      </c>
      <c r="C57" s="229">
        <v>-90</v>
      </c>
      <c r="D57" s="240">
        <v>61</v>
      </c>
      <c r="E57" s="245" t="s">
        <v>151</v>
      </c>
      <c r="F57" s="240">
        <v>46</v>
      </c>
      <c r="G57" s="200" t="s">
        <v>151</v>
      </c>
    </row>
    <row r="58" spans="1:7" ht="29.25" x14ac:dyDescent="0.25">
      <c r="A58" s="2"/>
      <c r="B58" s="578" t="s">
        <v>312</v>
      </c>
      <c r="C58" s="229">
        <v>134</v>
      </c>
      <c r="D58" s="240">
        <v>-65</v>
      </c>
      <c r="E58" s="245" t="s">
        <v>151</v>
      </c>
      <c r="F58" s="240">
        <v>-119</v>
      </c>
      <c r="G58" s="200" t="s">
        <v>151</v>
      </c>
    </row>
    <row r="59" spans="1:7" ht="16.5" customHeight="1" x14ac:dyDescent="0.25">
      <c r="A59" s="2"/>
      <c r="B59" s="580" t="s">
        <v>313</v>
      </c>
      <c r="C59" s="228">
        <v>0</v>
      </c>
      <c r="D59" s="249">
        <v>3</v>
      </c>
      <c r="E59" s="246">
        <v>-100</v>
      </c>
      <c r="F59" s="249">
        <v>1</v>
      </c>
      <c r="G59" s="246">
        <v>-100</v>
      </c>
    </row>
    <row r="60" spans="1:7" ht="15" x14ac:dyDescent="0.25">
      <c r="A60" s="2"/>
      <c r="B60" s="568" t="s">
        <v>314</v>
      </c>
      <c r="C60" s="232">
        <v>-197</v>
      </c>
      <c r="D60" s="246">
        <v>-454</v>
      </c>
      <c r="E60" s="248">
        <v>56.607929515418512</v>
      </c>
      <c r="F60" s="262">
        <v>289</v>
      </c>
      <c r="G60" s="248" t="s">
        <v>151</v>
      </c>
    </row>
    <row r="61" spans="1:7" ht="15.75" thickBot="1" x14ac:dyDescent="0.3">
      <c r="A61" s="2"/>
      <c r="B61" s="571" t="s">
        <v>315</v>
      </c>
      <c r="C61" s="233">
        <v>5813</v>
      </c>
      <c r="D61" s="252">
        <v>5267</v>
      </c>
      <c r="E61" s="263">
        <v>10.366432504271872</v>
      </c>
      <c r="F61" s="251">
        <v>5502</v>
      </c>
      <c r="G61" s="263">
        <v>5.6524900036350356</v>
      </c>
    </row>
    <row r="62" spans="1:7" ht="15" thickTop="1" x14ac:dyDescent="0.2">
      <c r="A62" s="2"/>
      <c r="B62" s="369"/>
      <c r="C62" s="238"/>
      <c r="D62" s="245"/>
      <c r="E62" s="245"/>
      <c r="F62" s="245"/>
      <c r="G62" s="245"/>
    </row>
    <row r="63" spans="1:7" ht="14.25" x14ac:dyDescent="0.2">
      <c r="A63" s="2"/>
      <c r="B63" s="369" t="s">
        <v>303</v>
      </c>
      <c r="C63" s="238"/>
      <c r="D63" s="245"/>
      <c r="E63" s="245"/>
      <c r="F63" s="245"/>
      <c r="G63" s="245"/>
    </row>
    <row r="64" spans="1:7" ht="15" x14ac:dyDescent="0.25">
      <c r="A64" s="2"/>
      <c r="B64" s="562" t="s">
        <v>304</v>
      </c>
      <c r="C64" s="229">
        <v>5813</v>
      </c>
      <c r="D64" s="200">
        <v>5269</v>
      </c>
      <c r="E64" s="200">
        <v>10.324539760865449</v>
      </c>
      <c r="F64" s="200">
        <v>5501</v>
      </c>
      <c r="G64" s="200">
        <v>5.6716960552626761</v>
      </c>
    </row>
    <row r="65" spans="1:7" ht="15" x14ac:dyDescent="0.25">
      <c r="A65" s="2"/>
      <c r="B65" s="567" t="s">
        <v>305</v>
      </c>
      <c r="C65" s="239">
        <v>0</v>
      </c>
      <c r="D65" s="240">
        <v>-2</v>
      </c>
      <c r="E65" s="248" t="s">
        <v>151</v>
      </c>
      <c r="F65" s="240">
        <v>1</v>
      </c>
      <c r="G65" s="248">
        <v>-100</v>
      </c>
    </row>
    <row r="66" spans="1:7" ht="19.5" customHeight="1" thickBot="1" x14ac:dyDescent="0.3">
      <c r="A66" s="2"/>
      <c r="B66" s="573"/>
      <c r="C66" s="233">
        <v>5813</v>
      </c>
      <c r="D66" s="264">
        <v>5267</v>
      </c>
      <c r="E66" s="263">
        <v>10.366432504271872</v>
      </c>
      <c r="F66" s="264">
        <v>5502</v>
      </c>
      <c r="G66" s="263">
        <v>5.6524900036350356</v>
      </c>
    </row>
    <row r="67" spans="1:7" ht="19.5" customHeight="1" thickTop="1" x14ac:dyDescent="0.25">
      <c r="A67" s="2"/>
      <c r="B67" s="329"/>
      <c r="C67" s="581"/>
      <c r="D67" s="582"/>
      <c r="E67" s="204"/>
      <c r="F67" s="582"/>
      <c r="G67" s="583"/>
    </row>
    <row r="68" spans="1:7" ht="15" x14ac:dyDescent="0.25">
      <c r="A68" s="584"/>
      <c r="B68" s="329" t="s">
        <v>201</v>
      </c>
      <c r="C68" s="585"/>
      <c r="D68" s="256"/>
      <c r="E68" s="256"/>
      <c r="F68" s="256"/>
      <c r="G68" s="256"/>
    </row>
    <row r="69" spans="1:7" x14ac:dyDescent="0.2">
      <c r="C69" s="586"/>
      <c r="D69" s="587"/>
      <c r="E69" s="587"/>
      <c r="F69" s="587"/>
      <c r="G69" s="587"/>
    </row>
    <row r="70" spans="1:7" x14ac:dyDescent="0.2">
      <c r="C70" s="586"/>
      <c r="D70" s="587"/>
      <c r="E70" s="587"/>
      <c r="F70" s="587"/>
      <c r="G70" s="587"/>
    </row>
    <row r="71" spans="1:7" x14ac:dyDescent="0.2">
      <c r="C71" s="586"/>
      <c r="D71" s="587"/>
      <c r="E71" s="587"/>
      <c r="F71" s="587"/>
      <c r="G71" s="587"/>
    </row>
    <row r="72" spans="1:7" x14ac:dyDescent="0.2">
      <c r="C72" s="586"/>
      <c r="D72" s="587"/>
      <c r="E72" s="587"/>
      <c r="F72" s="587"/>
      <c r="G72" s="587"/>
    </row>
    <row r="73" spans="1:7" x14ac:dyDescent="0.2">
      <c r="C73" s="586"/>
      <c r="D73" s="587"/>
      <c r="E73" s="587"/>
      <c r="F73" s="587"/>
      <c r="G73" s="587"/>
    </row>
    <row r="74" spans="1:7" x14ac:dyDescent="0.2">
      <c r="C74" s="586"/>
      <c r="D74" s="587"/>
      <c r="E74" s="587"/>
      <c r="F74" s="587"/>
      <c r="G74" s="587"/>
    </row>
    <row r="75" spans="1:7" x14ac:dyDescent="0.2">
      <c r="C75" s="586"/>
      <c r="D75" s="587"/>
      <c r="E75" s="587"/>
      <c r="F75" s="587"/>
      <c r="G75" s="587"/>
    </row>
    <row r="76" spans="1:7" x14ac:dyDescent="0.2">
      <c r="C76" s="586"/>
      <c r="D76" s="587"/>
      <c r="E76" s="587"/>
      <c r="F76" s="587"/>
      <c r="G76" s="587"/>
    </row>
    <row r="77" spans="1:7" x14ac:dyDescent="0.2">
      <c r="C77" s="586"/>
      <c r="D77" s="587"/>
      <c r="E77" s="587"/>
      <c r="F77" s="587"/>
      <c r="G77" s="587"/>
    </row>
    <row r="78" spans="1:7" x14ac:dyDescent="0.2">
      <c r="C78" s="586"/>
      <c r="D78" s="587"/>
      <c r="E78" s="587"/>
      <c r="F78" s="587"/>
      <c r="G78" s="587"/>
    </row>
    <row r="79" spans="1:7" x14ac:dyDescent="0.2">
      <c r="C79" s="586"/>
      <c r="D79" s="587"/>
      <c r="E79" s="587"/>
      <c r="F79" s="587"/>
      <c r="G79" s="587"/>
    </row>
    <row r="80" spans="1:7" x14ac:dyDescent="0.2">
      <c r="C80" s="586"/>
      <c r="D80" s="587"/>
      <c r="E80" s="587"/>
      <c r="F80" s="587"/>
      <c r="G80" s="587"/>
    </row>
    <row r="81" spans="3:7" x14ac:dyDescent="0.2">
      <c r="C81" s="586"/>
      <c r="D81" s="587"/>
      <c r="E81" s="587"/>
      <c r="F81" s="587"/>
      <c r="G81" s="587"/>
    </row>
    <row r="82" spans="3:7" x14ac:dyDescent="0.2">
      <c r="C82" s="586"/>
      <c r="D82" s="587"/>
      <c r="E82" s="587"/>
      <c r="F82" s="587"/>
      <c r="G82" s="587"/>
    </row>
    <row r="83" spans="3:7" x14ac:dyDescent="0.2">
      <c r="C83" s="586"/>
      <c r="D83" s="587"/>
      <c r="E83" s="587"/>
      <c r="F83" s="587"/>
      <c r="G83" s="587"/>
    </row>
    <row r="84" spans="3:7" x14ac:dyDescent="0.2">
      <c r="C84" s="586"/>
      <c r="D84" s="587"/>
      <c r="E84" s="587"/>
      <c r="F84" s="587"/>
      <c r="G84" s="587"/>
    </row>
    <row r="85" spans="3:7" x14ac:dyDescent="0.2">
      <c r="C85" s="586"/>
      <c r="D85" s="587"/>
      <c r="E85" s="587"/>
      <c r="F85" s="587"/>
      <c r="G85" s="587"/>
    </row>
    <row r="86" spans="3:7" x14ac:dyDescent="0.2">
      <c r="C86" s="586"/>
      <c r="D86" s="587"/>
      <c r="E86" s="587"/>
      <c r="F86" s="587"/>
      <c r="G86" s="587"/>
    </row>
    <row r="87" spans="3:7" x14ac:dyDescent="0.2">
      <c r="C87" s="586"/>
      <c r="D87" s="587"/>
      <c r="E87" s="587"/>
      <c r="F87" s="587"/>
      <c r="G87" s="587"/>
    </row>
    <row r="88" spans="3:7" x14ac:dyDescent="0.2">
      <c r="C88" s="586"/>
      <c r="D88" s="587"/>
      <c r="E88" s="587"/>
      <c r="F88" s="587"/>
      <c r="G88" s="587"/>
    </row>
    <row r="89" spans="3:7" x14ac:dyDescent="0.2">
      <c r="C89" s="586"/>
      <c r="D89" s="587"/>
      <c r="E89" s="587"/>
      <c r="F89" s="587"/>
      <c r="G89" s="587"/>
    </row>
    <row r="90" spans="3:7" x14ac:dyDescent="0.2">
      <c r="C90" s="586"/>
      <c r="D90" s="587"/>
      <c r="E90" s="587"/>
      <c r="F90" s="587"/>
      <c r="G90" s="587"/>
    </row>
    <row r="91" spans="3:7" x14ac:dyDescent="0.2">
      <c r="C91" s="586"/>
      <c r="D91" s="587"/>
      <c r="E91" s="587"/>
      <c r="F91" s="587"/>
      <c r="G91" s="587"/>
    </row>
    <row r="92" spans="3:7" x14ac:dyDescent="0.2">
      <c r="C92" s="586"/>
      <c r="D92" s="587"/>
      <c r="E92" s="587"/>
      <c r="F92" s="587"/>
      <c r="G92" s="587"/>
    </row>
    <row r="93" spans="3:7" x14ac:dyDescent="0.2">
      <c r="C93" s="586"/>
      <c r="D93" s="587"/>
      <c r="E93" s="587"/>
      <c r="F93" s="587"/>
      <c r="G93" s="587"/>
    </row>
    <row r="94" spans="3:7" x14ac:dyDescent="0.2">
      <c r="C94" s="586"/>
      <c r="D94" s="587"/>
      <c r="E94" s="587"/>
      <c r="F94" s="587"/>
      <c r="G94" s="587"/>
    </row>
    <row r="95" spans="3:7" x14ac:dyDescent="0.2">
      <c r="C95" s="586"/>
      <c r="D95" s="587"/>
      <c r="E95" s="587"/>
      <c r="F95" s="587"/>
      <c r="G95" s="587"/>
    </row>
    <row r="96" spans="3:7" x14ac:dyDescent="0.2">
      <c r="C96" s="586"/>
      <c r="D96" s="587"/>
      <c r="E96" s="587"/>
      <c r="F96" s="587"/>
      <c r="G96" s="587"/>
    </row>
    <row r="97" spans="3:7" x14ac:dyDescent="0.2">
      <c r="C97" s="586"/>
      <c r="D97" s="587"/>
      <c r="E97" s="587"/>
      <c r="F97" s="587"/>
      <c r="G97" s="587"/>
    </row>
    <row r="98" spans="3:7" x14ac:dyDescent="0.2">
      <c r="C98" s="586"/>
      <c r="D98" s="587"/>
      <c r="E98" s="587"/>
      <c r="F98" s="587"/>
      <c r="G98" s="587"/>
    </row>
    <row r="99" spans="3:7" x14ac:dyDescent="0.2">
      <c r="C99" s="586"/>
      <c r="D99" s="587"/>
      <c r="E99" s="587"/>
      <c r="F99" s="587"/>
      <c r="G99" s="587"/>
    </row>
    <row r="100" spans="3:7" x14ac:dyDescent="0.2">
      <c r="C100" s="586"/>
      <c r="D100" s="587"/>
      <c r="E100" s="587"/>
      <c r="F100" s="587"/>
      <c r="G100" s="587"/>
    </row>
    <row r="101" spans="3:7" x14ac:dyDescent="0.2">
      <c r="C101" s="586"/>
      <c r="D101" s="587"/>
      <c r="E101" s="587"/>
      <c r="F101" s="587"/>
      <c r="G101" s="587"/>
    </row>
    <row r="102" spans="3:7" x14ac:dyDescent="0.2">
      <c r="C102" s="586"/>
      <c r="D102" s="587"/>
      <c r="E102" s="587"/>
      <c r="F102" s="587"/>
      <c r="G102" s="587"/>
    </row>
    <row r="103" spans="3:7" x14ac:dyDescent="0.2">
      <c r="C103" s="586"/>
      <c r="D103" s="587"/>
      <c r="E103" s="587"/>
      <c r="F103" s="587"/>
      <c r="G103" s="587"/>
    </row>
    <row r="104" spans="3:7" x14ac:dyDescent="0.2">
      <c r="C104" s="588"/>
      <c r="D104" s="589"/>
      <c r="E104" s="587"/>
      <c r="F104" s="590"/>
      <c r="G104" s="587"/>
    </row>
    <row r="105" spans="3:7" x14ac:dyDescent="0.2">
      <c r="C105" s="588"/>
      <c r="D105" s="589"/>
      <c r="E105" s="587"/>
      <c r="F105" s="590"/>
      <c r="G105" s="587"/>
    </row>
    <row r="106" spans="3:7" x14ac:dyDescent="0.2">
      <c r="C106" s="588"/>
      <c r="D106" s="589"/>
      <c r="E106" s="587"/>
      <c r="F106" s="590"/>
      <c r="G106" s="587"/>
    </row>
    <row r="107" spans="3:7" x14ac:dyDescent="0.2">
      <c r="C107" s="588"/>
      <c r="D107" s="589"/>
      <c r="E107" s="587"/>
      <c r="F107" s="590"/>
      <c r="G107" s="587"/>
    </row>
    <row r="108" spans="3:7" x14ac:dyDescent="0.2">
      <c r="C108" s="588"/>
      <c r="D108" s="589"/>
      <c r="E108" s="587"/>
      <c r="F108" s="590"/>
      <c r="G108" s="587"/>
    </row>
    <row r="109" spans="3:7" x14ac:dyDescent="0.2">
      <c r="C109" s="588"/>
      <c r="D109" s="589"/>
      <c r="E109" s="587"/>
      <c r="F109" s="590"/>
      <c r="G109" s="587"/>
    </row>
    <row r="110" spans="3:7" x14ac:dyDescent="0.2">
      <c r="C110" s="588"/>
      <c r="D110" s="589"/>
      <c r="E110" s="587"/>
      <c r="F110" s="590"/>
      <c r="G110" s="587"/>
    </row>
    <row r="111" spans="3:7" x14ac:dyDescent="0.2">
      <c r="C111" s="588"/>
      <c r="D111" s="589"/>
      <c r="E111" s="587"/>
      <c r="F111" s="590"/>
      <c r="G111" s="587"/>
    </row>
    <row r="112" spans="3:7" x14ac:dyDescent="0.2">
      <c r="C112" s="588"/>
      <c r="D112" s="589"/>
      <c r="E112" s="587"/>
      <c r="F112" s="590"/>
      <c r="G112" s="587"/>
    </row>
    <row r="113" spans="3:7" x14ac:dyDescent="0.2">
      <c r="C113" s="588"/>
      <c r="D113" s="589"/>
      <c r="E113" s="587"/>
      <c r="F113" s="590"/>
      <c r="G113" s="587"/>
    </row>
    <row r="114" spans="3:7" x14ac:dyDescent="0.2">
      <c r="C114" s="588"/>
      <c r="D114" s="589"/>
      <c r="E114" s="587"/>
      <c r="F114" s="590"/>
      <c r="G114" s="587"/>
    </row>
    <row r="115" spans="3:7" x14ac:dyDescent="0.2">
      <c r="C115" s="588"/>
      <c r="D115" s="589"/>
      <c r="E115" s="587"/>
      <c r="F115" s="590"/>
      <c r="G115" s="587"/>
    </row>
    <row r="116" spans="3:7" x14ac:dyDescent="0.2">
      <c r="C116" s="588"/>
      <c r="D116" s="589"/>
      <c r="E116" s="587"/>
      <c r="F116" s="590"/>
      <c r="G116" s="587"/>
    </row>
    <row r="117" spans="3:7" x14ac:dyDescent="0.2">
      <c r="C117" s="588"/>
      <c r="D117" s="589"/>
      <c r="E117" s="587"/>
      <c r="F117" s="590"/>
      <c r="G117" s="587"/>
    </row>
    <row r="118" spans="3:7" x14ac:dyDescent="0.2">
      <c r="C118" s="588"/>
      <c r="D118" s="589"/>
      <c r="E118" s="587"/>
      <c r="F118" s="590"/>
      <c r="G118" s="587"/>
    </row>
    <row r="119" spans="3:7" x14ac:dyDescent="0.2">
      <c r="C119" s="588"/>
      <c r="D119" s="589"/>
      <c r="E119" s="587"/>
      <c r="F119" s="590"/>
      <c r="G119" s="587"/>
    </row>
    <row r="120" spans="3:7" x14ac:dyDescent="0.2">
      <c r="C120" s="588"/>
      <c r="D120" s="589"/>
      <c r="E120" s="587"/>
      <c r="F120" s="590"/>
      <c r="G120" s="587"/>
    </row>
    <row r="121" spans="3:7" x14ac:dyDescent="0.2">
      <c r="C121" s="588"/>
      <c r="D121" s="589"/>
      <c r="E121" s="587"/>
      <c r="F121" s="590"/>
      <c r="G121" s="587"/>
    </row>
    <row r="122" spans="3:7" x14ac:dyDescent="0.2">
      <c r="C122" s="588"/>
      <c r="D122" s="589"/>
      <c r="E122" s="587"/>
      <c r="F122" s="590"/>
      <c r="G122" s="587"/>
    </row>
    <row r="123" spans="3:7" x14ac:dyDescent="0.2">
      <c r="C123" s="588"/>
      <c r="D123" s="589"/>
      <c r="E123" s="587"/>
      <c r="F123" s="590"/>
      <c r="G123" s="587"/>
    </row>
    <row r="124" spans="3:7" x14ac:dyDescent="0.2">
      <c r="C124" s="588"/>
      <c r="D124" s="589"/>
      <c r="E124" s="587"/>
      <c r="F124" s="590"/>
      <c r="G124" s="587"/>
    </row>
    <row r="125" spans="3:7" x14ac:dyDescent="0.2">
      <c r="C125" s="588"/>
      <c r="D125" s="589"/>
      <c r="E125" s="587"/>
      <c r="F125" s="590"/>
      <c r="G125" s="587"/>
    </row>
    <row r="126" spans="3:7" x14ac:dyDescent="0.2">
      <c r="C126" s="588"/>
      <c r="D126" s="589"/>
      <c r="E126" s="587"/>
      <c r="F126" s="590"/>
      <c r="G126" s="587"/>
    </row>
    <row r="127" spans="3:7" x14ac:dyDescent="0.2">
      <c r="C127" s="588"/>
      <c r="D127" s="589"/>
      <c r="E127" s="587"/>
      <c r="F127" s="590"/>
      <c r="G127" s="587"/>
    </row>
    <row r="128" spans="3:7" x14ac:dyDescent="0.2">
      <c r="C128" s="588"/>
      <c r="D128" s="589"/>
      <c r="E128" s="587"/>
      <c r="F128" s="590"/>
      <c r="G128" s="587"/>
    </row>
    <row r="129" spans="3:7" x14ac:dyDescent="0.2">
      <c r="C129" s="588"/>
      <c r="D129" s="589"/>
      <c r="E129" s="587"/>
      <c r="F129" s="590"/>
      <c r="G129" s="587"/>
    </row>
    <row r="130" spans="3:7" x14ac:dyDescent="0.2">
      <c r="C130" s="588"/>
      <c r="D130" s="589"/>
      <c r="E130" s="587"/>
      <c r="F130" s="590"/>
      <c r="G130" s="587"/>
    </row>
    <row r="131" spans="3:7" x14ac:dyDescent="0.2">
      <c r="C131" s="588"/>
      <c r="D131" s="589"/>
      <c r="E131" s="587"/>
      <c r="F131" s="590"/>
      <c r="G131" s="587"/>
    </row>
    <row r="132" spans="3:7" x14ac:dyDescent="0.2">
      <c r="C132" s="588"/>
      <c r="D132" s="589"/>
      <c r="E132" s="587"/>
      <c r="F132" s="590"/>
      <c r="G132" s="587"/>
    </row>
    <row r="133" spans="3:7" x14ac:dyDescent="0.2">
      <c r="C133" s="588"/>
      <c r="D133" s="589"/>
      <c r="E133" s="587"/>
      <c r="F133" s="590"/>
      <c r="G133" s="587"/>
    </row>
    <row r="134" spans="3:7" x14ac:dyDescent="0.2">
      <c r="C134" s="588"/>
      <c r="D134" s="589"/>
      <c r="E134" s="587"/>
      <c r="F134" s="590"/>
      <c r="G134" s="587"/>
    </row>
    <row r="135" spans="3:7" x14ac:dyDescent="0.2">
      <c r="C135" s="588"/>
      <c r="D135" s="589"/>
      <c r="E135" s="587"/>
      <c r="F135" s="590"/>
      <c r="G135" s="587"/>
    </row>
    <row r="136" spans="3:7" x14ac:dyDescent="0.2">
      <c r="C136" s="588"/>
      <c r="D136" s="589"/>
      <c r="E136" s="587"/>
      <c r="F136" s="590"/>
      <c r="G136" s="587"/>
    </row>
    <row r="137" spans="3:7" x14ac:dyDescent="0.2">
      <c r="C137" s="588"/>
      <c r="D137" s="589"/>
      <c r="E137" s="587"/>
      <c r="F137" s="590"/>
      <c r="G137" s="587"/>
    </row>
    <row r="138" spans="3:7" x14ac:dyDescent="0.2">
      <c r="C138" s="588"/>
      <c r="D138" s="589"/>
      <c r="E138" s="587"/>
      <c r="F138" s="590"/>
      <c r="G138" s="587"/>
    </row>
    <row r="139" spans="3:7" x14ac:dyDescent="0.2">
      <c r="C139" s="588"/>
      <c r="D139" s="589"/>
      <c r="E139" s="587"/>
      <c r="F139" s="590"/>
      <c r="G139" s="587"/>
    </row>
    <row r="140" spans="3:7" x14ac:dyDescent="0.2">
      <c r="C140" s="588"/>
      <c r="D140" s="589"/>
      <c r="E140" s="587"/>
      <c r="F140" s="590"/>
      <c r="G140" s="587"/>
    </row>
    <row r="141" spans="3:7" x14ac:dyDescent="0.2">
      <c r="C141" s="588"/>
      <c r="D141" s="589"/>
      <c r="E141" s="587"/>
      <c r="F141" s="590"/>
      <c r="G141" s="587"/>
    </row>
    <row r="142" spans="3:7" x14ac:dyDescent="0.2">
      <c r="C142" s="588"/>
      <c r="D142" s="589"/>
      <c r="E142" s="587"/>
      <c r="F142" s="590"/>
      <c r="G142" s="587"/>
    </row>
    <row r="143" spans="3:7" x14ac:dyDescent="0.2">
      <c r="C143" s="588"/>
      <c r="D143" s="589"/>
      <c r="E143" s="587"/>
      <c r="F143" s="590"/>
      <c r="G143" s="587"/>
    </row>
    <row r="144" spans="3:7" x14ac:dyDescent="0.2">
      <c r="C144" s="588"/>
      <c r="D144" s="589"/>
      <c r="E144" s="587"/>
      <c r="F144" s="590"/>
      <c r="G144" s="587"/>
    </row>
    <row r="145" spans="3:7" x14ac:dyDescent="0.2">
      <c r="C145" s="588"/>
      <c r="D145" s="589"/>
      <c r="E145" s="587"/>
      <c r="F145" s="590"/>
      <c r="G145" s="587"/>
    </row>
    <row r="146" spans="3:7" x14ac:dyDescent="0.2">
      <c r="C146" s="588"/>
      <c r="D146" s="589"/>
      <c r="E146" s="587"/>
      <c r="F146" s="590"/>
      <c r="G146" s="587"/>
    </row>
    <row r="147" spans="3:7" x14ac:dyDescent="0.2">
      <c r="C147" s="588"/>
      <c r="D147" s="589"/>
      <c r="E147" s="587"/>
      <c r="F147" s="590"/>
      <c r="G147" s="587"/>
    </row>
    <row r="148" spans="3:7" x14ac:dyDescent="0.2">
      <c r="C148" s="588"/>
      <c r="D148" s="589"/>
      <c r="E148" s="587"/>
      <c r="F148" s="590"/>
      <c r="G148" s="587"/>
    </row>
    <row r="149" spans="3:7" x14ac:dyDescent="0.2">
      <c r="C149" s="588"/>
      <c r="D149" s="589"/>
      <c r="E149" s="587"/>
      <c r="F149" s="590"/>
      <c r="G149" s="587"/>
    </row>
    <row r="150" spans="3:7" x14ac:dyDescent="0.2">
      <c r="C150" s="588"/>
      <c r="D150" s="589"/>
      <c r="E150" s="587"/>
      <c r="F150" s="590"/>
      <c r="G150" s="587"/>
    </row>
    <row r="151" spans="3:7" x14ac:dyDescent="0.2">
      <c r="C151" s="588"/>
      <c r="D151" s="589"/>
      <c r="E151" s="587"/>
      <c r="F151" s="590"/>
      <c r="G151" s="587"/>
    </row>
    <row r="152" spans="3:7" x14ac:dyDescent="0.2">
      <c r="C152" s="588"/>
      <c r="D152" s="589"/>
      <c r="E152" s="587"/>
      <c r="F152" s="590"/>
      <c r="G152" s="587"/>
    </row>
    <row r="153" spans="3:7" x14ac:dyDescent="0.2">
      <c r="C153" s="588"/>
      <c r="D153" s="589"/>
      <c r="E153" s="587"/>
      <c r="F153" s="590"/>
      <c r="G153" s="587"/>
    </row>
    <row r="154" spans="3:7" x14ac:dyDescent="0.2">
      <c r="C154" s="588"/>
      <c r="D154" s="589"/>
      <c r="E154" s="587"/>
      <c r="F154" s="590"/>
      <c r="G154" s="587"/>
    </row>
    <row r="155" spans="3:7" x14ac:dyDescent="0.2">
      <c r="C155" s="588"/>
      <c r="D155" s="589"/>
      <c r="E155" s="587"/>
      <c r="F155" s="590"/>
      <c r="G155" s="587"/>
    </row>
    <row r="156" spans="3:7" x14ac:dyDescent="0.2">
      <c r="C156" s="588"/>
      <c r="D156" s="589"/>
      <c r="E156" s="587"/>
      <c r="F156" s="590"/>
      <c r="G156" s="587"/>
    </row>
    <row r="157" spans="3:7" x14ac:dyDescent="0.2">
      <c r="C157" s="588"/>
      <c r="D157" s="589"/>
      <c r="E157" s="587"/>
      <c r="F157" s="590"/>
      <c r="G157" s="587"/>
    </row>
    <row r="158" spans="3:7" x14ac:dyDescent="0.2">
      <c r="C158" s="588"/>
      <c r="D158" s="589"/>
      <c r="E158" s="587"/>
      <c r="F158" s="590"/>
      <c r="G158" s="587"/>
    </row>
    <row r="159" spans="3:7" x14ac:dyDescent="0.2">
      <c r="C159" s="588"/>
      <c r="D159" s="589"/>
      <c r="E159" s="587"/>
      <c r="F159" s="590"/>
      <c r="G159" s="587"/>
    </row>
    <row r="160" spans="3:7" x14ac:dyDescent="0.2">
      <c r="C160" s="588"/>
      <c r="D160" s="589"/>
      <c r="E160" s="587"/>
      <c r="F160" s="590"/>
      <c r="G160" s="587"/>
    </row>
    <row r="161" spans="3:7" x14ac:dyDescent="0.2">
      <c r="C161" s="588"/>
      <c r="D161" s="589"/>
      <c r="E161" s="587"/>
      <c r="F161" s="590"/>
      <c r="G161" s="587"/>
    </row>
    <row r="162" spans="3:7" x14ac:dyDescent="0.2">
      <c r="C162" s="588"/>
      <c r="D162" s="589"/>
      <c r="E162" s="587"/>
      <c r="F162" s="590"/>
      <c r="G162" s="587"/>
    </row>
    <row r="163" spans="3:7" x14ac:dyDescent="0.2">
      <c r="C163" s="588"/>
      <c r="D163" s="589"/>
      <c r="E163" s="587"/>
      <c r="F163" s="590"/>
      <c r="G163" s="587"/>
    </row>
    <row r="164" spans="3:7" x14ac:dyDescent="0.2">
      <c r="C164" s="588"/>
      <c r="D164" s="589"/>
      <c r="E164" s="587"/>
      <c r="F164" s="590"/>
      <c r="G164" s="587"/>
    </row>
    <row r="165" spans="3:7" x14ac:dyDescent="0.2">
      <c r="C165" s="588"/>
      <c r="D165" s="589"/>
      <c r="E165" s="587"/>
      <c r="F165" s="590"/>
      <c r="G165" s="587"/>
    </row>
    <row r="166" spans="3:7" x14ac:dyDescent="0.2">
      <c r="C166" s="588"/>
      <c r="D166" s="589"/>
      <c r="E166" s="587"/>
      <c r="F166" s="590"/>
      <c r="G166" s="587"/>
    </row>
    <row r="167" spans="3:7" x14ac:dyDescent="0.2">
      <c r="C167" s="588"/>
      <c r="D167" s="589"/>
      <c r="E167" s="587"/>
      <c r="F167" s="590"/>
      <c r="G167" s="587"/>
    </row>
    <row r="168" spans="3:7" x14ac:dyDescent="0.2">
      <c r="C168" s="588"/>
      <c r="D168" s="589"/>
      <c r="E168" s="587"/>
      <c r="F168" s="590"/>
      <c r="G168" s="587"/>
    </row>
  </sheetData>
  <sheetProtection formatCells="0"/>
  <mergeCells count="1">
    <mergeCell ref="A2:C2"/>
  </mergeCells>
  <hyperlinks>
    <hyperlink ref="A2" location="Index!A1" display="Back to Index" xr:uid="{EF52CD82-5860-4DD9-B81B-2A23A4059047}"/>
  </hyperlinks>
  <pageMargins left="1.0936614173228347" right="0.70866141732283472" top="0.74803149606299213" bottom="0.74803149606299213" header="0.31496062992125984" footer="0.31496062992125984"/>
  <pageSetup scale="66" fitToHeight="0" orientation="portrait" r:id="rId1"/>
  <rowBreaks count="1" manualBreakCount="1">
    <brk id="34" max="16383" man="1"/>
  </rowBreaks>
  <ignoredErrors>
    <ignoredError sqref="C5:F5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26B0-54C7-4CF1-9B41-5E971A3B0619}">
  <sheetPr>
    <pageSetUpPr fitToPage="1"/>
  </sheetPr>
  <dimension ref="A1:AD161"/>
  <sheetViews>
    <sheetView showGridLines="0" zoomScaleNormal="100" workbookViewId="0">
      <pane xSplit="3" ySplit="7" topLeftCell="D8" activePane="bottomRight" state="frozen"/>
      <selection pane="topRight" activeCell="F2" sqref="F2"/>
      <selection pane="bottomLeft" activeCell="F2" sqref="F2"/>
      <selection pane="bottomRight"/>
    </sheetView>
  </sheetViews>
  <sheetFormatPr defaultColWidth="8.85546875" defaultRowHeight="12.75" x14ac:dyDescent="0.2"/>
  <cols>
    <col min="1" max="1" width="2.42578125" customWidth="1"/>
    <col min="2" max="2" width="46.42578125" customWidth="1"/>
    <col min="3" max="3" width="1.42578125" customWidth="1"/>
    <col min="4" max="6" width="11.42578125" style="11" customWidth="1"/>
    <col min="7" max="7" width="2.85546875" customWidth="1"/>
    <col min="8" max="10" width="11.42578125" style="11" customWidth="1"/>
    <col min="11" max="11" width="11.5703125" customWidth="1"/>
  </cols>
  <sheetData>
    <row r="1" spans="1:19" s="4" customFormat="1" ht="20.25" x14ac:dyDescent="0.3">
      <c r="A1" s="593" t="s">
        <v>316</v>
      </c>
      <c r="B1" s="594"/>
      <c r="C1" s="594"/>
      <c r="D1" s="594"/>
      <c r="E1" s="594"/>
      <c r="F1" s="594"/>
      <c r="G1" s="595"/>
      <c r="H1" s="595"/>
      <c r="I1" s="595"/>
      <c r="J1" s="595"/>
      <c r="K1" s="5"/>
    </row>
    <row r="2" spans="1:19" s="6" customFormat="1" ht="15" x14ac:dyDescent="0.25">
      <c r="A2" s="733" t="s">
        <v>34</v>
      </c>
      <c r="B2" s="733"/>
      <c r="C2" s="733"/>
      <c r="D2" s="596"/>
      <c r="E2" s="596"/>
      <c r="F2" s="596"/>
      <c r="G2" s="597"/>
      <c r="H2" s="597"/>
      <c r="I2" s="597"/>
      <c r="J2" s="597"/>
      <c r="K2" s="7"/>
    </row>
    <row r="3" spans="1:19" ht="15" thickBot="1" x14ac:dyDescent="0.25">
      <c r="A3" s="287"/>
      <c r="B3" s="287"/>
      <c r="C3" s="287"/>
      <c r="D3" s="287"/>
      <c r="E3" s="287"/>
      <c r="F3" s="287"/>
      <c r="G3" s="287"/>
      <c r="H3" s="287"/>
      <c r="I3" s="287"/>
      <c r="J3" s="287"/>
    </row>
    <row r="4" spans="1:19" ht="16.350000000000001" customHeight="1" thickTop="1" x14ac:dyDescent="0.25">
      <c r="A4" s="287"/>
      <c r="B4" s="598"/>
      <c r="C4" s="599"/>
      <c r="D4" s="600"/>
      <c r="E4" s="601" t="s">
        <v>317</v>
      </c>
      <c r="F4" s="600"/>
      <c r="G4" s="602"/>
      <c r="H4" s="600"/>
      <c r="I4" s="603" t="s">
        <v>318</v>
      </c>
      <c r="J4" s="604"/>
      <c r="K4" s="2"/>
      <c r="L4" s="2"/>
      <c r="M4" s="2"/>
      <c r="N4" s="2"/>
      <c r="O4" s="2"/>
      <c r="P4" s="2"/>
      <c r="Q4" s="2"/>
      <c r="R4" s="2"/>
      <c r="S4" s="2"/>
    </row>
    <row r="5" spans="1:19" s="610" customFormat="1" ht="15" x14ac:dyDescent="0.25">
      <c r="A5" s="605"/>
      <c r="B5" s="369"/>
      <c r="C5" s="606"/>
      <c r="D5" s="607" t="s">
        <v>319</v>
      </c>
      <c r="E5" s="607" t="s">
        <v>320</v>
      </c>
      <c r="F5" s="607" t="s">
        <v>319</v>
      </c>
      <c r="G5" s="608"/>
      <c r="H5" s="609" t="s">
        <v>319</v>
      </c>
      <c r="I5" s="609" t="s">
        <v>320</v>
      </c>
      <c r="J5" s="609" t="s">
        <v>319</v>
      </c>
      <c r="K5" s="605"/>
      <c r="L5" s="605"/>
      <c r="M5" s="605"/>
      <c r="N5" s="605"/>
      <c r="O5" s="605"/>
      <c r="P5" s="605"/>
      <c r="Q5" s="605"/>
      <c r="R5" s="605"/>
      <c r="S5" s="605"/>
    </row>
    <row r="6" spans="1:19" s="615" customFormat="1" ht="18" thickBot="1" x14ac:dyDescent="0.3">
      <c r="A6" s="611"/>
      <c r="B6" s="612" t="s">
        <v>292</v>
      </c>
      <c r="C6" s="613"/>
      <c r="D6" s="614">
        <v>2026</v>
      </c>
      <c r="E6" s="614" t="s">
        <v>481</v>
      </c>
      <c r="F6" s="614">
        <v>2025</v>
      </c>
      <c r="G6" s="614"/>
      <c r="H6" s="614">
        <v>2026</v>
      </c>
      <c r="I6" s="614" t="s">
        <v>481</v>
      </c>
      <c r="J6" s="614">
        <v>2025</v>
      </c>
      <c r="K6" s="611"/>
      <c r="L6" s="611"/>
      <c r="M6" s="611"/>
      <c r="N6" s="611"/>
      <c r="O6" s="611"/>
      <c r="P6" s="611"/>
      <c r="Q6" s="611"/>
      <c r="R6" s="611"/>
      <c r="S6" s="611"/>
    </row>
    <row r="7" spans="1:19" ht="15.75" thickTop="1" x14ac:dyDescent="0.25">
      <c r="A7" s="287"/>
      <c r="B7" s="562"/>
      <c r="C7" s="616"/>
      <c r="D7" s="616"/>
      <c r="E7" s="616"/>
      <c r="F7" s="616"/>
      <c r="G7" s="419"/>
      <c r="H7" s="617"/>
      <c r="I7" s="419"/>
      <c r="J7" s="618"/>
      <c r="K7" s="2"/>
      <c r="L7" s="2"/>
      <c r="M7" s="2"/>
      <c r="N7" s="2"/>
      <c r="O7" s="2"/>
      <c r="P7" s="2"/>
      <c r="Q7" s="2"/>
      <c r="R7" s="2"/>
      <c r="S7" s="2"/>
    </row>
    <row r="8" spans="1:19" ht="15" x14ac:dyDescent="0.25">
      <c r="A8" s="287"/>
      <c r="B8" s="562" t="s">
        <v>321</v>
      </c>
      <c r="C8" s="616"/>
      <c r="D8" s="616"/>
      <c r="E8" s="616"/>
      <c r="F8" s="616"/>
      <c r="G8" s="419"/>
      <c r="H8" s="617"/>
      <c r="I8" s="617"/>
      <c r="J8" s="618"/>
      <c r="K8" s="2"/>
      <c r="L8" s="2"/>
      <c r="M8" s="2"/>
      <c r="N8" s="2"/>
      <c r="O8" s="2"/>
      <c r="P8" s="2"/>
      <c r="Q8" s="2"/>
      <c r="R8" s="2"/>
      <c r="S8" s="2"/>
    </row>
    <row r="9" spans="1:19" ht="15" x14ac:dyDescent="0.25">
      <c r="A9" s="287"/>
      <c r="B9" s="557" t="s">
        <v>322</v>
      </c>
      <c r="C9" s="616"/>
      <c r="D9" s="223">
        <v>46146</v>
      </c>
      <c r="E9" s="471">
        <v>55844</v>
      </c>
      <c r="F9" s="619">
        <v>57163</v>
      </c>
      <c r="G9" s="471"/>
      <c r="H9" s="225">
        <v>0</v>
      </c>
      <c r="I9" s="245">
        <v>0</v>
      </c>
      <c r="J9" s="245">
        <v>0</v>
      </c>
      <c r="K9" s="2"/>
      <c r="L9" s="620"/>
      <c r="M9" s="2"/>
      <c r="N9" s="2"/>
      <c r="O9" s="2"/>
      <c r="P9" s="2"/>
      <c r="Q9" s="2"/>
      <c r="R9" s="2"/>
      <c r="S9" s="2"/>
    </row>
    <row r="10" spans="1:19" ht="15" x14ac:dyDescent="0.25">
      <c r="A10" s="287"/>
      <c r="B10" s="369" t="s">
        <v>323</v>
      </c>
      <c r="C10" s="369"/>
      <c r="D10" s="223">
        <v>111022</v>
      </c>
      <c r="E10" s="471">
        <v>107361</v>
      </c>
      <c r="F10" s="619">
        <v>93500</v>
      </c>
      <c r="G10" s="471"/>
      <c r="H10" s="225">
        <v>0</v>
      </c>
      <c r="I10" s="245">
        <v>0</v>
      </c>
      <c r="J10" s="245">
        <v>0</v>
      </c>
      <c r="K10" s="2"/>
      <c r="L10" s="621"/>
      <c r="M10" s="2"/>
      <c r="N10" s="2"/>
      <c r="O10" s="2"/>
      <c r="P10" s="2"/>
      <c r="Q10" s="2"/>
      <c r="R10" s="2"/>
      <c r="S10" s="2"/>
    </row>
    <row r="11" spans="1:19" ht="15" x14ac:dyDescent="0.25">
      <c r="A11" s="287"/>
      <c r="B11" s="369" t="s">
        <v>324</v>
      </c>
      <c r="C11" s="616"/>
      <c r="D11" s="223">
        <v>106419</v>
      </c>
      <c r="E11" s="471">
        <v>93881</v>
      </c>
      <c r="F11" s="619">
        <v>84068</v>
      </c>
      <c r="G11" s="471"/>
      <c r="H11" s="174">
        <v>81</v>
      </c>
      <c r="I11" s="245">
        <v>75</v>
      </c>
      <c r="J11" s="245">
        <v>359</v>
      </c>
      <c r="K11" s="2"/>
      <c r="L11" s="621"/>
      <c r="M11" s="2"/>
      <c r="N11" s="2"/>
      <c r="O11" s="2"/>
      <c r="P11" s="2"/>
      <c r="Q11" s="2"/>
      <c r="R11" s="2"/>
      <c r="S11" s="2"/>
    </row>
    <row r="12" spans="1:19" ht="15" x14ac:dyDescent="0.25">
      <c r="A12" s="287"/>
      <c r="B12" s="369" t="s">
        <v>325</v>
      </c>
      <c r="C12" s="616"/>
      <c r="D12" s="223">
        <v>35036</v>
      </c>
      <c r="E12" s="471">
        <v>23621</v>
      </c>
      <c r="F12" s="619">
        <v>24112</v>
      </c>
      <c r="G12" s="471"/>
      <c r="H12" s="174">
        <v>13</v>
      </c>
      <c r="I12" s="245">
        <v>13</v>
      </c>
      <c r="J12" s="245">
        <v>7</v>
      </c>
      <c r="K12" s="2"/>
      <c r="L12" s="621"/>
      <c r="M12" s="2"/>
      <c r="N12" s="2"/>
      <c r="O12" s="2"/>
      <c r="P12" s="2"/>
      <c r="Q12" s="2"/>
      <c r="R12" s="2"/>
      <c r="S12" s="2"/>
    </row>
    <row r="13" spans="1:19" ht="15" x14ac:dyDescent="0.25">
      <c r="A13" s="287"/>
      <c r="B13" s="369" t="s">
        <v>326</v>
      </c>
      <c r="C13" s="616"/>
      <c r="D13" s="223">
        <v>152234</v>
      </c>
      <c r="E13" s="471">
        <v>128380</v>
      </c>
      <c r="F13" s="619">
        <v>109494</v>
      </c>
      <c r="G13" s="471"/>
      <c r="H13" s="174">
        <v>0</v>
      </c>
      <c r="I13" s="245">
        <v>0</v>
      </c>
      <c r="J13" s="245">
        <v>0</v>
      </c>
      <c r="K13" s="2"/>
      <c r="L13" s="621"/>
      <c r="M13" s="2"/>
      <c r="N13" s="2"/>
      <c r="O13" s="2"/>
      <c r="P13" s="2"/>
      <c r="Q13" s="2"/>
      <c r="R13" s="2"/>
      <c r="S13" s="2"/>
    </row>
    <row r="14" spans="1:19" ht="15" x14ac:dyDescent="0.25">
      <c r="A14" s="287"/>
      <c r="B14" s="369" t="s">
        <v>327</v>
      </c>
      <c r="C14" s="622"/>
      <c r="D14" s="223">
        <v>469380</v>
      </c>
      <c r="E14" s="471">
        <v>445011</v>
      </c>
      <c r="F14" s="619">
        <v>433046</v>
      </c>
      <c r="G14" s="471"/>
      <c r="H14" s="174">
        <v>0</v>
      </c>
      <c r="I14" s="245">
        <v>0</v>
      </c>
      <c r="J14" s="245">
        <v>0</v>
      </c>
      <c r="K14" s="2"/>
      <c r="L14" s="621"/>
      <c r="M14" s="2"/>
      <c r="N14" s="2"/>
      <c r="O14" s="2"/>
      <c r="P14" s="2"/>
      <c r="Q14" s="2"/>
      <c r="R14" s="2"/>
      <c r="S14" s="2"/>
    </row>
    <row r="15" spans="1:19" ht="15" x14ac:dyDescent="0.25">
      <c r="A15" s="287"/>
      <c r="B15" s="369" t="s">
        <v>328</v>
      </c>
      <c r="C15" s="622"/>
      <c r="D15" s="223">
        <v>31616</v>
      </c>
      <c r="E15" s="471">
        <v>30100</v>
      </c>
      <c r="F15" s="619">
        <v>27191</v>
      </c>
      <c r="G15" s="471"/>
      <c r="H15" s="226">
        <v>229</v>
      </c>
      <c r="I15" s="241">
        <v>0</v>
      </c>
      <c r="J15" s="241">
        <v>4</v>
      </c>
      <c r="K15" s="2"/>
      <c r="L15" s="621"/>
      <c r="M15" s="2"/>
      <c r="N15" s="2"/>
      <c r="O15" s="2"/>
      <c r="P15" s="2"/>
      <c r="Q15" s="2"/>
      <c r="R15" s="2"/>
      <c r="S15" s="2"/>
    </row>
    <row r="16" spans="1:19" ht="15" x14ac:dyDescent="0.25">
      <c r="A16" s="287"/>
      <c r="B16" s="369" t="s">
        <v>329</v>
      </c>
      <c r="C16" s="616"/>
      <c r="D16" s="223">
        <v>0</v>
      </c>
      <c r="E16" s="471">
        <v>0</v>
      </c>
      <c r="F16" s="471">
        <v>0</v>
      </c>
      <c r="G16" s="623"/>
      <c r="H16" s="226">
        <v>18834</v>
      </c>
      <c r="I16" s="241">
        <v>18835</v>
      </c>
      <c r="J16" s="241">
        <v>19687</v>
      </c>
      <c r="K16" s="2"/>
      <c r="L16" s="621"/>
      <c r="M16" s="2"/>
      <c r="N16" s="2"/>
      <c r="O16" s="2"/>
      <c r="P16" s="2"/>
      <c r="Q16" s="2"/>
      <c r="R16" s="2"/>
      <c r="S16" s="2"/>
    </row>
    <row r="17" spans="1:19" ht="15" x14ac:dyDescent="0.25">
      <c r="A17" s="287"/>
      <c r="B17" s="369" t="s">
        <v>330</v>
      </c>
      <c r="C17" s="616"/>
      <c r="D17" s="223">
        <v>0</v>
      </c>
      <c r="E17" s="471">
        <v>0</v>
      </c>
      <c r="F17" s="471">
        <v>0</v>
      </c>
      <c r="G17" s="623"/>
      <c r="H17" s="174">
        <v>3889</v>
      </c>
      <c r="I17" s="245">
        <v>5087</v>
      </c>
      <c r="J17" s="245">
        <v>6605</v>
      </c>
      <c r="K17" s="2"/>
      <c r="L17" s="621"/>
      <c r="M17" s="2"/>
      <c r="N17" s="2"/>
      <c r="O17" s="2"/>
      <c r="P17" s="2"/>
      <c r="Q17" s="2"/>
      <c r="R17" s="2"/>
      <c r="S17" s="2"/>
    </row>
    <row r="18" spans="1:19" ht="15" x14ac:dyDescent="0.25">
      <c r="B18" s="369" t="s">
        <v>331</v>
      </c>
      <c r="D18" s="223">
        <v>3646</v>
      </c>
      <c r="E18" s="471">
        <v>3490</v>
      </c>
      <c r="F18" s="619">
        <v>3263</v>
      </c>
      <c r="H18" s="226">
        <v>0</v>
      </c>
      <c r="I18" s="241">
        <v>0</v>
      </c>
      <c r="J18" s="241">
        <v>0</v>
      </c>
    </row>
    <row r="19" spans="1:19" ht="15" x14ac:dyDescent="0.25">
      <c r="A19" s="287"/>
      <c r="B19" s="369" t="s">
        <v>332</v>
      </c>
      <c r="C19" s="616"/>
      <c r="D19" s="223">
        <v>3808</v>
      </c>
      <c r="E19" s="471">
        <v>3486</v>
      </c>
      <c r="F19" s="619">
        <v>3662</v>
      </c>
      <c r="G19" s="471"/>
      <c r="H19" s="226">
        <v>0</v>
      </c>
      <c r="I19" s="241">
        <v>0</v>
      </c>
      <c r="J19" s="241">
        <v>0</v>
      </c>
      <c r="K19" s="2"/>
      <c r="L19" s="624"/>
      <c r="M19" s="2"/>
      <c r="N19" s="2"/>
      <c r="O19" s="2"/>
      <c r="P19" s="2"/>
      <c r="Q19" s="2"/>
      <c r="R19" s="2"/>
      <c r="S19" s="2"/>
    </row>
    <row r="20" spans="1:19" ht="15" x14ac:dyDescent="0.25">
      <c r="A20" s="287"/>
      <c r="B20" s="567" t="s">
        <v>333</v>
      </c>
      <c r="C20" s="625"/>
      <c r="D20" s="223">
        <v>6290</v>
      </c>
      <c r="E20" s="471">
        <v>6314</v>
      </c>
      <c r="F20" s="619">
        <v>6397</v>
      </c>
      <c r="G20" s="626"/>
      <c r="H20" s="228">
        <v>0</v>
      </c>
      <c r="I20" s="248">
        <v>0</v>
      </c>
      <c r="J20" s="248">
        <v>0</v>
      </c>
      <c r="K20" s="2"/>
      <c r="L20" s="621"/>
      <c r="M20" s="2"/>
      <c r="N20" s="2"/>
      <c r="O20" s="2"/>
      <c r="P20" s="2"/>
      <c r="Q20" s="2"/>
      <c r="R20" s="2"/>
      <c r="S20" s="2"/>
    </row>
    <row r="21" spans="1:19" ht="15.75" thickBot="1" x14ac:dyDescent="0.3">
      <c r="A21" s="287"/>
      <c r="B21" s="612" t="s">
        <v>56</v>
      </c>
      <c r="C21" s="627"/>
      <c r="D21" s="230">
        <v>965597</v>
      </c>
      <c r="E21" s="628">
        <v>897488</v>
      </c>
      <c r="F21" s="629">
        <v>841896</v>
      </c>
      <c r="G21" s="630"/>
      <c r="H21" s="230">
        <v>23046</v>
      </c>
      <c r="I21" s="628">
        <v>24010</v>
      </c>
      <c r="J21" s="628">
        <v>26662</v>
      </c>
      <c r="K21" s="2"/>
      <c r="L21" s="621"/>
      <c r="M21" s="2"/>
      <c r="N21" s="2"/>
      <c r="O21" s="2"/>
      <c r="P21" s="2"/>
      <c r="Q21" s="2"/>
      <c r="R21" s="2"/>
      <c r="S21" s="2"/>
    </row>
    <row r="22" spans="1:19" ht="15.75" thickTop="1" x14ac:dyDescent="0.25">
      <c r="A22" s="287"/>
      <c r="B22" s="472"/>
      <c r="C22" s="631"/>
      <c r="D22" s="265"/>
      <c r="E22" s="632"/>
      <c r="F22" s="633"/>
      <c r="G22" s="471"/>
      <c r="H22" s="226"/>
      <c r="I22" s="241"/>
      <c r="J22" s="241"/>
      <c r="K22" s="2"/>
      <c r="L22" s="621"/>
      <c r="M22" s="2"/>
      <c r="N22" s="2"/>
      <c r="O22" s="2"/>
      <c r="P22" s="2"/>
      <c r="Q22" s="2"/>
      <c r="R22" s="2"/>
      <c r="S22" s="2"/>
    </row>
    <row r="23" spans="1:19" ht="15" x14ac:dyDescent="0.25">
      <c r="A23" s="287"/>
      <c r="B23" s="562" t="s">
        <v>334</v>
      </c>
      <c r="C23" s="616"/>
      <c r="D23" s="266"/>
      <c r="E23" s="635"/>
      <c r="F23" s="634"/>
      <c r="G23" s="471"/>
      <c r="H23" s="174"/>
      <c r="I23" s="271"/>
      <c r="J23" s="245"/>
      <c r="K23" s="2"/>
      <c r="L23" s="624"/>
      <c r="M23" s="2"/>
      <c r="N23" s="2"/>
      <c r="O23" s="2"/>
      <c r="P23" s="2"/>
      <c r="Q23" s="2"/>
      <c r="R23" s="2"/>
      <c r="S23" s="2"/>
    </row>
    <row r="24" spans="1:19" ht="15" x14ac:dyDescent="0.25">
      <c r="A24" s="287"/>
      <c r="B24" s="369" t="s">
        <v>335</v>
      </c>
      <c r="C24" s="616"/>
      <c r="D24" s="223">
        <v>94469</v>
      </c>
      <c r="E24" s="471">
        <v>79295</v>
      </c>
      <c r="F24" s="471">
        <v>71290</v>
      </c>
      <c r="G24" s="471"/>
      <c r="H24" s="226">
        <v>0</v>
      </c>
      <c r="I24" s="241">
        <v>0</v>
      </c>
      <c r="J24" s="241">
        <v>0</v>
      </c>
      <c r="K24" s="2"/>
      <c r="L24" s="624"/>
      <c r="M24" s="2"/>
      <c r="N24" s="2"/>
      <c r="O24" s="2"/>
      <c r="P24" s="2"/>
      <c r="Q24" s="2"/>
      <c r="R24" s="2"/>
      <c r="S24" s="2"/>
    </row>
    <row r="25" spans="1:19" ht="15" x14ac:dyDescent="0.25">
      <c r="A25" s="287"/>
      <c r="B25" s="369" t="s">
        <v>336</v>
      </c>
      <c r="C25" s="616"/>
      <c r="D25" s="223">
        <v>638203</v>
      </c>
      <c r="E25" s="471">
        <v>610023</v>
      </c>
      <c r="F25" s="471">
        <v>573965</v>
      </c>
      <c r="G25" s="471"/>
      <c r="H25" s="226">
        <v>0</v>
      </c>
      <c r="I25" s="241">
        <v>0</v>
      </c>
      <c r="J25" s="241">
        <v>0</v>
      </c>
      <c r="K25" s="2"/>
      <c r="L25" s="621"/>
      <c r="M25" s="2"/>
      <c r="N25" s="2"/>
      <c r="O25" s="2"/>
      <c r="P25" s="2"/>
      <c r="Q25" s="2"/>
      <c r="R25" s="2"/>
      <c r="S25" s="2"/>
    </row>
    <row r="26" spans="1:19" ht="15" x14ac:dyDescent="0.25">
      <c r="A26" s="287"/>
      <c r="B26" s="369" t="s">
        <v>337</v>
      </c>
      <c r="C26" s="616"/>
      <c r="D26" s="223">
        <v>32212</v>
      </c>
      <c r="E26" s="471">
        <v>23197</v>
      </c>
      <c r="F26" s="471">
        <v>25194</v>
      </c>
      <c r="G26" s="471"/>
      <c r="H26" s="226">
        <v>1</v>
      </c>
      <c r="I26" s="241">
        <v>48</v>
      </c>
      <c r="J26" s="241">
        <v>89</v>
      </c>
      <c r="K26" s="2"/>
      <c r="L26" s="621"/>
      <c r="M26" s="2"/>
      <c r="N26" s="2"/>
      <c r="O26" s="2"/>
      <c r="P26" s="2"/>
      <c r="Q26" s="2"/>
      <c r="R26" s="2"/>
      <c r="S26" s="2"/>
    </row>
    <row r="27" spans="1:19" ht="15" x14ac:dyDescent="0.25">
      <c r="A27" s="287"/>
      <c r="B27" s="369" t="s">
        <v>338</v>
      </c>
      <c r="C27" s="622"/>
      <c r="D27" s="223">
        <v>44094</v>
      </c>
      <c r="E27" s="471">
        <v>36506</v>
      </c>
      <c r="F27" s="471">
        <v>26540</v>
      </c>
      <c r="G27" s="471"/>
      <c r="H27" s="226">
        <v>42</v>
      </c>
      <c r="I27" s="241">
        <v>48</v>
      </c>
      <c r="J27" s="241">
        <v>64</v>
      </c>
      <c r="K27" s="2"/>
      <c r="L27" s="621"/>
      <c r="M27" s="2"/>
      <c r="N27" s="2"/>
      <c r="O27" s="2"/>
      <c r="P27" s="2"/>
      <c r="Q27" s="2"/>
      <c r="R27" s="2"/>
      <c r="S27" s="2"/>
    </row>
    <row r="28" spans="1:19" ht="15" x14ac:dyDescent="0.25">
      <c r="A28" s="287"/>
      <c r="B28" s="369" t="s">
        <v>339</v>
      </c>
      <c r="C28" s="622"/>
      <c r="D28" s="225">
        <v>0</v>
      </c>
      <c r="E28" s="245">
        <v>0</v>
      </c>
      <c r="F28" s="245" t="s">
        <v>360</v>
      </c>
      <c r="G28" s="471"/>
      <c r="H28" s="226">
        <v>1007</v>
      </c>
      <c r="I28" s="241">
        <v>1004</v>
      </c>
      <c r="J28" s="241">
        <v>1008</v>
      </c>
      <c r="K28" s="2"/>
      <c r="L28" s="621"/>
      <c r="M28" s="2"/>
      <c r="N28" s="2"/>
      <c r="O28" s="2"/>
      <c r="P28" s="2"/>
      <c r="Q28" s="2"/>
      <c r="R28" s="2"/>
      <c r="S28" s="2"/>
    </row>
    <row r="29" spans="1:19" ht="15" x14ac:dyDescent="0.25">
      <c r="A29" s="287"/>
      <c r="B29" s="369" t="s">
        <v>340</v>
      </c>
      <c r="C29" s="616"/>
      <c r="D29" s="223">
        <v>86402</v>
      </c>
      <c r="E29" s="471">
        <v>78275</v>
      </c>
      <c r="F29" s="471">
        <v>75037</v>
      </c>
      <c r="G29" s="471"/>
      <c r="H29" s="226">
        <v>4250</v>
      </c>
      <c r="I29" s="241">
        <v>3991</v>
      </c>
      <c r="J29" s="241">
        <v>5708</v>
      </c>
      <c r="K29" s="2"/>
      <c r="L29" s="621"/>
      <c r="M29" s="2"/>
      <c r="N29" s="2"/>
      <c r="O29" s="2"/>
      <c r="P29" s="2"/>
      <c r="Q29" s="2"/>
      <c r="R29" s="2"/>
      <c r="S29" s="2"/>
    </row>
    <row r="30" spans="1:19" ht="15" x14ac:dyDescent="0.25">
      <c r="A30" s="287"/>
      <c r="B30" s="567" t="s">
        <v>341</v>
      </c>
      <c r="C30" s="636"/>
      <c r="D30" s="223">
        <v>0</v>
      </c>
      <c r="E30" s="471">
        <v>1276</v>
      </c>
      <c r="F30" s="471">
        <v>1260</v>
      </c>
      <c r="G30" s="626"/>
      <c r="H30" s="228">
        <v>0</v>
      </c>
      <c r="I30" s="248">
        <v>1276</v>
      </c>
      <c r="J30" s="248">
        <v>1260</v>
      </c>
      <c r="K30" s="2"/>
      <c r="L30" s="621"/>
      <c r="M30" s="2"/>
      <c r="N30" s="2"/>
      <c r="O30" s="2"/>
      <c r="P30" s="2"/>
      <c r="Q30" s="2"/>
      <c r="R30" s="2"/>
      <c r="S30" s="2"/>
    </row>
    <row r="31" spans="1:19" ht="15" x14ac:dyDescent="0.25">
      <c r="A31" s="287"/>
      <c r="B31" s="568" t="s">
        <v>58</v>
      </c>
      <c r="C31" s="637"/>
      <c r="D31" s="224">
        <v>895380</v>
      </c>
      <c r="E31" s="638">
        <v>828572</v>
      </c>
      <c r="F31" s="638">
        <v>773286</v>
      </c>
      <c r="G31" s="626"/>
      <c r="H31" s="228">
        <v>5300</v>
      </c>
      <c r="I31" s="248">
        <v>6367</v>
      </c>
      <c r="J31" s="248">
        <v>8129</v>
      </c>
      <c r="K31" s="2"/>
      <c r="L31" s="621"/>
      <c r="M31" s="2"/>
      <c r="N31" s="2"/>
      <c r="O31" s="2"/>
      <c r="P31" s="2"/>
      <c r="Q31" s="2"/>
      <c r="R31" s="2"/>
      <c r="S31" s="2"/>
    </row>
    <row r="32" spans="1:19" ht="15.75" thickBot="1" x14ac:dyDescent="0.3">
      <c r="A32" s="287"/>
      <c r="B32" s="612" t="s">
        <v>342</v>
      </c>
      <c r="C32" s="639"/>
      <c r="D32" s="267">
        <v>70217</v>
      </c>
      <c r="E32" s="630">
        <v>68916</v>
      </c>
      <c r="F32" s="630">
        <v>68610</v>
      </c>
      <c r="G32" s="630"/>
      <c r="H32" s="267">
        <v>17746</v>
      </c>
      <c r="I32" s="630">
        <v>17643</v>
      </c>
      <c r="J32" s="630">
        <v>18533</v>
      </c>
      <c r="K32" s="2"/>
      <c r="L32" s="621"/>
      <c r="M32" s="2"/>
      <c r="N32" s="2"/>
      <c r="O32" s="2"/>
      <c r="P32" s="2"/>
      <c r="Q32" s="2"/>
      <c r="R32" s="2"/>
      <c r="S32" s="2"/>
    </row>
    <row r="33" spans="1:19" ht="15.75" thickTop="1" x14ac:dyDescent="0.25">
      <c r="A33" s="287"/>
      <c r="B33" s="418"/>
      <c r="C33" s="640"/>
      <c r="D33" s="223"/>
      <c r="E33" s="641"/>
      <c r="F33" s="471"/>
      <c r="G33" s="471"/>
      <c r="H33" s="226"/>
      <c r="I33" s="272"/>
      <c r="J33" s="241"/>
      <c r="K33" s="2"/>
      <c r="L33" s="621"/>
      <c r="M33" s="2"/>
      <c r="N33" s="2"/>
      <c r="O33" s="2"/>
      <c r="P33" s="2"/>
      <c r="Q33" s="2"/>
      <c r="R33" s="2"/>
      <c r="S33" s="2"/>
    </row>
    <row r="34" spans="1:19" ht="15" x14ac:dyDescent="0.25">
      <c r="A34" s="287"/>
      <c r="B34" s="562" t="s">
        <v>343</v>
      </c>
      <c r="C34" s="606"/>
      <c r="D34" s="223"/>
      <c r="E34" s="641"/>
      <c r="F34" s="471"/>
      <c r="G34" s="471"/>
      <c r="H34" s="226"/>
      <c r="I34" s="272"/>
      <c r="J34" s="241"/>
      <c r="K34" s="2"/>
      <c r="L34" s="624"/>
      <c r="M34" s="2"/>
      <c r="N34" s="2"/>
      <c r="O34" s="2"/>
      <c r="P34" s="2"/>
      <c r="Q34" s="2"/>
      <c r="R34" s="2"/>
      <c r="S34" s="2"/>
    </row>
    <row r="35" spans="1:19" ht="15" x14ac:dyDescent="0.25">
      <c r="A35" s="287"/>
      <c r="B35" s="369" t="s">
        <v>344</v>
      </c>
      <c r="C35" s="640"/>
      <c r="D35" s="174">
        <v>11948</v>
      </c>
      <c r="E35" s="245">
        <v>11761</v>
      </c>
      <c r="F35" s="189">
        <v>11769</v>
      </c>
      <c r="G35" s="471"/>
      <c r="H35" s="226">
        <v>12005</v>
      </c>
      <c r="I35" s="241">
        <v>11822</v>
      </c>
      <c r="J35" s="241">
        <v>11818</v>
      </c>
      <c r="K35" s="2"/>
      <c r="L35" s="624"/>
      <c r="M35" s="2"/>
      <c r="N35" s="2"/>
      <c r="O35" s="2"/>
      <c r="P35" s="2"/>
      <c r="Q35" s="2"/>
      <c r="R35" s="2"/>
      <c r="S35" s="2"/>
    </row>
    <row r="36" spans="1:19" ht="15" x14ac:dyDescent="0.25">
      <c r="A36" s="287"/>
      <c r="B36" s="369" t="s">
        <v>345</v>
      </c>
      <c r="C36" s="640"/>
      <c r="D36" s="174" t="s">
        <v>360</v>
      </c>
      <c r="E36" s="245">
        <v>0</v>
      </c>
      <c r="F36" s="189">
        <v>1000</v>
      </c>
      <c r="G36" s="471"/>
      <c r="H36" s="226">
        <v>0</v>
      </c>
      <c r="I36" s="241">
        <v>0</v>
      </c>
      <c r="J36" s="241">
        <v>1000</v>
      </c>
      <c r="K36" s="2"/>
      <c r="L36" s="621"/>
      <c r="M36" s="2"/>
      <c r="N36" s="2"/>
      <c r="O36" s="2"/>
      <c r="P36" s="2"/>
      <c r="Q36" s="2"/>
      <c r="R36" s="2"/>
      <c r="S36" s="2"/>
    </row>
    <row r="37" spans="1:19" ht="15" x14ac:dyDescent="0.25">
      <c r="A37" s="287"/>
      <c r="B37" s="369" t="s">
        <v>346</v>
      </c>
      <c r="C37" s="640"/>
      <c r="D37" s="174">
        <v>1296</v>
      </c>
      <c r="E37" s="245">
        <v>1723</v>
      </c>
      <c r="F37" s="189">
        <v>1173</v>
      </c>
      <c r="G37" s="471"/>
      <c r="H37" s="226">
        <v>50</v>
      </c>
      <c r="I37" s="241">
        <v>145</v>
      </c>
      <c r="J37" s="241">
        <v>23</v>
      </c>
      <c r="K37" s="2"/>
      <c r="L37" s="621"/>
      <c r="M37" s="2"/>
      <c r="N37" s="2"/>
      <c r="O37" s="2"/>
      <c r="P37" s="2"/>
      <c r="Q37" s="2"/>
      <c r="R37" s="2"/>
      <c r="S37" s="2"/>
    </row>
    <row r="38" spans="1:19" ht="15" x14ac:dyDescent="0.25">
      <c r="A38" s="287"/>
      <c r="B38" s="567" t="s">
        <v>347</v>
      </c>
      <c r="C38" s="642"/>
      <c r="D38" s="174">
        <v>56922</v>
      </c>
      <c r="E38" s="245">
        <v>55383</v>
      </c>
      <c r="F38" s="189">
        <v>54622</v>
      </c>
      <c r="G38" s="626"/>
      <c r="H38" s="232">
        <v>5691</v>
      </c>
      <c r="I38" s="246">
        <v>5676</v>
      </c>
      <c r="J38" s="246">
        <v>5692</v>
      </c>
      <c r="K38" s="2"/>
      <c r="L38" s="621"/>
      <c r="M38" s="2"/>
      <c r="N38" s="2"/>
      <c r="O38" s="2"/>
      <c r="P38" s="2"/>
      <c r="Q38" s="2"/>
      <c r="R38" s="2"/>
      <c r="S38" s="2"/>
    </row>
    <row r="39" spans="1:19" ht="15.75" thickBot="1" x14ac:dyDescent="0.3">
      <c r="A39" s="287"/>
      <c r="B39" s="571" t="s">
        <v>348</v>
      </c>
      <c r="C39" s="643"/>
      <c r="D39" s="230">
        <v>70166</v>
      </c>
      <c r="E39" s="628">
        <v>68867</v>
      </c>
      <c r="F39" s="628">
        <v>68564</v>
      </c>
      <c r="G39" s="628"/>
      <c r="H39" s="230">
        <v>17746</v>
      </c>
      <c r="I39" s="628">
        <v>17643</v>
      </c>
      <c r="J39" s="628">
        <v>18533</v>
      </c>
      <c r="K39" s="2"/>
      <c r="L39" s="621"/>
      <c r="M39" s="2"/>
      <c r="N39" s="2"/>
      <c r="O39" s="2"/>
      <c r="P39" s="2"/>
      <c r="Q39" s="2"/>
      <c r="R39" s="2"/>
      <c r="S39" s="2"/>
    </row>
    <row r="40" spans="1:19" ht="15.75" thickTop="1" x14ac:dyDescent="0.25">
      <c r="A40" s="287"/>
      <c r="B40" s="567" t="s">
        <v>349</v>
      </c>
      <c r="C40" s="644"/>
      <c r="D40" s="268">
        <v>51</v>
      </c>
      <c r="E40" s="626">
        <v>49</v>
      </c>
      <c r="F40" s="626">
        <v>46</v>
      </c>
      <c r="G40" s="626"/>
      <c r="H40" s="232">
        <v>0</v>
      </c>
      <c r="I40" s="246">
        <v>0</v>
      </c>
      <c r="J40" s="246">
        <v>0</v>
      </c>
      <c r="K40" s="2"/>
      <c r="L40" s="621"/>
      <c r="M40" s="2"/>
      <c r="N40" s="2"/>
      <c r="O40" s="2"/>
      <c r="P40" s="2"/>
      <c r="Q40" s="2"/>
      <c r="R40" s="2"/>
      <c r="S40" s="2"/>
    </row>
    <row r="41" spans="1:19" ht="15.75" thickBot="1" x14ac:dyDescent="0.3">
      <c r="A41" s="287"/>
      <c r="B41" s="571" t="s">
        <v>350</v>
      </c>
      <c r="C41" s="643"/>
      <c r="D41" s="230">
        <v>70217</v>
      </c>
      <c r="E41" s="628">
        <v>68916</v>
      </c>
      <c r="F41" s="628">
        <v>68610</v>
      </c>
      <c r="G41" s="628"/>
      <c r="H41" s="230">
        <v>17746</v>
      </c>
      <c r="I41" s="628">
        <v>17643</v>
      </c>
      <c r="J41" s="628">
        <v>18533</v>
      </c>
      <c r="K41" s="2"/>
      <c r="L41" s="624"/>
      <c r="M41" s="2"/>
      <c r="N41" s="2"/>
      <c r="O41" s="2"/>
      <c r="P41" s="2"/>
      <c r="Q41" s="2"/>
      <c r="R41" s="2"/>
      <c r="S41" s="2"/>
    </row>
    <row r="42" spans="1:19" ht="15.75" thickTop="1" x14ac:dyDescent="0.25">
      <c r="A42" s="287"/>
      <c r="B42" s="645"/>
      <c r="C42" s="640"/>
      <c r="D42" s="175"/>
      <c r="E42" s="416"/>
      <c r="F42" s="420"/>
      <c r="G42" s="418"/>
      <c r="H42" s="114"/>
      <c r="I42" s="273"/>
      <c r="J42" s="143"/>
      <c r="K42" s="2"/>
      <c r="L42" s="621"/>
      <c r="M42" s="2"/>
      <c r="N42" s="2"/>
      <c r="O42" s="2"/>
      <c r="P42" s="2"/>
      <c r="Q42" s="2"/>
      <c r="R42" s="2"/>
      <c r="S42" s="2"/>
    </row>
    <row r="43" spans="1:19" ht="15" x14ac:dyDescent="0.25">
      <c r="A43" s="287"/>
      <c r="B43" s="646"/>
      <c r="C43" s="640"/>
      <c r="D43" s="175"/>
      <c r="E43" s="420"/>
      <c r="F43" s="420"/>
      <c r="G43" s="418"/>
      <c r="H43" s="114"/>
      <c r="I43" s="273"/>
      <c r="J43" s="143"/>
      <c r="K43" s="2"/>
      <c r="L43" s="647"/>
      <c r="M43" s="2"/>
      <c r="N43" s="2"/>
      <c r="O43" s="2"/>
      <c r="P43" s="2"/>
      <c r="Q43" s="2"/>
      <c r="R43" s="2"/>
      <c r="S43" s="2"/>
    </row>
    <row r="44" spans="1:19" ht="15" x14ac:dyDescent="0.25">
      <c r="A44" s="287"/>
      <c r="B44" s="562" t="s">
        <v>351</v>
      </c>
      <c r="C44" s="640"/>
      <c r="D44" s="175"/>
      <c r="E44" s="420"/>
      <c r="F44" s="420"/>
      <c r="G44" s="419"/>
      <c r="H44" s="175"/>
      <c r="I44" s="416"/>
      <c r="J44" s="418"/>
      <c r="K44" s="2"/>
      <c r="L44" s="647"/>
      <c r="M44" s="2"/>
      <c r="N44" s="2"/>
      <c r="O44" s="2"/>
      <c r="P44" s="2"/>
      <c r="Q44" s="2"/>
      <c r="R44" s="2"/>
      <c r="S44" s="2"/>
    </row>
    <row r="45" spans="1:19" ht="15" x14ac:dyDescent="0.25">
      <c r="A45" s="287"/>
      <c r="B45" s="646" t="s">
        <v>417</v>
      </c>
      <c r="C45" s="640"/>
      <c r="D45" s="269">
        <v>24.69</v>
      </c>
      <c r="E45" s="360">
        <v>24.29</v>
      </c>
      <c r="F45" s="144">
        <v>23.82</v>
      </c>
      <c r="G45" s="648"/>
      <c r="H45" s="270">
        <v>6.24</v>
      </c>
      <c r="I45" s="144">
        <v>6.22</v>
      </c>
      <c r="J45" s="144">
        <v>6.18</v>
      </c>
      <c r="K45" s="2"/>
      <c r="L45" s="647"/>
      <c r="M45" s="2"/>
      <c r="N45" s="2"/>
      <c r="O45" s="2"/>
      <c r="P45" s="2"/>
      <c r="Q45" s="2"/>
      <c r="R45" s="2"/>
      <c r="S45" s="2"/>
    </row>
    <row r="46" spans="1:19" ht="5.0999999999999996" customHeight="1" thickBot="1" x14ac:dyDescent="0.3">
      <c r="A46" s="287"/>
      <c r="B46" s="649"/>
      <c r="C46" s="650"/>
      <c r="D46" s="651"/>
      <c r="E46" s="652"/>
      <c r="F46" s="653"/>
      <c r="G46" s="654"/>
      <c r="H46" s="614"/>
      <c r="I46" s="654"/>
      <c r="J46" s="655"/>
      <c r="K46" s="2"/>
      <c r="L46" s="647"/>
      <c r="M46" s="2"/>
      <c r="N46" s="2"/>
      <c r="O46" s="2"/>
      <c r="P46" s="2"/>
      <c r="Q46" s="2"/>
      <c r="R46" s="2"/>
      <c r="S46" s="2"/>
    </row>
    <row r="47" spans="1:19" ht="15.75" thickTop="1" x14ac:dyDescent="0.25">
      <c r="A47" s="287"/>
      <c r="B47" s="2"/>
      <c r="C47" s="2"/>
      <c r="D47" s="584"/>
      <c r="E47" s="656"/>
      <c r="F47" s="656"/>
      <c r="G47" s="2"/>
      <c r="H47" s="657"/>
      <c r="I47" s="1"/>
      <c r="J47" s="656"/>
      <c r="K47" s="2"/>
      <c r="L47" s="658"/>
      <c r="M47" s="2"/>
      <c r="N47" s="2"/>
      <c r="O47" s="2"/>
      <c r="P47" s="2"/>
      <c r="Q47" s="2"/>
      <c r="R47" s="2"/>
      <c r="S47" s="2"/>
    </row>
    <row r="48" spans="1:19" ht="15" x14ac:dyDescent="0.25">
      <c r="A48" s="327" t="s">
        <v>119</v>
      </c>
      <c r="B48" s="11" t="s">
        <v>352</v>
      </c>
      <c r="C48" s="2"/>
      <c r="D48" s="584"/>
      <c r="E48" s="2"/>
      <c r="F48" s="2"/>
      <c r="G48" s="2"/>
      <c r="H48" s="657"/>
      <c r="I48" s="1"/>
      <c r="J48" s="656"/>
      <c r="K48" s="2"/>
      <c r="L48" s="2"/>
      <c r="M48" s="2"/>
      <c r="N48" s="2"/>
      <c r="O48" s="2"/>
      <c r="P48" s="2"/>
      <c r="Q48" s="2"/>
      <c r="R48" s="2"/>
      <c r="S48" s="2"/>
    </row>
    <row r="49" spans="1:19" s="11" customFormat="1" ht="15" x14ac:dyDescent="0.25">
      <c r="A49" s="327"/>
      <c r="C49" s="2"/>
      <c r="D49" s="2"/>
      <c r="E49" s="2"/>
      <c r="F49" s="2"/>
      <c r="G49" s="2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s="11" customFormat="1" ht="10.5" customHeight="1" x14ac:dyDescent="0.25">
      <c r="A50" s="287"/>
      <c r="C50" s="2"/>
      <c r="D50" s="2"/>
      <c r="E50" s="2"/>
      <c r="F50" s="2"/>
      <c r="G50" s="2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4.25" customHeight="1" x14ac:dyDescent="0.25">
      <c r="B51" s="2"/>
      <c r="C51" s="2"/>
      <c r="D51" s="659"/>
      <c r="E51" s="2"/>
      <c r="F51" s="2"/>
      <c r="G51" s="2"/>
      <c r="H51" s="657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" x14ac:dyDescent="0.25">
      <c r="B52" s="2"/>
      <c r="C52" s="2"/>
      <c r="D52" s="659"/>
      <c r="E52" s="2"/>
      <c r="F52" s="2"/>
      <c r="G52" s="2"/>
      <c r="H52" s="657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" x14ac:dyDescent="0.25">
      <c r="B53" s="2"/>
      <c r="C53" s="2"/>
      <c r="D53" s="2"/>
      <c r="E53" s="2"/>
      <c r="F53" s="2"/>
      <c r="G53" s="2"/>
      <c r="H53" s="657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" x14ac:dyDescent="0.25">
      <c r="B54" s="2"/>
      <c r="C54" s="2"/>
      <c r="D54" s="2"/>
      <c r="E54" s="2"/>
      <c r="F54" s="2"/>
      <c r="G54" s="2"/>
      <c r="H54" s="657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" x14ac:dyDescent="0.25">
      <c r="B55" s="2"/>
      <c r="C55" s="2"/>
      <c r="D55" s="2"/>
      <c r="E55" s="2"/>
      <c r="F55" s="2"/>
      <c r="G55" s="2"/>
      <c r="H55" s="657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" x14ac:dyDescent="0.25">
      <c r="B56" s="2"/>
      <c r="C56" s="2"/>
      <c r="D56" s="2"/>
      <c r="E56" s="2"/>
      <c r="F56" s="2"/>
      <c r="G56" s="2"/>
      <c r="H56" s="657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" x14ac:dyDescent="0.25">
      <c r="B57" s="2"/>
      <c r="C57" s="2"/>
      <c r="D57" s="2"/>
      <c r="E57" s="2"/>
      <c r="F57" s="2"/>
      <c r="G57" s="2"/>
      <c r="H57" s="657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" x14ac:dyDescent="0.25">
      <c r="B58" s="2"/>
      <c r="C58" s="2"/>
      <c r="D58" s="2"/>
      <c r="E58" s="2"/>
      <c r="F58" s="2"/>
      <c r="G58" s="2"/>
      <c r="H58" s="657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" x14ac:dyDescent="0.25">
      <c r="B59" s="2"/>
      <c r="C59" s="2"/>
      <c r="D59" s="2"/>
      <c r="E59" s="2"/>
      <c r="F59" s="2"/>
      <c r="G59" s="2"/>
      <c r="H59" s="657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" x14ac:dyDescent="0.25">
      <c r="B60" s="2"/>
      <c r="C60" s="2"/>
      <c r="D60" s="2"/>
      <c r="E60" s="2"/>
      <c r="F60" s="2"/>
      <c r="G60" s="2"/>
      <c r="H60" s="657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" x14ac:dyDescent="0.25">
      <c r="B61" s="2"/>
      <c r="C61" s="2"/>
      <c r="D61" s="2"/>
      <c r="E61" s="2"/>
      <c r="F61" s="2"/>
      <c r="G61" s="2"/>
      <c r="H61" s="657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" x14ac:dyDescent="0.25">
      <c r="B62" s="2"/>
      <c r="C62" s="2"/>
      <c r="D62" s="2"/>
      <c r="E62" s="2"/>
      <c r="F62" s="2"/>
      <c r="G62" s="2"/>
      <c r="H62" s="657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" x14ac:dyDescent="0.25">
      <c r="B63" s="2"/>
      <c r="C63" s="2"/>
      <c r="D63" s="2"/>
      <c r="E63" s="2"/>
      <c r="F63" s="2"/>
      <c r="G63" s="2"/>
      <c r="H63" s="657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" x14ac:dyDescent="0.25">
      <c r="B64" s="2"/>
      <c r="C64" s="2"/>
      <c r="D64" s="2"/>
      <c r="E64" s="2"/>
      <c r="F64" s="2"/>
      <c r="G64" s="2"/>
      <c r="H64" s="657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2:19" ht="15" x14ac:dyDescent="0.25">
      <c r="B65" s="2"/>
      <c r="C65" s="2"/>
      <c r="D65" s="2"/>
      <c r="E65" s="2"/>
      <c r="F65" s="2"/>
      <c r="G65" s="2"/>
      <c r="H65" s="657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2:19" ht="15" x14ac:dyDescent="0.25">
      <c r="B66" s="2"/>
      <c r="C66" s="2"/>
      <c r="D66" s="2"/>
      <c r="E66" s="2"/>
      <c r="F66" s="2"/>
      <c r="G66" s="2"/>
      <c r="H66" s="657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2:19" ht="15" x14ac:dyDescent="0.25">
      <c r="B67" s="2"/>
      <c r="C67" s="2"/>
      <c r="D67" s="2"/>
      <c r="E67" s="2"/>
      <c r="F67" s="2"/>
      <c r="G67" s="2"/>
      <c r="H67" s="657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2:19" ht="15" x14ac:dyDescent="0.25">
      <c r="B68" s="2"/>
      <c r="C68" s="2"/>
      <c r="D68" s="2"/>
      <c r="E68" s="2"/>
      <c r="F68" s="2"/>
      <c r="G68" s="2"/>
      <c r="H68" s="657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2:19" ht="15" x14ac:dyDescent="0.25">
      <c r="B69" s="2"/>
      <c r="C69" s="2"/>
      <c r="D69" s="2"/>
      <c r="E69" s="2"/>
      <c r="F69" s="2"/>
      <c r="G69" s="2"/>
      <c r="H69" s="657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2:19" ht="15" x14ac:dyDescent="0.25">
      <c r="B70" s="2"/>
      <c r="C70" s="2"/>
      <c r="D70" s="2"/>
      <c r="E70" s="2"/>
      <c r="F70" s="2"/>
      <c r="G70" s="2"/>
      <c r="H70" s="657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2:19" ht="15" x14ac:dyDescent="0.25">
      <c r="B71" s="2"/>
      <c r="C71" s="2"/>
      <c r="D71" s="2"/>
      <c r="E71" s="2"/>
      <c r="F71" s="2"/>
      <c r="G71" s="2"/>
      <c r="H71" s="657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2:19" ht="15" x14ac:dyDescent="0.25">
      <c r="B72" s="2"/>
      <c r="C72" s="2"/>
      <c r="D72" s="2"/>
      <c r="E72" s="2"/>
      <c r="F72" s="2"/>
      <c r="G72" s="2"/>
      <c r="H72" s="657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2:19" ht="15" x14ac:dyDescent="0.25">
      <c r="B73" s="2"/>
      <c r="C73" s="2"/>
      <c r="D73" s="2"/>
      <c r="E73" s="2"/>
      <c r="F73" s="2"/>
      <c r="G73" s="2"/>
      <c r="H73" s="657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2:19" ht="15" x14ac:dyDescent="0.25">
      <c r="B74" s="2"/>
      <c r="C74" s="2"/>
      <c r="D74" s="2"/>
      <c r="E74" s="2"/>
      <c r="F74" s="2"/>
      <c r="G74" s="2"/>
      <c r="H74" s="657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2:19" ht="15" x14ac:dyDescent="0.25">
      <c r="B75" s="2"/>
      <c r="C75" s="2"/>
      <c r="D75" s="2"/>
      <c r="E75" s="2"/>
      <c r="F75" s="2"/>
      <c r="G75" s="2"/>
      <c r="H75" s="657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2:19" ht="15" x14ac:dyDescent="0.25">
      <c r="B76" s="2"/>
      <c r="C76" s="2"/>
      <c r="D76" s="2"/>
      <c r="E76" s="2"/>
      <c r="F76" s="2"/>
      <c r="G76" s="2"/>
      <c r="H76" s="657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2:19" ht="15" x14ac:dyDescent="0.25">
      <c r="B77" s="2"/>
      <c r="C77" s="2"/>
      <c r="D77" s="2"/>
      <c r="E77" s="2"/>
      <c r="F77" s="2"/>
      <c r="G77" s="2"/>
      <c r="H77" s="657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2:19" ht="15" x14ac:dyDescent="0.25">
      <c r="B78" s="2"/>
      <c r="C78" s="2"/>
      <c r="D78" s="2"/>
      <c r="E78" s="2"/>
      <c r="F78" s="2"/>
      <c r="G78" s="2"/>
      <c r="H78" s="657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2:19" ht="15" x14ac:dyDescent="0.25">
      <c r="B79" s="2"/>
      <c r="C79" s="2"/>
      <c r="D79" s="2"/>
      <c r="E79" s="2"/>
      <c r="F79" s="2"/>
      <c r="G79" s="2"/>
      <c r="H79" s="657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2:19" ht="15" x14ac:dyDescent="0.25">
      <c r="B80" s="2"/>
      <c r="C80" s="2"/>
      <c r="D80" s="2"/>
      <c r="E80" s="2"/>
      <c r="F80" s="2"/>
      <c r="G80" s="2"/>
      <c r="H80" s="657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2:30" ht="15" x14ac:dyDescent="0.25">
      <c r="B81" s="2"/>
      <c r="C81" s="2"/>
      <c r="D81" s="2"/>
      <c r="E81" s="2"/>
      <c r="F81" s="2"/>
      <c r="G81" s="2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2:30" ht="15" x14ac:dyDescent="0.25">
      <c r="B82" s="2"/>
      <c r="C82" s="2"/>
      <c r="D82" s="2"/>
      <c r="E82" s="2"/>
      <c r="F82" s="2"/>
      <c r="G82" s="2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2:30" ht="15" x14ac:dyDescent="0.25">
      <c r="B83" s="2"/>
      <c r="C83" s="2"/>
      <c r="D83" s="2"/>
      <c r="E83" s="2"/>
      <c r="F83" s="2"/>
      <c r="G83" s="2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2:30" ht="15" x14ac:dyDescent="0.25">
      <c r="B84" s="2"/>
      <c r="C84" s="2"/>
      <c r="D84" s="2"/>
      <c r="E84" s="2"/>
      <c r="F84" s="2"/>
      <c r="G84" s="2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2:30" ht="15" x14ac:dyDescent="0.25">
      <c r="B85" s="2"/>
      <c r="C85" s="2"/>
      <c r="D85" s="2"/>
      <c r="E85" s="2"/>
      <c r="F85" s="2"/>
      <c r="G85" s="2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2:30" ht="15" x14ac:dyDescent="0.25">
      <c r="B86" s="2"/>
      <c r="C86" s="2"/>
      <c r="D86" s="2"/>
      <c r="E86" s="2"/>
      <c r="F86" s="2"/>
      <c r="G86" s="2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2:30" ht="15" x14ac:dyDescent="0.25">
      <c r="B87" s="2"/>
      <c r="C87" s="2"/>
      <c r="D87" s="2"/>
      <c r="E87" s="2"/>
      <c r="F87" s="2"/>
      <c r="G87" s="2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2:30" ht="14.25" x14ac:dyDescent="0.2">
      <c r="H88" s="660"/>
      <c r="I88" s="660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2:30" ht="14.25" x14ac:dyDescent="0.2">
      <c r="H89" s="660"/>
      <c r="I89" s="660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2:30" ht="14.25" x14ac:dyDescent="0.2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2:30" ht="14.25" x14ac:dyDescent="0.2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2:30" ht="14.25" x14ac:dyDescent="0.2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2:30" ht="14.25" x14ac:dyDescent="0.2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2:30" ht="14.25" x14ac:dyDescent="0.2"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2:30" ht="14.25" x14ac:dyDescent="0.2"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2:30" ht="14.25" x14ac:dyDescent="0.2"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1:30" ht="14.25" x14ac:dyDescent="0.2"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1:30" ht="14.25" x14ac:dyDescent="0.2"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1:30" ht="14.25" x14ac:dyDescent="0.2"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1:30" ht="14.25" x14ac:dyDescent="0.2"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1:30" ht="14.25" x14ac:dyDescent="0.2"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1:30" ht="14.25" x14ac:dyDescent="0.2"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1:30" ht="14.25" x14ac:dyDescent="0.2"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1:30" ht="14.25" x14ac:dyDescent="0.2"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1:30" ht="14.25" x14ac:dyDescent="0.2"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1:30" ht="14.25" x14ac:dyDescent="0.2"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1:30" ht="14.25" x14ac:dyDescent="0.2"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1:30" ht="14.25" x14ac:dyDescent="0.2"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1:30" ht="14.25" x14ac:dyDescent="0.2"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1:30" ht="14.25" x14ac:dyDescent="0.2"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1:30" ht="14.25" x14ac:dyDescent="0.2"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1:30" ht="14.25" x14ac:dyDescent="0.2"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1:30" ht="14.25" x14ac:dyDescent="0.2"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1:30" ht="14.25" x14ac:dyDescent="0.2"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1:30" ht="14.25" x14ac:dyDescent="0.2"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1:30" ht="14.25" x14ac:dyDescent="0.2"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1:30" ht="14.25" x14ac:dyDescent="0.2"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1:30" ht="14.25" x14ac:dyDescent="0.2"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1:30" ht="14.25" x14ac:dyDescent="0.2"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1:30" ht="14.25" x14ac:dyDescent="0.2"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1:30" ht="14.25" x14ac:dyDescent="0.2"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1:30" ht="14.25" x14ac:dyDescent="0.2"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1:30" ht="14.25" x14ac:dyDescent="0.2"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1:30" ht="14.25" x14ac:dyDescent="0.2"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1:30" ht="14.25" x14ac:dyDescent="0.2"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1:30" ht="14.25" x14ac:dyDescent="0.2"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1:30" ht="14.25" x14ac:dyDescent="0.2"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1:30" ht="14.25" x14ac:dyDescent="0.2"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1:30" ht="14.25" x14ac:dyDescent="0.2"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1:30" ht="14.25" x14ac:dyDescent="0.2"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1:30" ht="14.25" x14ac:dyDescent="0.2"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1:30" ht="14.25" x14ac:dyDescent="0.2"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1:30" ht="14.25" x14ac:dyDescent="0.2"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1:30" ht="14.25" x14ac:dyDescent="0.2"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1:30" ht="14.25" x14ac:dyDescent="0.2"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1:30" ht="14.25" x14ac:dyDescent="0.2"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1:30" ht="14.25" x14ac:dyDescent="0.2"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1:30" ht="14.25" x14ac:dyDescent="0.2"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1:30" ht="14.25" x14ac:dyDescent="0.2"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1:30" ht="14.25" x14ac:dyDescent="0.2"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1:30" ht="14.25" x14ac:dyDescent="0.2"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1:30" ht="14.25" x14ac:dyDescent="0.2"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1:30" ht="14.25" x14ac:dyDescent="0.2"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1:30" ht="14.25" x14ac:dyDescent="0.2"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1:30" ht="14.25" x14ac:dyDescent="0.2"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1:30" ht="14.25" x14ac:dyDescent="0.2"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1:30" ht="14.25" x14ac:dyDescent="0.2"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1:30" ht="14.25" x14ac:dyDescent="0.2"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1:30" ht="14.25" x14ac:dyDescent="0.2"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1:30" ht="14.25" x14ac:dyDescent="0.2"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1:30" ht="14.25" x14ac:dyDescent="0.2"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1:30" ht="14.25" x14ac:dyDescent="0.2"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1:30" ht="14.25" x14ac:dyDescent="0.2"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1:30" ht="14.25" x14ac:dyDescent="0.2"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1:30" ht="14.25" x14ac:dyDescent="0.2"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1:30" ht="14.25" x14ac:dyDescent="0.2"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1:30" ht="14.25" x14ac:dyDescent="0.2"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1:30" ht="14.25" x14ac:dyDescent="0.2"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1:30" ht="14.25" x14ac:dyDescent="0.2"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1:30" ht="14.25" x14ac:dyDescent="0.2"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1:30" ht="14.25" x14ac:dyDescent="0.2"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</sheetData>
  <sheetProtection formatCells="0"/>
  <mergeCells count="1">
    <mergeCell ref="A2:C2"/>
  </mergeCells>
  <phoneticPr fontId="2" type="noConversion"/>
  <hyperlinks>
    <hyperlink ref="A2" location="Index!A1" display="Back to Index" xr:uid="{3E94C2CB-DA95-485F-9B4E-5F13408745AF}"/>
  </hyperlinks>
  <pageMargins left="0.74803149606299213" right="0.74803149606299213" top="0.70866141732283472" bottom="0.98425196850393704" header="0.51181102362204722" footer="0.51181102362204722"/>
  <pageSetup scale="74" orientation="portrait" r:id="rId1"/>
  <headerFooter alignWithMargins="0">
    <oddFooter>&amp;L&amp;F &amp;A&amp;R&amp;D&amp;T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93AD-3843-43F8-90B7-36BA68D55F2D}">
  <sheetPr>
    <pageSetUpPr fitToPage="1"/>
  </sheetPr>
  <dimension ref="A1:D64"/>
  <sheetViews>
    <sheetView showGridLines="0" zoomScale="85" zoomScaleNormal="85" workbookViewId="0">
      <pane xSplit="2" ySplit="6" topLeftCell="C7" activePane="bottomRight" state="frozen"/>
      <selection pane="topRight" activeCell="F2" sqref="F2"/>
      <selection pane="bottomLeft" activeCell="F2" sqref="F2"/>
      <selection pane="bottomRight"/>
    </sheetView>
  </sheetViews>
  <sheetFormatPr defaultColWidth="9.42578125" defaultRowHeight="14.25" x14ac:dyDescent="0.2"/>
  <cols>
    <col min="1" max="1" width="3.42578125" style="21" customWidth="1"/>
    <col min="2" max="2" width="75.140625" style="21" customWidth="1"/>
    <col min="3" max="3" width="11.42578125" style="30" customWidth="1"/>
    <col min="4" max="4" width="11.42578125" style="10" customWidth="1"/>
    <col min="5" max="16384" width="9.42578125" style="21"/>
  </cols>
  <sheetData>
    <row r="1" spans="1:4" s="19" customFormat="1" ht="20.25" x14ac:dyDescent="0.3">
      <c r="A1" s="3" t="s">
        <v>353</v>
      </c>
      <c r="B1" s="4"/>
      <c r="C1" s="31"/>
      <c r="D1" s="34"/>
    </row>
    <row r="2" spans="1:4" s="20" customFormat="1" ht="15" x14ac:dyDescent="0.25">
      <c r="A2" s="729" t="s">
        <v>34</v>
      </c>
      <c r="B2" s="729"/>
      <c r="C2" s="729"/>
      <c r="D2" s="35"/>
    </row>
    <row r="3" spans="1:4" ht="15" thickBot="1" x14ac:dyDescent="0.25">
      <c r="A3" s="2"/>
      <c r="B3" s="2"/>
    </row>
    <row r="4" spans="1:4" ht="15.75" thickTop="1" x14ac:dyDescent="0.2">
      <c r="A4" s="2"/>
      <c r="B4" s="734" t="s">
        <v>354</v>
      </c>
      <c r="C4" s="279" t="s">
        <v>289</v>
      </c>
      <c r="D4" s="76" t="s">
        <v>289</v>
      </c>
    </row>
    <row r="5" spans="1:4" ht="15.75" thickBot="1" x14ac:dyDescent="0.25">
      <c r="A5" s="2"/>
      <c r="B5" s="735"/>
      <c r="C5" s="280" t="s">
        <v>479</v>
      </c>
      <c r="D5" s="280" t="s">
        <v>293</v>
      </c>
    </row>
    <row r="6" spans="1:4" ht="15.75" thickTop="1" x14ac:dyDescent="0.2">
      <c r="A6" s="2"/>
      <c r="B6" s="48"/>
      <c r="C6" s="32"/>
      <c r="D6" s="36"/>
    </row>
    <row r="7" spans="1:4" ht="15" x14ac:dyDescent="0.25">
      <c r="A7" s="2"/>
      <c r="B7" s="49" t="s">
        <v>355</v>
      </c>
      <c r="C7" s="24"/>
      <c r="D7" s="8"/>
    </row>
    <row r="8" spans="1:4" ht="15" x14ac:dyDescent="0.25">
      <c r="A8" s="2"/>
      <c r="B8" s="26" t="s">
        <v>50</v>
      </c>
      <c r="C8" s="86">
        <v>7216</v>
      </c>
      <c r="D8" s="9">
        <v>6825</v>
      </c>
    </row>
    <row r="9" spans="1:4" ht="15" x14ac:dyDescent="0.25">
      <c r="A9" s="2"/>
      <c r="B9" s="48"/>
      <c r="C9" s="69"/>
      <c r="D9" s="9"/>
    </row>
    <row r="10" spans="1:4" ht="15" x14ac:dyDescent="0.25">
      <c r="A10" s="2"/>
      <c r="B10" s="49" t="s">
        <v>356</v>
      </c>
      <c r="C10" s="69"/>
      <c r="D10" s="9"/>
    </row>
    <row r="11" spans="1:4" ht="15" x14ac:dyDescent="0.25">
      <c r="A11" s="2"/>
      <c r="B11" s="26" t="s">
        <v>8</v>
      </c>
      <c r="C11" s="86">
        <v>303</v>
      </c>
      <c r="D11" s="9">
        <v>458</v>
      </c>
    </row>
    <row r="12" spans="1:4" ht="15" x14ac:dyDescent="0.25">
      <c r="A12" s="2"/>
      <c r="B12" s="26" t="s">
        <v>46</v>
      </c>
      <c r="C12" s="86">
        <v>11</v>
      </c>
      <c r="D12" s="9">
        <v>12</v>
      </c>
    </row>
    <row r="13" spans="1:4" ht="15" x14ac:dyDescent="0.25">
      <c r="A13" s="2"/>
      <c r="B13" s="26" t="s">
        <v>357</v>
      </c>
      <c r="C13" s="69">
        <v>411</v>
      </c>
      <c r="D13" s="9">
        <v>410</v>
      </c>
    </row>
    <row r="14" spans="1:4" ht="15" x14ac:dyDescent="0.25">
      <c r="A14" s="2"/>
      <c r="B14" s="26" t="s">
        <v>358</v>
      </c>
      <c r="C14" s="86">
        <v>-138</v>
      </c>
      <c r="D14" s="9">
        <v>-142</v>
      </c>
    </row>
    <row r="15" spans="1:4" ht="15" x14ac:dyDescent="0.25">
      <c r="A15" s="2"/>
      <c r="B15" s="26" t="s">
        <v>359</v>
      </c>
      <c r="C15" s="86">
        <v>-3</v>
      </c>
      <c r="D15" s="9">
        <v>1</v>
      </c>
    </row>
    <row r="16" spans="1:4" ht="15" x14ac:dyDescent="0.25">
      <c r="A16" s="2"/>
      <c r="B16" s="26" t="s">
        <v>117</v>
      </c>
      <c r="C16" s="86">
        <v>-101</v>
      </c>
      <c r="D16" s="9">
        <v>-123</v>
      </c>
    </row>
    <row r="17" spans="1:4" ht="15" x14ac:dyDescent="0.25">
      <c r="A17" s="2"/>
      <c r="B17" s="27" t="s">
        <v>361</v>
      </c>
      <c r="C17" s="86">
        <v>111</v>
      </c>
      <c r="D17" s="9">
        <v>97</v>
      </c>
    </row>
    <row r="18" spans="1:4" ht="15" x14ac:dyDescent="0.25">
      <c r="A18" s="2"/>
      <c r="B18" s="27" t="s">
        <v>362</v>
      </c>
      <c r="C18" s="87">
        <v>8</v>
      </c>
      <c r="D18" s="9">
        <v>20</v>
      </c>
    </row>
    <row r="19" spans="1:4" ht="15" x14ac:dyDescent="0.25">
      <c r="A19" s="2"/>
      <c r="B19" s="55" t="s">
        <v>363</v>
      </c>
      <c r="C19" s="86">
        <v>10</v>
      </c>
      <c r="D19" s="9">
        <v>12</v>
      </c>
    </row>
    <row r="20" spans="1:4" s="22" customFormat="1" ht="15" x14ac:dyDescent="0.25">
      <c r="A20" s="1"/>
      <c r="B20" s="50" t="s">
        <v>364</v>
      </c>
      <c r="C20" s="89">
        <v>7828</v>
      </c>
      <c r="D20" s="80">
        <v>7570</v>
      </c>
    </row>
    <row r="21" spans="1:4" ht="15" x14ac:dyDescent="0.25">
      <c r="A21" s="2"/>
      <c r="B21" s="51"/>
      <c r="C21" s="86"/>
      <c r="D21" s="68"/>
    </row>
    <row r="22" spans="1:4" ht="15" x14ac:dyDescent="0.25">
      <c r="A22" s="2"/>
      <c r="B22" s="49" t="s">
        <v>365</v>
      </c>
      <c r="C22" s="69"/>
      <c r="D22" s="68"/>
    </row>
    <row r="23" spans="1:4" ht="15" x14ac:dyDescent="0.25">
      <c r="A23" s="2"/>
      <c r="B23" s="26" t="s">
        <v>335</v>
      </c>
      <c r="C23" s="90">
        <v>14466</v>
      </c>
      <c r="D23" s="9">
        <v>13009</v>
      </c>
    </row>
    <row r="24" spans="1:4" ht="15" x14ac:dyDescent="0.25">
      <c r="A24" s="2"/>
      <c r="B24" s="26" t="s">
        <v>336</v>
      </c>
      <c r="C24" s="90">
        <v>27887</v>
      </c>
      <c r="D24" s="9">
        <v>22291</v>
      </c>
    </row>
    <row r="25" spans="1:4" ht="15" x14ac:dyDescent="0.25">
      <c r="A25" s="2"/>
      <c r="B25" s="26" t="s">
        <v>366</v>
      </c>
      <c r="C25" s="91">
        <v>16788</v>
      </c>
      <c r="D25" s="9">
        <v>-10122</v>
      </c>
    </row>
    <row r="26" spans="1:4" ht="15" x14ac:dyDescent="0.25">
      <c r="A26" s="2"/>
      <c r="B26" s="26" t="s">
        <v>367</v>
      </c>
      <c r="C26" s="90">
        <v>7628</v>
      </c>
      <c r="D26" s="9">
        <v>9097</v>
      </c>
    </row>
    <row r="27" spans="1:4" ht="15" x14ac:dyDescent="0.25">
      <c r="A27" s="2"/>
      <c r="B27" s="48"/>
      <c r="C27" s="90"/>
      <c r="D27" s="81"/>
    </row>
    <row r="28" spans="1:4" ht="15" x14ac:dyDescent="0.25">
      <c r="A28" s="2"/>
      <c r="B28" s="49" t="s">
        <v>368</v>
      </c>
      <c r="C28" s="90"/>
      <c r="D28" s="81"/>
    </row>
    <row r="29" spans="1:4" ht="15" x14ac:dyDescent="0.25">
      <c r="A29" s="2"/>
      <c r="B29" s="26" t="s">
        <v>369</v>
      </c>
      <c r="C29" s="90">
        <v>-4041</v>
      </c>
      <c r="D29" s="9">
        <v>-352</v>
      </c>
    </row>
    <row r="30" spans="1:4" ht="15" x14ac:dyDescent="0.25">
      <c r="A30" s="2"/>
      <c r="B30" s="26" t="s">
        <v>323</v>
      </c>
      <c r="C30" s="90">
        <v>-3909</v>
      </c>
      <c r="D30" s="9">
        <v>-14953</v>
      </c>
    </row>
    <row r="31" spans="1:4" ht="15" x14ac:dyDescent="0.25">
      <c r="A31" s="2"/>
      <c r="B31" s="26" t="s">
        <v>324</v>
      </c>
      <c r="C31" s="90">
        <v>-12121</v>
      </c>
      <c r="D31" s="9">
        <v>-7099</v>
      </c>
    </row>
    <row r="32" spans="1:4" ht="15" x14ac:dyDescent="0.25">
      <c r="A32" s="2"/>
      <c r="B32" s="52" t="s">
        <v>326</v>
      </c>
      <c r="C32" s="90">
        <v>-23367</v>
      </c>
      <c r="D32" s="9">
        <v>-7383</v>
      </c>
    </row>
    <row r="33" spans="1:4" ht="15" x14ac:dyDescent="0.25">
      <c r="A33" s="2"/>
      <c r="B33" s="26" t="s">
        <v>370</v>
      </c>
      <c r="C33" s="90">
        <v>-24542</v>
      </c>
      <c r="D33" s="9">
        <v>-10262</v>
      </c>
    </row>
    <row r="34" spans="1:4" ht="15" x14ac:dyDescent="0.25">
      <c r="A34" s="2"/>
      <c r="B34" s="26" t="s">
        <v>371</v>
      </c>
      <c r="C34" s="90">
        <v>-12820</v>
      </c>
      <c r="D34" s="9">
        <v>3311</v>
      </c>
    </row>
    <row r="35" spans="1:4" ht="15" x14ac:dyDescent="0.25">
      <c r="A35" s="2"/>
      <c r="B35" s="26"/>
      <c r="C35" s="90"/>
      <c r="D35" s="81"/>
    </row>
    <row r="36" spans="1:4" ht="15" x14ac:dyDescent="0.25">
      <c r="A36" s="2"/>
      <c r="B36" s="53" t="s">
        <v>372</v>
      </c>
      <c r="C36" s="92">
        <v>-924</v>
      </c>
      <c r="D36" s="9">
        <v>-779</v>
      </c>
    </row>
    <row r="37" spans="1:4" ht="17.850000000000001" customHeight="1" x14ac:dyDescent="0.25">
      <c r="A37" s="2"/>
      <c r="B37" s="276" t="s">
        <v>491</v>
      </c>
      <c r="C37" s="93">
        <v>-7127</v>
      </c>
      <c r="D37" s="82">
        <v>4328</v>
      </c>
    </row>
    <row r="38" spans="1:4" ht="15" x14ac:dyDescent="0.25">
      <c r="A38" s="2"/>
      <c r="B38" s="48"/>
      <c r="C38" s="90"/>
      <c r="D38" s="81"/>
    </row>
    <row r="39" spans="1:4" ht="15" x14ac:dyDescent="0.25">
      <c r="A39" s="2"/>
      <c r="B39" s="49" t="s">
        <v>373</v>
      </c>
      <c r="C39" s="90"/>
      <c r="D39" s="81"/>
    </row>
    <row r="40" spans="1:4" ht="15" x14ac:dyDescent="0.25">
      <c r="A40" s="2"/>
      <c r="B40" s="26" t="s">
        <v>374</v>
      </c>
      <c r="C40" s="90">
        <v>88</v>
      </c>
      <c r="D40" s="9">
        <v>87</v>
      </c>
    </row>
    <row r="41" spans="1:4" ht="15" x14ac:dyDescent="0.25">
      <c r="A41" s="2"/>
      <c r="B41" s="26" t="s">
        <v>429</v>
      </c>
      <c r="C41" s="90">
        <v>-43</v>
      </c>
      <c r="D41" s="9">
        <v>-329</v>
      </c>
    </row>
    <row r="42" spans="1:4" ht="15" x14ac:dyDescent="0.25">
      <c r="A42" s="2"/>
      <c r="B42" s="26" t="s">
        <v>430</v>
      </c>
      <c r="C42" s="90">
        <v>43</v>
      </c>
      <c r="D42" s="9">
        <v>26</v>
      </c>
    </row>
    <row r="43" spans="1:4" ht="15" x14ac:dyDescent="0.25">
      <c r="A43" s="2"/>
      <c r="B43" s="26" t="s">
        <v>375</v>
      </c>
      <c r="C43" s="94">
        <v>12</v>
      </c>
      <c r="D43" s="9">
        <v>0</v>
      </c>
    </row>
    <row r="44" spans="1:4" ht="15" x14ac:dyDescent="0.25">
      <c r="A44" s="2"/>
      <c r="B44" s="26" t="s">
        <v>420</v>
      </c>
      <c r="C44" s="94">
        <v>0</v>
      </c>
      <c r="D44" s="9">
        <v>31</v>
      </c>
    </row>
    <row r="45" spans="1:4" ht="15" x14ac:dyDescent="0.25">
      <c r="A45" s="2"/>
      <c r="B45" s="26" t="s">
        <v>376</v>
      </c>
      <c r="C45" s="90">
        <v>-679</v>
      </c>
      <c r="D45" s="9">
        <v>-221</v>
      </c>
    </row>
    <row r="46" spans="1:4" s="28" customFormat="1" ht="18" customHeight="1" x14ac:dyDescent="0.25">
      <c r="A46" s="54"/>
      <c r="B46" s="278" t="s">
        <v>431</v>
      </c>
      <c r="C46" s="95">
        <v>-579</v>
      </c>
      <c r="D46" s="277">
        <v>-406</v>
      </c>
    </row>
    <row r="47" spans="1:4" ht="15" x14ac:dyDescent="0.25">
      <c r="A47" s="2"/>
      <c r="B47" s="51"/>
      <c r="C47" s="90"/>
      <c r="D47" s="81"/>
    </row>
    <row r="48" spans="1:4" ht="15" x14ac:dyDescent="0.25">
      <c r="A48" s="2"/>
      <c r="B48" s="50" t="s">
        <v>377</v>
      </c>
      <c r="C48" s="90"/>
      <c r="D48" s="83"/>
    </row>
    <row r="49" spans="1:4" ht="15" x14ac:dyDescent="0.25">
      <c r="A49" s="2"/>
      <c r="B49" s="27" t="s">
        <v>378</v>
      </c>
      <c r="C49" s="94">
        <v>-21</v>
      </c>
      <c r="D49" s="9">
        <v>-21</v>
      </c>
    </row>
    <row r="50" spans="1:4" ht="15" x14ac:dyDescent="0.25">
      <c r="A50" s="2"/>
      <c r="B50" s="27" t="s">
        <v>490</v>
      </c>
      <c r="C50" s="94">
        <v>-1276</v>
      </c>
      <c r="D50" s="9">
        <v>0</v>
      </c>
    </row>
    <row r="51" spans="1:4" ht="15" x14ac:dyDescent="0.25">
      <c r="A51" s="2"/>
      <c r="B51" s="26" t="s">
        <v>379</v>
      </c>
      <c r="C51" s="94">
        <v>-18</v>
      </c>
      <c r="D51" s="68">
        <v>-15</v>
      </c>
    </row>
    <row r="52" spans="1:4" ht="16.5" x14ac:dyDescent="0.25">
      <c r="A52" s="2"/>
      <c r="B52" s="27" t="s">
        <v>380</v>
      </c>
      <c r="C52" s="90">
        <v>-4604</v>
      </c>
      <c r="D52" s="68">
        <v>-3876</v>
      </c>
    </row>
    <row r="53" spans="1:4" ht="15" x14ac:dyDescent="0.25">
      <c r="A53" s="2"/>
      <c r="B53" s="26" t="s">
        <v>381</v>
      </c>
      <c r="C53" s="90">
        <v>-115</v>
      </c>
      <c r="D53" s="68">
        <v>-126</v>
      </c>
    </row>
    <row r="54" spans="1:4" ht="15" x14ac:dyDescent="0.25">
      <c r="A54" s="2"/>
      <c r="B54" s="26" t="s">
        <v>421</v>
      </c>
      <c r="C54" s="90">
        <v>0</v>
      </c>
      <c r="D54" s="68">
        <v>-1341</v>
      </c>
    </row>
    <row r="55" spans="1:4" ht="15" x14ac:dyDescent="0.25">
      <c r="A55" s="2"/>
      <c r="B55" s="26" t="s">
        <v>422</v>
      </c>
      <c r="C55" s="90">
        <v>0</v>
      </c>
      <c r="D55" s="68">
        <v>-355</v>
      </c>
    </row>
    <row r="56" spans="1:4" ht="18" customHeight="1" x14ac:dyDescent="0.25">
      <c r="A56" s="2"/>
      <c r="B56" s="78" t="s">
        <v>382</v>
      </c>
      <c r="C56" s="95">
        <v>-6034</v>
      </c>
      <c r="D56" s="73">
        <v>-5734</v>
      </c>
    </row>
    <row r="57" spans="1:4" ht="18.600000000000001" customHeight="1" x14ac:dyDescent="0.25">
      <c r="A57" s="2"/>
      <c r="B57" s="77" t="s">
        <v>383</v>
      </c>
      <c r="C57" s="92">
        <v>7</v>
      </c>
      <c r="D57" s="68">
        <v>60</v>
      </c>
    </row>
    <row r="58" spans="1:4" ht="18" customHeight="1" x14ac:dyDescent="0.25">
      <c r="A58" s="2"/>
      <c r="B58" s="50" t="s">
        <v>384</v>
      </c>
      <c r="C58" s="86">
        <v>-13733</v>
      </c>
      <c r="D58" s="80">
        <v>-1752</v>
      </c>
    </row>
    <row r="59" spans="1:4" ht="18" customHeight="1" x14ac:dyDescent="0.25">
      <c r="A59" s="2"/>
      <c r="B59" s="29" t="s">
        <v>385</v>
      </c>
      <c r="C59" s="85">
        <v>46382</v>
      </c>
      <c r="D59" s="72">
        <v>47352</v>
      </c>
    </row>
    <row r="60" spans="1:4" ht="18.600000000000001" customHeight="1" thickBot="1" x14ac:dyDescent="0.3">
      <c r="A60" s="2"/>
      <c r="B60" s="79" t="s">
        <v>386</v>
      </c>
      <c r="C60" s="88">
        <v>32649</v>
      </c>
      <c r="D60" s="74">
        <v>45600</v>
      </c>
    </row>
    <row r="61" spans="1:4" ht="15" thickTop="1" x14ac:dyDescent="0.2">
      <c r="A61" s="2"/>
      <c r="B61" s="23"/>
      <c r="C61" s="33"/>
      <c r="D61" s="37"/>
    </row>
    <row r="62" spans="1:4" s="11" customFormat="1" x14ac:dyDescent="0.2">
      <c r="B62" s="96" t="s">
        <v>387</v>
      </c>
      <c r="C62" s="10"/>
      <c r="D62" s="25"/>
    </row>
    <row r="63" spans="1:4" s="11" customFormat="1" x14ac:dyDescent="0.2">
      <c r="B63" s="70" t="s">
        <v>388</v>
      </c>
      <c r="C63" s="10"/>
      <c r="D63" s="25"/>
    </row>
    <row r="64" spans="1:4" x14ac:dyDescent="0.2">
      <c r="A64" s="75"/>
      <c r="B64" s="84"/>
    </row>
  </sheetData>
  <mergeCells count="2">
    <mergeCell ref="A2:C2"/>
    <mergeCell ref="B4:B5"/>
  </mergeCells>
  <phoneticPr fontId="2" type="noConversion"/>
  <hyperlinks>
    <hyperlink ref="A2" location="Index!A1" display="Back to Index" xr:uid="{0BD8DC83-1024-4715-91B4-CDBF41159CBF}"/>
  </hyperlinks>
  <pageMargins left="0.75" right="0.75" top="0.72" bottom="1" header="0.5" footer="0.5"/>
  <pageSetup scale="73" orientation="portrait" horizontalDpi="4294967295" verticalDpi="4294967295" r:id="rId1"/>
  <headerFooter alignWithMargins="0">
    <oddHeader>&amp;C&amp;A</oddHeader>
    <oddFooter>&amp;C&amp;Z&amp;F</oddFooter>
  </headerFooter>
  <ignoredErrors>
    <ignoredError sqref="C5:D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0132-DB92-4B0C-ACA3-09B3902EAF60}">
  <sheetPr>
    <tabColor indexed="25"/>
    <pageSetUpPr fitToPage="1"/>
  </sheetPr>
  <dimension ref="A1:T40"/>
  <sheetViews>
    <sheetView showGridLines="0" zoomScale="85" zoomScaleNormal="85" workbookViewId="0">
      <pane ySplit="2" topLeftCell="A3" activePane="bottomLeft" state="frozen"/>
      <selection activeCell="F2" sqref="F2"/>
      <selection pane="bottomLeft"/>
    </sheetView>
  </sheetViews>
  <sheetFormatPr defaultRowHeight="12.75" x14ac:dyDescent="0.2"/>
  <sheetData>
    <row r="1" spans="1:20" s="4" customFormat="1" ht="20.25" x14ac:dyDescent="0.3">
      <c r="A1" s="3" t="s">
        <v>33</v>
      </c>
      <c r="D1" s="3"/>
      <c r="E1" s="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s="6" customFormat="1" ht="15" x14ac:dyDescent="0.25">
      <c r="A2" s="729" t="s">
        <v>34</v>
      </c>
      <c r="B2" s="729"/>
      <c r="C2" s="729"/>
      <c r="O2" s="7"/>
      <c r="P2" s="7"/>
      <c r="T2" s="7"/>
    </row>
    <row r="4" spans="1:20" s="2" customFormat="1" ht="15" x14ac:dyDescent="0.25">
      <c r="A4" s="1" t="s">
        <v>389</v>
      </c>
    </row>
    <row r="5" spans="1:20" s="2" customFormat="1" ht="15" x14ac:dyDescent="0.25">
      <c r="A5" s="1" t="s">
        <v>434</v>
      </c>
    </row>
    <row r="6" spans="1:20" s="2" customFormat="1" ht="15" x14ac:dyDescent="0.25">
      <c r="A6" s="1" t="s">
        <v>390</v>
      </c>
    </row>
    <row r="7" spans="1:20" s="2" customFormat="1" ht="15" x14ac:dyDescent="0.25">
      <c r="A7" s="1" t="s">
        <v>391</v>
      </c>
    </row>
    <row r="8" spans="1:20" s="2" customFormat="1" ht="15" x14ac:dyDescent="0.25">
      <c r="A8" s="1" t="s">
        <v>392</v>
      </c>
    </row>
    <row r="9" spans="1:20" ht="15" x14ac:dyDescent="0.25">
      <c r="A9" s="1" t="s">
        <v>393</v>
      </c>
    </row>
    <row r="10" spans="1:20" ht="15" x14ac:dyDescent="0.25">
      <c r="A10" s="1" t="s">
        <v>394</v>
      </c>
    </row>
    <row r="11" spans="1:20" ht="15" x14ac:dyDescent="0.25">
      <c r="A11" s="1" t="s">
        <v>395</v>
      </c>
    </row>
    <row r="12" spans="1:20" ht="15" x14ac:dyDescent="0.25">
      <c r="A12" s="1" t="s">
        <v>396</v>
      </c>
    </row>
    <row r="13" spans="1:20" ht="15" x14ac:dyDescent="0.25">
      <c r="A13" s="1" t="s">
        <v>397</v>
      </c>
    </row>
    <row r="14" spans="1:20" ht="15" x14ac:dyDescent="0.25">
      <c r="A14" s="1" t="s">
        <v>398</v>
      </c>
    </row>
    <row r="15" spans="1:20" s="2" customFormat="1" ht="15" x14ac:dyDescent="0.25">
      <c r="A15" s="1" t="s">
        <v>399</v>
      </c>
    </row>
    <row r="16" spans="1:20" s="2" customFormat="1" ht="15" x14ac:dyDescent="0.25">
      <c r="A16" s="1" t="s">
        <v>400</v>
      </c>
    </row>
    <row r="17" spans="1:1" s="2" customFormat="1" ht="15" x14ac:dyDescent="0.25">
      <c r="A17" s="1" t="s">
        <v>401</v>
      </c>
    </row>
    <row r="18" spans="1:1" s="2" customFormat="1" ht="15" x14ac:dyDescent="0.25">
      <c r="A18" s="1" t="s">
        <v>433</v>
      </c>
    </row>
    <row r="19" spans="1:1" s="2" customFormat="1" ht="15" x14ac:dyDescent="0.25">
      <c r="A19" s="1" t="s">
        <v>432</v>
      </c>
    </row>
    <row r="20" spans="1:1" ht="15" x14ac:dyDescent="0.25">
      <c r="A20" s="1" t="s">
        <v>402</v>
      </c>
    </row>
    <row r="21" spans="1:1" ht="15" x14ac:dyDescent="0.25">
      <c r="A21" s="1" t="s">
        <v>403</v>
      </c>
    </row>
    <row r="40" ht="10.5" customHeight="1" x14ac:dyDescent="0.2"/>
  </sheetData>
  <mergeCells count="1">
    <mergeCell ref="A2:C2"/>
  </mergeCells>
  <phoneticPr fontId="2" type="noConversion"/>
  <hyperlinks>
    <hyperlink ref="A2" location="Index!A1" display="Back to Index" xr:uid="{2FFA5C3B-970F-4EC3-AA71-ADD20EBFF02B}"/>
  </hyperlinks>
  <pageMargins left="0.75" right="0.75" top="1" bottom="1" header="0.5" footer="0.5"/>
  <pageSetup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E130-BDF7-44B1-AF3A-E42F8797B9BE}">
  <dimension ref="A1:K55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0" sqref="A1:K10"/>
    </sheetView>
  </sheetViews>
  <sheetFormatPr defaultColWidth="8.5703125" defaultRowHeight="12.75" outlineLevelRow="1" x14ac:dyDescent="0.2"/>
  <cols>
    <col min="1" max="1" width="34.42578125" style="67" bestFit="1" customWidth="1"/>
    <col min="2" max="16384" width="8.5703125" style="67"/>
  </cols>
  <sheetData>
    <row r="1" spans="1:11" s="57" customFormat="1" ht="20.25" x14ac:dyDescent="0.3">
      <c r="A1" s="56" t="s">
        <v>404</v>
      </c>
      <c r="C1" s="34"/>
      <c r="D1" s="34"/>
      <c r="E1" s="58"/>
      <c r="F1" s="59"/>
      <c r="G1" s="58"/>
      <c r="H1" s="60"/>
      <c r="I1" s="60"/>
      <c r="J1" s="60"/>
      <c r="K1" s="60"/>
    </row>
    <row r="2" spans="1:11" s="61" customFormat="1" ht="14.25" x14ac:dyDescent="0.2"/>
    <row r="3" spans="1:11" s="61" customFormat="1" ht="15" x14ac:dyDescent="0.25">
      <c r="A3" s="62" t="s">
        <v>405</v>
      </c>
      <c r="B3" s="62" t="s">
        <v>406</v>
      </c>
      <c r="C3" s="62" t="s">
        <v>407</v>
      </c>
      <c r="D3" s="62" t="s">
        <v>408</v>
      </c>
      <c r="E3" s="62" t="s">
        <v>409</v>
      </c>
      <c r="F3" s="62" t="s">
        <v>410</v>
      </c>
    </row>
    <row r="4" spans="1:11" s="61" customFormat="1" ht="15" x14ac:dyDescent="0.25">
      <c r="A4" s="62"/>
      <c r="B4" s="62"/>
      <c r="C4" s="62"/>
      <c r="D4" s="62"/>
      <c r="E4" s="62"/>
      <c r="F4" s="62"/>
    </row>
    <row r="5" spans="1:11" s="61" customFormat="1" ht="15" x14ac:dyDescent="0.25">
      <c r="A5" s="62" t="s">
        <v>40</v>
      </c>
    </row>
    <row r="6" spans="1:11" s="61" customFormat="1" ht="14.25" x14ac:dyDescent="0.2">
      <c r="A6" s="63" t="s">
        <v>411</v>
      </c>
      <c r="B6" s="64">
        <v>2482</v>
      </c>
      <c r="C6" s="64">
        <v>2303</v>
      </c>
      <c r="D6" s="64">
        <v>2171</v>
      </c>
      <c r="E6" s="64">
        <v>2120</v>
      </c>
      <c r="F6" s="64">
        <v>9076</v>
      </c>
      <c r="G6" s="64"/>
      <c r="H6" s="64"/>
    </row>
    <row r="7" spans="1:11" s="61" customFormat="1" ht="14.25" x14ac:dyDescent="0.2">
      <c r="A7" s="63" t="s">
        <v>412</v>
      </c>
      <c r="B7" s="64" t="e">
        <f>'1.Highlights'!#REF!</f>
        <v>#REF!</v>
      </c>
      <c r="C7" s="64" t="e">
        <f>'1.Highlights'!#REF!</f>
        <v>#REF!</v>
      </c>
      <c r="D7" s="64" t="e">
        <f>'1.Highlights'!#REF!</f>
        <v>#REF!</v>
      </c>
      <c r="E7" s="64" t="e">
        <f>'1.Highlights'!#REF!</f>
        <v>#REF!</v>
      </c>
      <c r="F7" s="64" t="e">
        <f>SUM(B7:E7)</f>
        <v>#REF!</v>
      </c>
      <c r="G7" s="64"/>
      <c r="H7" s="64"/>
    </row>
    <row r="8" spans="1:11" s="61" customFormat="1" ht="14.25" x14ac:dyDescent="0.2">
      <c r="A8" s="61" t="s">
        <v>413</v>
      </c>
      <c r="B8" s="64" t="e">
        <f>IF(AND(B7=0,B6=0),0,IF(OR(AND(B7&gt;0,B6&lt;=0),AND(B7&lt;0,B6&gt;=0)),"nm",IF(AND(B7&lt;0,B6&lt;0),IF(-(B7/B6-1)*100&lt;-100,"(&gt;100)",-(B7/B6-1)*100),IF((B7/B6-1)*100&gt;100,"&gt;100",(B7/B6-1)*100))))</f>
        <v>#REF!</v>
      </c>
      <c r="C8" s="64" t="e">
        <f>IF(AND(C7=0,C6=0),0,IF(OR(AND(C7&gt;0,C6&lt;=0),AND(C7&lt;0,C6&gt;=0)),"nm",IF(AND(C7&lt;0,C6&lt;0),IF(-(C7/C6-1)*100&lt;-100,"(&gt;100)",-(C7/C6-1)*100),IF((C7/C6-1)*100&gt;100,"&gt;100",(C7/C6-1)*100))))</f>
        <v>#REF!</v>
      </c>
      <c r="D8" s="64" t="e">
        <f>IF(AND(D7=0,D6=0),0,IF(OR(AND(D7&gt;0,D6&lt;=0),AND(D7&lt;0,D6&gt;=0)),"nm",IF(AND(D7&lt;0,D6&lt;0),IF(-(D7/D6-1)*100&lt;-100,"(&gt;100)",-(D7/D6-1)*100),IF((D7/D6-1)*100&gt;100,"&gt;100",(D7/D6-1)*100))))</f>
        <v>#REF!</v>
      </c>
      <c r="E8" s="64" t="e">
        <f>IF(AND(E7=0,E6=0),0,IF(OR(AND(E7&gt;0,E6&lt;=0),AND(E7&lt;0,E6&gt;=0)),"nm",IF(AND(E7&lt;0,E6&lt;0),IF(-(E7/E6-1)*100&lt;-100,"(&gt;100)",-(E7/E6-1)*100),IF((E7/E6-1)*100&gt;100,"&gt;100",(E7/E6-1)*100))))</f>
        <v>#REF!</v>
      </c>
      <c r="F8" s="64" t="e">
        <f>IF(AND(F7=0,F6=0),0,IF(OR(AND(F7&gt;0,F6&lt;=0),AND(F7&lt;0,F6&gt;=0)),"nm",IF(AND(F7&lt;0,F6&lt;0),IF(-(F7/F6-1)*100&lt;-100,"(&gt;100)",-(F7/F6-1)*100),IF((F7/F6-1)*100&gt;100,"&gt;100",(F7/F6-1)*100))))</f>
        <v>#REF!</v>
      </c>
      <c r="G8" s="64"/>
      <c r="H8" s="64"/>
    </row>
    <row r="9" spans="1:11" s="61" customFormat="1" ht="14.25" x14ac:dyDescent="0.2">
      <c r="B9" s="64"/>
      <c r="C9" s="64"/>
      <c r="D9" s="64"/>
      <c r="E9" s="64"/>
      <c r="F9" s="64"/>
      <c r="G9" s="64"/>
      <c r="H9" s="64"/>
    </row>
    <row r="10" spans="1:11" s="61" customFormat="1" ht="15" x14ac:dyDescent="0.25">
      <c r="A10" s="62" t="s">
        <v>6</v>
      </c>
      <c r="B10" s="64"/>
      <c r="C10" s="64"/>
      <c r="D10" s="64"/>
      <c r="E10" s="64"/>
      <c r="F10" s="64"/>
      <c r="G10" s="64"/>
      <c r="H10" s="64"/>
    </row>
    <row r="11" spans="1:11" s="61" customFormat="1" ht="14.25" x14ac:dyDescent="0.2">
      <c r="A11" s="63" t="str">
        <f>A6</f>
        <v>2020</v>
      </c>
      <c r="B11" s="64">
        <v>1544</v>
      </c>
      <c r="C11" s="64">
        <v>1423</v>
      </c>
      <c r="D11" s="64">
        <v>1406</v>
      </c>
      <c r="E11" s="64">
        <v>1143</v>
      </c>
      <c r="F11" s="64">
        <v>5516</v>
      </c>
      <c r="G11" s="64"/>
      <c r="H11" s="64"/>
    </row>
    <row r="12" spans="1:11" s="61" customFormat="1" ht="14.25" x14ac:dyDescent="0.2">
      <c r="A12" s="63" t="str">
        <f>A7</f>
        <v>2021</v>
      </c>
      <c r="B12" s="64" t="e">
        <f>SUM('1.Highlights'!#REF!)</f>
        <v>#REF!</v>
      </c>
      <c r="C12" s="64" t="e">
        <f>SUM('1.Highlights'!#REF!)</f>
        <v>#REF!</v>
      </c>
      <c r="D12" s="64" t="e">
        <f>SUM('1.Highlights'!#REF!)</f>
        <v>#REF!</v>
      </c>
      <c r="E12" s="64" t="e">
        <f>SUM('1.Highlights'!#REF!)</f>
        <v>#REF!</v>
      </c>
      <c r="F12" s="64" t="e">
        <f>SUM(B12:E12)</f>
        <v>#REF!</v>
      </c>
      <c r="G12" s="64"/>
      <c r="H12" s="64"/>
    </row>
    <row r="13" spans="1:11" s="61" customFormat="1" ht="14.25" x14ac:dyDescent="0.2">
      <c r="A13" s="61" t="s">
        <v>413</v>
      </c>
      <c r="B13" s="64" t="e">
        <f>IF(AND(B12=0,B11=0),0,IF(OR(AND(B12&gt;0,B11&lt;=0),AND(B12&lt;0,B11&gt;=0)),"nm",IF(AND(B12&lt;0,B11&lt;0),IF(-(B12/B11-1)*100&lt;-100,"(&gt;100)",-(B12/B11-1)*100),IF((B12/B11-1)*100&gt;100,"&gt;100",(B12/B11-1)*100))))</f>
        <v>#REF!</v>
      </c>
      <c r="C13" s="64" t="e">
        <f>IF(AND(C12=0,C11=0),0,IF(OR(AND(C12&gt;0,C11&lt;=0),AND(C12&lt;0,C11&gt;=0)),"nm",IF(AND(C12&lt;0,C11&lt;0),IF(-(C12/C11-1)*100&lt;-100,"(&gt;100)",-(C12/C11-1)*100),IF((C12/C11-1)*100&gt;100,"&gt;100",(C12/C11-1)*100))))</f>
        <v>#REF!</v>
      </c>
      <c r="D13" s="64" t="e">
        <f>IF(AND(D12=0,D11=0),0,IF(OR(AND(D12&gt;0,D11&lt;=0),AND(D12&lt;0,D11&gt;=0)),"nm",IF(AND(D12&lt;0,D11&lt;0),IF(-(D12/D11-1)*100&lt;-100,"(&gt;100)",-(D12/D11-1)*100),IF((D12/D11-1)*100&gt;100,"&gt;100",(D12/D11-1)*100))))</f>
        <v>#REF!</v>
      </c>
      <c r="E13" s="64" t="e">
        <f>IF(AND(E12=0,E11=0),0,IF(OR(AND(E12&gt;0,E11&lt;=0),AND(E12&lt;0,E11&gt;=0)),"nm",IF(AND(E12&lt;0,E11&lt;0),IF(-(E12/E11-1)*100&lt;-100,"(&gt;100)",-(E12/E11-1)*100),IF((E12/E11-1)*100&gt;100,"&gt;100",(E12/E11-1)*100))))</f>
        <v>#REF!</v>
      </c>
      <c r="F13" s="64" t="e">
        <f>IF(AND(F12=0,F11=0),0,IF(OR(AND(F12&gt;0,F11&lt;=0),AND(F12&lt;0,F11&gt;=0)),"nm",IF(AND(F12&lt;0,F11&lt;0),IF(-(F12/F11-1)*100&lt;-100,"(&gt;100)",-(F12/F11-1)*100),IF((F12/F11-1)*100&gt;100,"&gt;100",(F12/F11-1)*100))))</f>
        <v>#REF!</v>
      </c>
      <c r="G13" s="64"/>
      <c r="H13" s="64"/>
    </row>
    <row r="14" spans="1:11" s="61" customFormat="1" ht="14.25" x14ac:dyDescent="0.2">
      <c r="B14" s="64"/>
      <c r="C14" s="64"/>
      <c r="D14" s="64"/>
      <c r="E14" s="64"/>
      <c r="F14" s="64"/>
      <c r="G14" s="64"/>
      <c r="H14" s="64"/>
    </row>
    <row r="15" spans="1:11" s="61" customFormat="1" ht="15" x14ac:dyDescent="0.25">
      <c r="A15" s="62" t="s">
        <v>44</v>
      </c>
      <c r="B15" s="64"/>
      <c r="C15" s="64"/>
      <c r="D15" s="64"/>
      <c r="E15" s="64"/>
      <c r="F15" s="64"/>
      <c r="G15" s="64"/>
      <c r="H15" s="64"/>
    </row>
    <row r="16" spans="1:11" s="61" customFormat="1" ht="14.25" x14ac:dyDescent="0.2">
      <c r="A16" s="63" t="str">
        <f>A6</f>
        <v>2020</v>
      </c>
      <c r="B16" s="64">
        <v>4026</v>
      </c>
      <c r="C16" s="64">
        <v>3726</v>
      </c>
      <c r="D16" s="64">
        <v>3577</v>
      </c>
      <c r="E16" s="64">
        <v>3263</v>
      </c>
      <c r="F16" s="64">
        <v>14592</v>
      </c>
      <c r="G16" s="64"/>
      <c r="H16" s="64"/>
    </row>
    <row r="17" spans="1:8" s="61" customFormat="1" ht="14.25" x14ac:dyDescent="0.2">
      <c r="A17" s="63" t="str">
        <f>A7</f>
        <v>2021</v>
      </c>
      <c r="B17" s="64" t="e">
        <f>SUM(B7,B12)</f>
        <v>#REF!</v>
      </c>
      <c r="C17" s="64" t="e">
        <f>SUM(C7,C12)</f>
        <v>#REF!</v>
      </c>
      <c r="D17" s="64" t="e">
        <f>SUM(D7,D12)</f>
        <v>#REF!</v>
      </c>
      <c r="E17" s="64" t="e">
        <f>SUM(E7,E12)</f>
        <v>#REF!</v>
      </c>
      <c r="F17" s="64" t="e">
        <f>SUM(B17:E17)</f>
        <v>#REF!</v>
      </c>
      <c r="G17" s="64"/>
      <c r="H17" s="64"/>
    </row>
    <row r="18" spans="1:8" s="61" customFormat="1" ht="14.25" x14ac:dyDescent="0.2">
      <c r="A18" s="61" t="s">
        <v>413</v>
      </c>
      <c r="B18" s="64" t="e">
        <f>IF(AND(B17=0,B16=0),0,IF(OR(AND(B17&gt;0,B16&lt;=0),AND(B17&lt;0,B16&gt;=0)),"nm",IF(AND(B17&lt;0,B16&lt;0),IF(-(B17/B16-1)*100&lt;-100,"(&gt;100)",-(B17/B16-1)*100),IF((B17/B16-1)*100&gt;100,"&gt;100",(B17/B16-1)*100))))</f>
        <v>#REF!</v>
      </c>
      <c r="C18" s="64" t="e">
        <f>IF(AND(C17=0,C16=0),0,IF(OR(AND(C17&gt;0,C16&lt;=0),AND(C17&lt;0,C16&gt;=0)),"nm",IF(AND(C17&lt;0,C16&lt;0),IF(-(C17/C16-1)*100&lt;-100,"(&gt;100)",-(C17/C16-1)*100),IF((C17/C16-1)*100&gt;100,"&gt;100",(C17/C16-1)*100))))</f>
        <v>#REF!</v>
      </c>
      <c r="D18" s="64" t="e">
        <f>IF(AND(D17=0,D16=0),0,IF(OR(AND(D17&gt;0,D16&lt;=0),AND(D17&lt;0,D16&gt;=0)),"nm",IF(AND(D17&lt;0,D16&lt;0),IF(-(D17/D16-1)*100&lt;-100,"(&gt;100)",-(D17/D16-1)*100),IF((D17/D16-1)*100&gt;100,"&gt;100",(D17/D16-1)*100))))</f>
        <v>#REF!</v>
      </c>
      <c r="E18" s="64" t="e">
        <f>IF(AND(E17=0,E16=0),0,IF(OR(AND(E17&gt;0,E16&lt;=0),AND(E17&lt;0,E16&gt;=0)),"nm",IF(AND(E17&lt;0,E16&lt;0),IF(-(E17/E16-1)*100&lt;-100,"(&gt;100)",-(E17/E16-1)*100),IF((E17/E16-1)*100&gt;100,"&gt;100",(E17/E16-1)*100))))</f>
        <v>#REF!</v>
      </c>
      <c r="F18" s="64" t="e">
        <f>IF(AND(F17=0,F16=0),0,IF(OR(AND(F17&gt;0,F16&lt;=0),AND(F17&lt;0,F16&gt;=0)),"nm",IF(AND(F17&lt;0,F16&lt;0),IF(-(F17/F16-1)*100&lt;-100,"(&gt;100)",-(F17/F16-1)*100),IF((F17/F16-1)*100&gt;100,"&gt;100",(F17/F16-1)*100))))</f>
        <v>#REF!</v>
      </c>
      <c r="G18" s="64"/>
      <c r="H18" s="64"/>
    </row>
    <row r="19" spans="1:8" s="61" customFormat="1" ht="14.25" x14ac:dyDescent="0.2">
      <c r="B19" s="64"/>
      <c r="C19" s="64"/>
      <c r="D19" s="64"/>
      <c r="E19" s="64"/>
      <c r="F19" s="64"/>
      <c r="G19" s="64"/>
      <c r="H19" s="64"/>
    </row>
    <row r="20" spans="1:8" s="61" customFormat="1" ht="15" x14ac:dyDescent="0.25">
      <c r="A20" s="62" t="s">
        <v>7</v>
      </c>
      <c r="B20" s="64"/>
      <c r="C20" s="64"/>
      <c r="D20" s="64"/>
      <c r="E20" s="64"/>
      <c r="F20" s="64"/>
      <c r="G20" s="64"/>
      <c r="H20" s="64"/>
    </row>
    <row r="21" spans="1:8" s="61" customFormat="1" ht="14.25" x14ac:dyDescent="0.2">
      <c r="A21" s="63" t="str">
        <f>A6</f>
        <v>2020</v>
      </c>
      <c r="B21" s="64">
        <v>1556</v>
      </c>
      <c r="C21" s="64">
        <v>1483</v>
      </c>
      <c r="D21" s="64">
        <v>1539</v>
      </c>
      <c r="E21" s="64">
        <v>1580</v>
      </c>
      <c r="F21" s="64">
        <v>6158</v>
      </c>
      <c r="G21" s="64"/>
      <c r="H21" s="64"/>
    </row>
    <row r="22" spans="1:8" s="61" customFormat="1" ht="14.25" x14ac:dyDescent="0.2">
      <c r="A22" s="63" t="str">
        <f>A7</f>
        <v>2021</v>
      </c>
      <c r="B22" s="64" t="e">
        <f>'1.Highlights'!#REF!</f>
        <v>#REF!</v>
      </c>
      <c r="C22" s="64" t="e">
        <f>'1.Highlights'!#REF!</f>
        <v>#REF!</v>
      </c>
      <c r="D22" s="64" t="e">
        <f>'1.Highlights'!#REF!</f>
        <v>#REF!</v>
      </c>
      <c r="E22" s="64" t="e">
        <f>'1.Highlights'!#REF!</f>
        <v>#REF!</v>
      </c>
      <c r="F22" s="64" t="e">
        <f>SUM(B22:E22)</f>
        <v>#REF!</v>
      </c>
      <c r="G22" s="64"/>
      <c r="H22" s="64"/>
    </row>
    <row r="23" spans="1:8" s="61" customFormat="1" ht="14.25" x14ac:dyDescent="0.2">
      <c r="A23" s="61" t="s">
        <v>413</v>
      </c>
      <c r="B23" s="64" t="e">
        <f>IF(AND(B22=0,B21=0),0,IF(OR(AND(B22&gt;0,B21&lt;=0),AND(B22&lt;0,B21&gt;=0)),"nm",IF(AND(B22&lt;0,B21&lt;0),IF(-(B22/B21-1)*100&lt;-100,"(&gt;100)",-(B22/B21-1)*100),IF((B22/B21-1)*100&gt;100,"&gt;100",(B22/B21-1)*100))))</f>
        <v>#REF!</v>
      </c>
      <c r="C23" s="64" t="e">
        <f>IF(AND(C22=0,C21=0),0,IF(OR(AND(C22&gt;0,C21&lt;=0),AND(C22&lt;0,C21&gt;=0)),"nm",IF(AND(C22&lt;0,C21&lt;0),IF(-(C22/C21-1)*100&lt;-100,"(&gt;100)",-(C22/C21-1)*100),IF((C22/C21-1)*100&gt;100,"&gt;100",(C22/C21-1)*100))))</f>
        <v>#REF!</v>
      </c>
      <c r="D23" s="64" t="e">
        <f>IF(AND(D22=0,D21=0),0,IF(OR(AND(D22&gt;0,D21&lt;=0),AND(D22&lt;0,D21&gt;=0)),"nm",IF(AND(D22&lt;0,D21&lt;0),IF(-(D22/D21-1)*100&lt;-100,"(&gt;100)",-(D22/D21-1)*100),IF((D22/D21-1)*100&gt;100,"&gt;100",(D22/D21-1)*100))))</f>
        <v>#REF!</v>
      </c>
      <c r="E23" s="64" t="e">
        <f>IF(AND(E22=0,E21=0),0,IF(OR(AND(E22&gt;0,E21&lt;=0),AND(E22&lt;0,E21&gt;=0)),"nm",IF(AND(E22&lt;0,E21&lt;0),IF(-(E22/E21-1)*100&lt;-100,"(&gt;100)",-(E22/E21-1)*100),IF((E22/E21-1)*100&gt;100,"&gt;100",(E22/E21-1)*100))))</f>
        <v>#REF!</v>
      </c>
      <c r="F23" s="64" t="e">
        <f>IF(AND(F22=0,F21=0),0,IF(OR(AND(F22&gt;0,F21&lt;=0),AND(F22&lt;0,F21&gt;=0)),"nm",IF(AND(F22&lt;0,F21&lt;0),IF(-(F22/F21-1)*100&lt;-100,"(&gt;100)",-(F22/F21-1)*100),IF((F22/F21-1)*100&gt;100,"&gt;100",(F22/F21-1)*100))))</f>
        <v>#REF!</v>
      </c>
      <c r="G23" s="64"/>
      <c r="H23" s="64"/>
    </row>
    <row r="24" spans="1:8" s="61" customFormat="1" ht="14.25" x14ac:dyDescent="0.2">
      <c r="B24" s="64"/>
      <c r="C24" s="64"/>
      <c r="D24" s="64"/>
      <c r="E24" s="64"/>
      <c r="F24" s="64"/>
      <c r="G24" s="64"/>
      <c r="H24" s="64"/>
    </row>
    <row r="25" spans="1:8" s="61" customFormat="1" ht="15" x14ac:dyDescent="0.25">
      <c r="A25" s="62" t="s">
        <v>414</v>
      </c>
      <c r="B25" s="64"/>
      <c r="C25" s="64"/>
      <c r="D25" s="64"/>
      <c r="E25" s="64"/>
      <c r="F25" s="64"/>
      <c r="G25" s="64"/>
      <c r="H25" s="64"/>
    </row>
    <row r="26" spans="1:8" s="61" customFormat="1" ht="14.25" x14ac:dyDescent="0.2">
      <c r="A26" s="63" t="str">
        <f>A6</f>
        <v>2020</v>
      </c>
      <c r="B26" s="64">
        <v>1086</v>
      </c>
      <c r="C26" s="64">
        <v>849</v>
      </c>
      <c r="D26" s="64">
        <v>554</v>
      </c>
      <c r="E26" s="64">
        <v>577</v>
      </c>
      <c r="F26" s="64">
        <v>3066</v>
      </c>
      <c r="G26" s="64"/>
      <c r="H26" s="64"/>
    </row>
    <row r="27" spans="1:8" s="61" customFormat="1" ht="14.25" x14ac:dyDescent="0.2">
      <c r="A27" s="63" t="str">
        <f>A7</f>
        <v>2021</v>
      </c>
      <c r="B27" s="64" t="e">
        <f>'1.Highlights'!#REF!</f>
        <v>#REF!</v>
      </c>
      <c r="C27" s="64" t="e">
        <f>'1.Highlights'!#REF!</f>
        <v>#REF!</v>
      </c>
      <c r="D27" s="64" t="e">
        <f>'1.Highlights'!#REF!</f>
        <v>#REF!</v>
      </c>
      <c r="E27" s="64" t="e">
        <f>'1.Highlights'!#REF!</f>
        <v>#REF!</v>
      </c>
      <c r="F27" s="64" t="e">
        <f>SUM(B27:E27)</f>
        <v>#REF!</v>
      </c>
      <c r="G27" s="64"/>
      <c r="H27" s="64"/>
    </row>
    <row r="28" spans="1:8" s="61" customFormat="1" ht="14.25" x14ac:dyDescent="0.2">
      <c r="A28" s="61" t="s">
        <v>413</v>
      </c>
      <c r="B28" s="64" t="e">
        <f>IF(AND(B27=0,B26=0),0,IF(OR(AND(B27&gt;0,B26&lt;=0),AND(B27&lt;0,B26&gt;=0)),"nm",IF(AND(B27&lt;0,B26&lt;0),IF(-(B27/B26-1)*100&lt;-100,"(&gt;100)",-(B27/B26-1)*100),IF((B27/B26-1)*100&gt;100,"&gt;100",(B27/B26-1)*100))))</f>
        <v>#REF!</v>
      </c>
      <c r="C28" s="65" t="e">
        <f>IF(AND(C27=0,C26=0),0,IF(OR(AND(C27&gt;0,C26&lt;=0),AND(C27&lt;0,C26&gt;=0)),"nm",IF(AND(C27&lt;0,C26&lt;0),IF(-(C27/C26-1)*100&lt;-100,"(&gt;100)",-(C27/C26-1)*100),IF((C27/C26-1)*100&gt;100,"&gt;100",(C27/C26-1)*100))))</f>
        <v>#REF!</v>
      </c>
      <c r="D28" s="65" t="e">
        <f>IF(AND(D27=0,D26=0),0,IF(OR(AND(D27&gt;0,D26&lt;=0),AND(D27&lt;0,D26&gt;=0)),"nm",IF(AND(D27&lt;0,D26&lt;0),IF(-(D27/D26-1)*100&lt;-100,"(&gt;100)",-(D27/D26-1)*100),IF((D27/D26-1)*100&gt;100,"&gt;100",(D27/D26-1)*100))))</f>
        <v>#REF!</v>
      </c>
      <c r="E28" s="64" t="e">
        <f>IF(AND(E27=0,E26=0),0,IF(OR(AND(E27&gt;0,E26&lt;=0),AND(E27&lt;0,E26&gt;=0)),"nm",IF(AND(E27&lt;0,E26&lt;0),IF(-(E27/E26-1)*100&lt;-100,"(&gt;100)",-(E27/E26-1)*100),IF((E27/E26-1)*100&gt;100,"&gt;100",(E27/E26-1)*100))))</f>
        <v>#REF!</v>
      </c>
      <c r="F28" s="64" t="e">
        <f>IF(AND(F27=0,F26=0),0,IF(OR(AND(F27&gt;0,F26&lt;=0),AND(F27&lt;0,F26&gt;=0)),"nm",IF(AND(F27&lt;0,F26&lt;0),IF(-(F27/F26-1)*100&lt;-100,"(&gt;100)",-(F27/F26-1)*100),IF((F27/F26-1)*100&gt;100,"&gt;100",(F27/F26-1)*100))))</f>
        <v>#REF!</v>
      </c>
      <c r="G28" s="64"/>
      <c r="H28" s="64"/>
    </row>
    <row r="29" spans="1:8" s="61" customFormat="1" ht="14.25" x14ac:dyDescent="0.2">
      <c r="B29" s="64"/>
      <c r="C29" s="64"/>
      <c r="D29" s="64"/>
      <c r="E29" s="64"/>
      <c r="F29" s="64"/>
      <c r="G29" s="64"/>
      <c r="H29" s="64"/>
    </row>
    <row r="30" spans="1:8" s="61" customFormat="1" ht="15" x14ac:dyDescent="0.25">
      <c r="A30" s="62" t="s">
        <v>50</v>
      </c>
      <c r="G30" s="64"/>
      <c r="H30" s="64"/>
    </row>
    <row r="31" spans="1:8" s="61" customFormat="1" ht="14.25" x14ac:dyDescent="0.2">
      <c r="A31" s="63" t="str">
        <f>A6</f>
        <v>2020</v>
      </c>
      <c r="B31" s="64">
        <v>1384</v>
      </c>
      <c r="C31" s="64">
        <v>1394</v>
      </c>
      <c r="D31" s="64">
        <v>1484</v>
      </c>
      <c r="E31" s="64">
        <v>1106</v>
      </c>
      <c r="F31" s="64">
        <v>5368</v>
      </c>
      <c r="G31" s="64"/>
      <c r="H31" s="64"/>
    </row>
    <row r="32" spans="1:8" s="61" customFormat="1" ht="14.25" x14ac:dyDescent="0.2">
      <c r="A32" s="63" t="str">
        <f>A7</f>
        <v>2021</v>
      </c>
      <c r="B32" s="64" t="e">
        <f>B17-B22-B27</f>
        <v>#REF!</v>
      </c>
      <c r="C32" s="64" t="e">
        <f>C17-C22-C27</f>
        <v>#REF!</v>
      </c>
      <c r="D32" s="64" t="e">
        <f>D17-D22-D27</f>
        <v>#REF!</v>
      </c>
      <c r="E32" s="64" t="e">
        <f>E17-E22-E27</f>
        <v>#REF!</v>
      </c>
      <c r="F32" s="64" t="e">
        <f>SUM(B32:E32)</f>
        <v>#REF!</v>
      </c>
      <c r="G32" s="64"/>
      <c r="H32" s="64"/>
    </row>
    <row r="33" spans="1:8" s="61" customFormat="1" ht="14.25" x14ac:dyDescent="0.2">
      <c r="A33" s="61" t="s">
        <v>413</v>
      </c>
      <c r="B33" s="64" t="e">
        <f>IF(AND(B32=0,B31=0),0,IF(OR(AND(B32&gt;0,B31&lt;=0),AND(B32&lt;0,B31&gt;=0)),"nm",IF(AND(B32&lt;0,B31&lt;0),IF(-(B32/B31-1)*100&lt;-100,"(&gt;100)",-(B32/B31-1)*100),IF((B32/B31-1)*100&gt;100,"&gt;100",(B32/B31-1)*100))))</f>
        <v>#REF!</v>
      </c>
      <c r="C33" s="64" t="e">
        <f>IF(AND(C32=0,C31=0),0,IF(OR(AND(C32&gt;0,C31&lt;=0),AND(C32&lt;0,C31&gt;=0)),"nm",IF(AND(C32&lt;0,C31&lt;0),IF(-(C32/C31-1)*100&lt;-100,"(&gt;100)",-(C32/C31-1)*100),IF((C32/C31-1)*100&gt;100,"&gt;100",(C32/C31-1)*100))))</f>
        <v>#REF!</v>
      </c>
      <c r="D33" s="64" t="e">
        <f>IF(AND(D32=0,D31=0),0,IF(OR(AND(D32&gt;0,D31&lt;=0),AND(D32&lt;0,D31&gt;=0)),"nm",IF(AND(D32&lt;0,D31&lt;0),IF(-(D32/D31-1)*100&lt;-100,"(&gt;100)",-(D32/D31-1)*100),IF((D32/D31-1)*100&gt;100,"&gt;100",(D32/D31-1)*100))))</f>
        <v>#REF!</v>
      </c>
      <c r="E33" s="64" t="e">
        <f>IF(AND(E32=0,E31=0),0,IF(OR(AND(E32&gt;0,E31&lt;=0),AND(E32&lt;0,E31&gt;=0)),"nm",IF(AND(E32&lt;0,E31&lt;0),IF(-(E32/E31-1)*100&lt;-100,"(&gt;100)",-(E32/E31-1)*100),IF((E32/E31-1)*100&gt;100,"&gt;100",(E32/E31-1)*100))))</f>
        <v>#REF!</v>
      </c>
      <c r="F33" s="64" t="e">
        <f>IF(AND(F32=0,F31=0),0,IF(OR(AND(F32&gt;0,F31&lt;=0),AND(F32&lt;0,F31&gt;=0)),"nm",IF(AND(F32&lt;0,F31&lt;0),IF(-(F32/F31-1)*100&lt;-100,"(&gt;100)",-(F32/F31-1)*100),IF((F32/F31-1)*100&gt;100,"&gt;100",(F32/F31-1)*100))))</f>
        <v>#REF!</v>
      </c>
      <c r="G33" s="64"/>
      <c r="H33" s="64"/>
    </row>
    <row r="34" spans="1:8" s="61" customFormat="1" ht="14.25" x14ac:dyDescent="0.2">
      <c r="B34" s="64"/>
      <c r="C34" s="64"/>
      <c r="D34" s="64"/>
      <c r="E34" s="64"/>
      <c r="F34" s="64"/>
      <c r="G34" s="64"/>
      <c r="H34" s="64"/>
    </row>
    <row r="35" spans="1:8" s="61" customFormat="1" ht="15" x14ac:dyDescent="0.25">
      <c r="A35" s="62" t="s">
        <v>286</v>
      </c>
      <c r="B35" s="64"/>
      <c r="C35" s="64"/>
      <c r="D35" s="64"/>
      <c r="E35" s="64"/>
      <c r="F35" s="64"/>
      <c r="G35" s="64"/>
      <c r="H35" s="64"/>
    </row>
    <row r="36" spans="1:8" s="61" customFormat="1" ht="14.25" x14ac:dyDescent="0.2">
      <c r="A36" s="63" t="str">
        <f>A6</f>
        <v>2020</v>
      </c>
      <c r="B36" s="64">
        <v>1165</v>
      </c>
      <c r="C36" s="64">
        <v>1247</v>
      </c>
      <c r="D36" s="64">
        <v>1297</v>
      </c>
      <c r="E36" s="64">
        <v>1012</v>
      </c>
      <c r="F36" s="64">
        <v>4721</v>
      </c>
      <c r="G36" s="64"/>
      <c r="H36" s="64"/>
    </row>
    <row r="37" spans="1:8" s="61" customFormat="1" ht="14.25" x14ac:dyDescent="0.2">
      <c r="A37" s="63" t="str">
        <f>A7</f>
        <v>2021</v>
      </c>
      <c r="B37" s="64" t="e">
        <f>'1.Highlights'!#REF!</f>
        <v>#REF!</v>
      </c>
      <c r="C37" s="64" t="e">
        <f>'1.Highlights'!#REF!</f>
        <v>#REF!</v>
      </c>
      <c r="D37" s="64" t="e">
        <f>'1.Highlights'!#REF!</f>
        <v>#REF!</v>
      </c>
      <c r="E37" s="64" t="e">
        <f>'1.Highlights'!#REF!</f>
        <v>#REF!</v>
      </c>
      <c r="F37" s="64" t="e">
        <f>SUM(B37:E37)</f>
        <v>#REF!</v>
      </c>
      <c r="G37" s="64"/>
      <c r="H37" s="64"/>
    </row>
    <row r="38" spans="1:8" s="61" customFormat="1" ht="14.25" x14ac:dyDescent="0.2">
      <c r="A38" s="61" t="s">
        <v>413</v>
      </c>
      <c r="B38" s="64" t="e">
        <f>IF(AND(B37=0,B36=0),0,IF(OR(AND(B37&gt;0,B36&lt;=0),AND(B37&lt;0,B36&gt;=0)),"nm",IF(AND(B37&lt;0,B36&lt;0),IF(-(B37/B36-1)*100&lt;-100,"(&gt;100)",-(B37/B36-1)*100),IF((B37/B36-1)*100&gt;100,"&gt;100",(B37/B36-1)*100))))</f>
        <v>#REF!</v>
      </c>
      <c r="C38" s="64" t="e">
        <f>IF(AND(C37=0,C36=0),0,IF(OR(AND(C37&gt;0,C36&lt;=0),AND(C37&lt;0,C36&gt;=0)),"nm",IF(AND(C37&lt;0,C36&lt;0),IF(-(C37/C36-1)*100&lt;-100,"(&gt;100)",-(C37/C36-1)*100),IF((C37/C36-1)*100&gt;100,"&gt;100",(C37/C36-1)*100))))</f>
        <v>#REF!</v>
      </c>
      <c r="D38" s="64" t="e">
        <f>IF(AND(D37=0,D36=0),0,IF(OR(AND(D37&gt;0,D36&lt;=0),AND(D37&lt;0,D36&gt;=0)),"nm",IF(AND(D37&lt;0,D36&lt;0),IF(-(D37/D36-1)*100&lt;-100,"(&gt;100)",-(D37/D36-1)*100),IF((D37/D36-1)*100&gt;100,"&gt;100",(D37/D36-1)*100))))</f>
        <v>#REF!</v>
      </c>
      <c r="E38" s="64" t="e">
        <f>IF(AND(E37=0,E36=0),0,IF(OR(AND(E37&gt;0,E36&lt;=0),AND(E37&lt;0,E36&gt;=0)),"nm",IF(AND(E37&lt;0,E36&lt;0),IF(-(E37/E36-1)*100&lt;-100,"(&gt;100)",-(E37/E36-1)*100),IF((E37/E36-1)*100&gt;100,"&gt;100",(E37/E36-1)*100))))</f>
        <v>#REF!</v>
      </c>
      <c r="F38" s="64" t="e">
        <f>IF(AND(F37=0,F36=0),0,IF(OR(AND(F37&gt;0,F36&lt;=0),AND(F37&lt;0,F36&gt;=0)),"nm",IF(AND(F37&lt;0,F36&lt;0),IF(-(F37/F36-1)*100&lt;-100,"(&gt;100)",-(F37/F36-1)*100),IF((F37/F36-1)*100&gt;100,"&gt;100",(F37/F36-1)*100))))</f>
        <v>#REF!</v>
      </c>
      <c r="G38" s="64"/>
      <c r="H38" s="64"/>
    </row>
    <row r="39" spans="1:8" s="61" customFormat="1" ht="14.25" x14ac:dyDescent="0.2">
      <c r="B39" s="64"/>
      <c r="C39" s="64"/>
      <c r="D39" s="64"/>
      <c r="E39" s="64"/>
      <c r="F39" s="64"/>
      <c r="G39" s="64"/>
      <c r="H39" s="64"/>
    </row>
    <row r="40" spans="1:8" s="61" customFormat="1" ht="15" outlineLevel="1" x14ac:dyDescent="0.25">
      <c r="A40" s="62" t="s">
        <v>415</v>
      </c>
      <c r="B40" s="64"/>
      <c r="C40" s="64"/>
      <c r="D40" s="64"/>
      <c r="E40" s="64"/>
      <c r="F40" s="64"/>
      <c r="G40" s="64"/>
      <c r="H40" s="64"/>
    </row>
    <row r="41" spans="1:8" s="61" customFormat="1" ht="14.25" outlineLevel="1" x14ac:dyDescent="0.2">
      <c r="A41" s="63" t="str">
        <f>A6</f>
        <v>2020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/>
      <c r="H41" s="64"/>
    </row>
    <row r="42" spans="1:8" s="61" customFormat="1" ht="14.25" outlineLevel="1" x14ac:dyDescent="0.2">
      <c r="A42" s="63" t="str">
        <f>A7</f>
        <v>2021</v>
      </c>
      <c r="B42" s="64" t="e">
        <f>'1.Highlights'!#REF!</f>
        <v>#REF!</v>
      </c>
      <c r="C42" s="64" t="e">
        <f>'1.Highlights'!#REF!</f>
        <v>#REF!</v>
      </c>
      <c r="D42" s="64" t="e">
        <f>'1.Highlights'!#REF!</f>
        <v>#REF!</v>
      </c>
      <c r="E42" s="64" t="e">
        <f>'1.Highlights'!#REF!</f>
        <v>#REF!</v>
      </c>
      <c r="F42" s="64" t="e">
        <f>SUM(B42:E42)</f>
        <v>#REF!</v>
      </c>
      <c r="G42" s="64"/>
      <c r="H42" s="64"/>
    </row>
    <row r="43" spans="1:8" s="61" customFormat="1" ht="14.25" outlineLevel="1" x14ac:dyDescent="0.2">
      <c r="A43" s="61" t="s">
        <v>413</v>
      </c>
      <c r="B43" s="65" t="e">
        <f>IF(AND(B42=0,B41=0),0,IF(OR(AND(B42&gt;0,B41&lt;=0),AND(B42&lt;0,B41&gt;=0)),"nm",IF(AND(B42&lt;0,B41&lt;0),IF(-(B42/B41-1)*100&lt;-100,"(&gt;100)",-(B42/B41-1)*100),IF((B42/B41-1)*100&gt;100,"&gt;100",(B42/B41-1)*100))))</f>
        <v>#REF!</v>
      </c>
      <c r="C43" s="65" t="e">
        <f>IF(AND(C42=0,C41=0),0,IF(OR(AND(C42&gt;0,C41&lt;=0),AND(C42&lt;0,C41&gt;=0)),"nm",IF(AND(C42&lt;0,C41&lt;0),IF(-(C42/C41-1)*100&lt;-100,"(&gt;100)",-(C42/C41-1)*100),IF((C42/C41-1)*100&gt;100,"&gt;100",(C42/C41-1)*100))))</f>
        <v>#REF!</v>
      </c>
      <c r="D43" s="65" t="e">
        <f>IF(AND(D42=0,D41=0),0,IF(OR(AND(D42&gt;0,D41&lt;=0),AND(D42&lt;0,D41&gt;=0)),"nm",IF(AND(D42&lt;0,D41&lt;0),IF(-(D42/D41-1)*100&lt;-100,"(&gt;100)",-(D42/D41-1)*100),IF((D42/D41-1)*100&gt;100,"&gt;100",(D42/D41-1)*100))))</f>
        <v>#REF!</v>
      </c>
      <c r="E43" s="65" t="e">
        <f>IF(AND(E42=0,E41=0),0,IF(OR(AND(E42&gt;0,E41&lt;=0),AND(E42&lt;0,E41&gt;=0)),"nm",IF(AND(E42&lt;0,E41&lt;0),IF(-(E42/E41-1)*100&lt;-100,"(&gt;100)",-(E42/E41-1)*100),IF((E42/E41-1)*100&gt;100,"&gt;100",(E42/E41-1)*100))))</f>
        <v>#REF!</v>
      </c>
      <c r="F43" s="65" t="e">
        <f>IF(AND(F42=0,F41=0),0,IF(OR(AND(F42&gt;0,F41&lt;=0),AND(F42&lt;0,F41&gt;=0)),"nm",IF(AND(F42&lt;0,F41&lt;0),IF(-(F42/F41-1)*100&lt;-100,"(&gt;100)",-(F42/F41-1)*100),IF((F42/F41-1)*100&gt;100,"&gt;100",(F42/F41-1)*100))))</f>
        <v>#REF!</v>
      </c>
      <c r="G43" s="64"/>
      <c r="H43" s="64"/>
    </row>
    <row r="44" spans="1:8" s="61" customFormat="1" ht="14.25" outlineLevel="1" x14ac:dyDescent="0.2">
      <c r="B44" s="64"/>
      <c r="C44" s="64"/>
      <c r="D44" s="64"/>
      <c r="E44" s="64"/>
      <c r="F44" s="64"/>
      <c r="G44" s="64"/>
      <c r="H44" s="64"/>
    </row>
    <row r="45" spans="1:8" s="61" customFormat="1" ht="15" outlineLevel="1" x14ac:dyDescent="0.25">
      <c r="A45" s="62" t="s">
        <v>416</v>
      </c>
      <c r="B45" s="64"/>
      <c r="C45" s="64"/>
      <c r="D45" s="64"/>
      <c r="E45" s="64"/>
      <c r="F45" s="64"/>
      <c r="G45" s="64"/>
      <c r="H45" s="64"/>
    </row>
    <row r="46" spans="1:8" ht="14.25" outlineLevel="1" x14ac:dyDescent="0.2">
      <c r="A46" s="63" t="str">
        <f>A6</f>
        <v>2020</v>
      </c>
      <c r="B46" s="64">
        <f>B36+B41</f>
        <v>1165</v>
      </c>
      <c r="C46" s="64">
        <f t="shared" ref="C46:E47" si="0">C36+C41</f>
        <v>1247</v>
      </c>
      <c r="D46" s="64">
        <f t="shared" si="0"/>
        <v>1297</v>
      </c>
      <c r="E46" s="64">
        <f t="shared" si="0"/>
        <v>1012</v>
      </c>
      <c r="F46" s="64">
        <f>SUM(B46:E46)</f>
        <v>4721</v>
      </c>
      <c r="G46" s="66"/>
      <c r="H46" s="66"/>
    </row>
    <row r="47" spans="1:8" ht="14.25" outlineLevel="1" x14ac:dyDescent="0.2">
      <c r="A47" s="63" t="str">
        <f>A7</f>
        <v>2021</v>
      </c>
      <c r="B47" s="64" t="e">
        <f>B37+B42</f>
        <v>#REF!</v>
      </c>
      <c r="C47" s="64" t="e">
        <f t="shared" si="0"/>
        <v>#REF!</v>
      </c>
      <c r="D47" s="64" t="e">
        <f t="shared" si="0"/>
        <v>#REF!</v>
      </c>
      <c r="E47" s="64" t="e">
        <f t="shared" si="0"/>
        <v>#REF!</v>
      </c>
      <c r="F47" s="64" t="e">
        <f>SUM(B47:E47)</f>
        <v>#REF!</v>
      </c>
      <c r="G47" s="66"/>
      <c r="H47" s="66"/>
    </row>
    <row r="48" spans="1:8" ht="14.25" outlineLevel="1" x14ac:dyDescent="0.2">
      <c r="A48" s="61" t="s">
        <v>413</v>
      </c>
      <c r="B48" s="65" t="e">
        <f>IF(AND(B47=0,B46=0),0,IF(OR(AND(B47&gt;0,B46&lt;=0),AND(B47&lt;0,B46&gt;=0)),"nm",IF(AND(B47&lt;0,B46&lt;0),IF(-(B47/B46-1)*100&lt;-100,"(&gt;100)",-(B47/B46-1)*100),IF((B47/B46-1)*100&gt;100,"&gt;100",(B47/B46-1)*100))))</f>
        <v>#REF!</v>
      </c>
      <c r="C48" s="65" t="e">
        <f>IF(AND(C47=0,C46=0),0,IF(OR(AND(C47&gt;0,C46&lt;=0),AND(C47&lt;0,C46&gt;=0)),"nm",IF(AND(C47&lt;0,C46&lt;0),IF(-(C47/C46-1)*100&lt;-100,"(&gt;100)",-(C47/C46-1)*100),IF((C47/C46-1)*100&gt;100,"&gt;100",(C47/C46-1)*100))))</f>
        <v>#REF!</v>
      </c>
      <c r="D48" s="65" t="e">
        <f>IF(AND(D47=0,D46=0),0,IF(OR(AND(D47&gt;0,D46&lt;=0),AND(D47&lt;0,D46&gt;=0)),"nm",IF(AND(D47&lt;0,D46&lt;0),IF(-(D47/D46-1)*100&lt;-100,"(&gt;100)",-(D47/D46-1)*100),IF((D47/D46-1)*100&gt;100,"&gt;100",(D47/D46-1)*100))))</f>
        <v>#REF!</v>
      </c>
      <c r="E48" s="65" t="e">
        <f>IF(AND(E47=0,E46=0),0,IF(OR(AND(E47&gt;0,E46&lt;=0),AND(E47&lt;0,E46&gt;=0)),"nm",IF(AND(E47&lt;0,E46&lt;0),IF(-(E47/E46-1)*100&lt;-100,"(&gt;100)",-(E47/E46-1)*100),IF((E47/E46-1)*100&gt;100,"&gt;100",(E47/E46-1)*100))))</f>
        <v>#REF!</v>
      </c>
      <c r="F48" s="65" t="e">
        <f>IF(AND(F47=0,F46=0),0,IF(OR(AND(F47&gt;0,F46&lt;=0),AND(F47&lt;0,F46&gt;=0)),"nm",IF(AND(F47&lt;0,F46&lt;0),IF(-(F47/F46-1)*100&lt;-100,"(&gt;100)",-(F47/F46-1)*100),IF((F47/F46-1)*100&gt;100,"&gt;100",(F47/F46-1)*100))))</f>
        <v>#REF!</v>
      </c>
      <c r="G48" s="66"/>
      <c r="H48" s="66"/>
    </row>
    <row r="49" spans="2:8" ht="14.25" x14ac:dyDescent="0.2">
      <c r="B49" s="64"/>
      <c r="C49" s="64"/>
      <c r="D49" s="64"/>
      <c r="E49" s="64"/>
      <c r="F49" s="64"/>
      <c r="G49" s="66"/>
      <c r="H49" s="66"/>
    </row>
    <row r="50" spans="2:8" ht="14.25" x14ac:dyDescent="0.2">
      <c r="B50" s="64"/>
      <c r="C50" s="64"/>
      <c r="D50" s="64"/>
      <c r="E50" s="64"/>
      <c r="F50" s="64"/>
      <c r="G50" s="66"/>
      <c r="H50" s="66"/>
    </row>
    <row r="51" spans="2:8" ht="14.25" x14ac:dyDescent="0.2">
      <c r="B51" s="64"/>
      <c r="C51" s="64"/>
      <c r="D51" s="64"/>
      <c r="E51" s="64"/>
      <c r="F51" s="64"/>
      <c r="G51" s="66"/>
      <c r="H51" s="66"/>
    </row>
    <row r="52" spans="2:8" x14ac:dyDescent="0.2">
      <c r="B52" s="66"/>
      <c r="C52" s="66"/>
      <c r="D52" s="66"/>
      <c r="E52" s="66"/>
      <c r="F52" s="66"/>
      <c r="G52" s="66"/>
      <c r="H52" s="66"/>
    </row>
    <row r="53" spans="2:8" x14ac:dyDescent="0.2">
      <c r="B53" s="66"/>
      <c r="C53" s="66"/>
      <c r="D53" s="66"/>
      <c r="E53" s="66"/>
      <c r="F53" s="66"/>
      <c r="G53" s="66"/>
      <c r="H53" s="66"/>
    </row>
    <row r="54" spans="2:8" x14ac:dyDescent="0.2">
      <c r="B54" s="66"/>
      <c r="C54" s="66"/>
      <c r="D54" s="66"/>
      <c r="E54" s="66"/>
      <c r="F54" s="66"/>
      <c r="G54" s="66"/>
      <c r="H54" s="66"/>
    </row>
    <row r="55" spans="2:8" x14ac:dyDescent="0.2">
      <c r="B55" s="66"/>
      <c r="C55" s="66"/>
      <c r="D55" s="66"/>
      <c r="E55" s="66"/>
      <c r="F55" s="66"/>
      <c r="G55" s="66"/>
      <c r="H55" s="6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CAB5766BA63B40BCFF55C679EBB7E5" ma:contentTypeVersion="8" ma:contentTypeDescription="Create a new document." ma:contentTypeScope="" ma:versionID="a508ca4d6b6dcda9ddb5f3cad31aa285">
  <xsd:schema xmlns:xsd="http://www.w3.org/2001/XMLSchema" xmlns:xs="http://www.w3.org/2001/XMLSchema" xmlns:p="http://schemas.microsoft.com/office/2006/metadata/properties" xmlns:ns2="9ad25a79-c228-4755-9441-4146325110c6" xmlns:ns3="9b8a1ce7-1913-44a7-8392-3c40fe5efd09" targetNamespace="http://schemas.microsoft.com/office/2006/metadata/properties" ma:root="true" ma:fieldsID="5ac4f3562dde0367008d7fc0d0349d51" ns2:_="" ns3:_="">
    <xsd:import namespace="9ad25a79-c228-4755-9441-4146325110c6"/>
    <xsd:import namespace="9b8a1ce7-1913-44a7-8392-3c40fe5ef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d25a79-c228-4755-9441-414632511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a1ce7-1913-44a7-8392-3c40fe5ef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8D76B7-9261-45D0-90CD-54B4D59DE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d25a79-c228-4755-9441-4146325110c6"/>
    <ds:schemaRef ds:uri="9b8a1ce7-1913-44a7-8392-3c40fe5efd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5327C5-5580-402C-939E-8504695F41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03FAB4-0B58-46E2-92B2-532D42EFB3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34</vt:i4>
      </vt:variant>
    </vt:vector>
  </HeadingPairs>
  <TitlesOfParts>
    <vt:vector size="64" baseType="lpstr">
      <vt:lpstr>Index</vt:lpstr>
      <vt:lpstr>1.Highlights</vt:lpstr>
      <vt:lpstr>2.PerShare</vt:lpstr>
      <vt:lpstr>3.NetInterest</vt:lpstr>
      <vt:lpstr>4.NonInterest</vt:lpstr>
      <vt:lpstr>5.Expenses</vt:lpstr>
      <vt:lpstr>6.Allowances</vt:lpstr>
      <vt:lpstr>7.Loans</vt:lpstr>
      <vt:lpstr>8.FVOCI &amp; CFH</vt:lpstr>
      <vt:lpstr>9.Deposits</vt:lpstr>
      <vt:lpstr>10. Debts issued</vt:lpstr>
      <vt:lpstr>11.NPL,Coverage ratios</vt:lpstr>
      <vt:lpstr>12.NPA</vt:lpstr>
      <vt:lpstr>13.CumulativeAllowances</vt:lpstr>
      <vt:lpstr>14.Capital</vt:lpstr>
      <vt:lpstr>15.Mix</vt:lpstr>
      <vt:lpstr>16.Consumer</vt:lpstr>
      <vt:lpstr>17.Institutional</vt:lpstr>
      <vt:lpstr>18.Markets</vt:lpstr>
      <vt:lpstr>19.Others</vt:lpstr>
      <vt:lpstr>20.S'pore</vt:lpstr>
      <vt:lpstr>21.HK</vt:lpstr>
      <vt:lpstr>22.GreaterChina</vt:lpstr>
      <vt:lpstr>23.SSEA</vt:lpstr>
      <vt:lpstr>24.ROW</vt:lpstr>
      <vt:lpstr>25.P&amp;L and OCI</vt:lpstr>
      <vt:lpstr>26.BalSheet</vt:lpstr>
      <vt:lpstr>27.CashFlow</vt:lpstr>
      <vt:lpstr>28.Legend</vt:lpstr>
      <vt:lpstr>Quarterly Breakdown-YE only</vt:lpstr>
      <vt:lpstr>'1.Highlights'!Print_Area</vt:lpstr>
      <vt:lpstr>'10. Debts issued'!Print_Area</vt:lpstr>
      <vt:lpstr>'11.NPL,Coverage ratios'!Print_Area</vt:lpstr>
      <vt:lpstr>'12.NPA'!Print_Area</vt:lpstr>
      <vt:lpstr>'13.CumulativeAllowances'!Print_Area</vt:lpstr>
      <vt:lpstr>'14.Capital'!Print_Area</vt:lpstr>
      <vt:lpstr>'15.Mix'!Print_Area</vt:lpstr>
      <vt:lpstr>'16.Consumer'!Print_Area</vt:lpstr>
      <vt:lpstr>'17.Institutional'!Print_Area</vt:lpstr>
      <vt:lpstr>'18.Markets'!Print_Area</vt:lpstr>
      <vt:lpstr>'19.Others'!Print_Area</vt:lpstr>
      <vt:lpstr>'2.PerShare'!Print_Area</vt:lpstr>
      <vt:lpstr>'20.S''pore'!Print_Area</vt:lpstr>
      <vt:lpstr>'21.HK'!Print_Area</vt:lpstr>
      <vt:lpstr>'22.GreaterChina'!Print_Area</vt:lpstr>
      <vt:lpstr>'23.SSEA'!Print_Area</vt:lpstr>
      <vt:lpstr>'24.ROW'!Print_Area</vt:lpstr>
      <vt:lpstr>'25.P&amp;L and OCI'!Print_Area</vt:lpstr>
      <vt:lpstr>'26.BalSheet'!Print_Area</vt:lpstr>
      <vt:lpstr>'27.CashFlow'!Print_Area</vt:lpstr>
      <vt:lpstr>'28.Legend'!Print_Area</vt:lpstr>
      <vt:lpstr>'3.NetInterest'!Print_Area</vt:lpstr>
      <vt:lpstr>'4.NonInterest'!Print_Area</vt:lpstr>
      <vt:lpstr>'5.Expenses'!Print_Area</vt:lpstr>
      <vt:lpstr>'6.Allowances'!Print_Area</vt:lpstr>
      <vt:lpstr>'7.Loans'!Print_Area</vt:lpstr>
      <vt:lpstr>'8.FVOCI &amp; CFH'!Print_Area</vt:lpstr>
      <vt:lpstr>'9.Deposits'!Print_Area</vt:lpstr>
      <vt:lpstr>Index!Print_Area</vt:lpstr>
      <vt:lpstr>'1.Highlights'!Print_Titles</vt:lpstr>
      <vt:lpstr>'11.NPL,Coverage ratios'!Print_Titles</vt:lpstr>
      <vt:lpstr>'12.NPA'!Print_Titles</vt:lpstr>
      <vt:lpstr>'13.CumulativeAllowances'!Print_Titles</vt:lpstr>
      <vt:lpstr>'7.Loans'!Print_Titles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Pamela Xing Li EU</dc:creator>
  <cp:keywords/>
  <dc:description/>
  <cp:lastModifiedBy>Ming Liang Chai</cp:lastModifiedBy>
  <cp:revision/>
  <dcterms:created xsi:type="dcterms:W3CDTF">2009-09-01T03:31:48Z</dcterms:created>
  <dcterms:modified xsi:type="dcterms:W3CDTF">2026-08-06T11:59:38Z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0x01010077CAB5766BA63B40BCFF55C679EBB7E5</vt:lpwstr>
  </property>
</Properties>
</file>