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d.docs.live.net/c5c4c73d3686cd2e/SIM/321 Project/Assignments/FYP-26-S2-40/data/official_financials/sgx/"/>
    </mc:Choice>
  </mc:AlternateContent>
  <xr:revisionPtr revIDLastSave="0" documentId="8_{8FBEF8D4-FD7F-4DEB-A979-2115DD7F6BAC}" xr6:coauthVersionLast="47" xr6:coauthVersionMax="47" xr10:uidLastSave="{00000000-0000-0000-0000-000000000000}"/>
  <bookViews>
    <workbookView xWindow="-120" yWindow="-120" windowWidth="38640" windowHeight="21120" tabRatio="877" xr2:uid="{FA07FA1A-D125-4B60-B134-D70FE94C881E}"/>
  </bookViews>
  <sheets>
    <sheet name="Index" sheetId="1" r:id="rId1"/>
    <sheet name="1.Highlights" sheetId="2" r:id="rId2"/>
    <sheet name="2.PerShare" sheetId="7" r:id="rId3"/>
    <sheet name="3.NetInterest" sheetId="3" r:id="rId4"/>
    <sheet name="4.NonInterest" sheetId="4" r:id="rId5"/>
    <sheet name="5.Expenses" sheetId="5" r:id="rId6"/>
    <sheet name="6.Allowances" sheetId="6" r:id="rId7"/>
    <sheet name="7.Loans" sheetId="20" r:id="rId8"/>
    <sheet name="8.FVOCI &amp; CFH" sheetId="28" r:id="rId9"/>
    <sheet name="9.Deposits" sheetId="24" r:id="rId10"/>
    <sheet name="10. Debts issued" sheetId="37" r:id="rId11"/>
    <sheet name="11.NPL,Coverage ratios" sheetId="21" r:id="rId12"/>
    <sheet name="12.NPA" sheetId="30" r:id="rId13"/>
    <sheet name="13.CumulativeAllowances" sheetId="31" r:id="rId14"/>
    <sheet name="14.Capital" sheetId="25" r:id="rId15"/>
    <sheet name="15.Mix" sheetId="26" r:id="rId16"/>
    <sheet name="16.Consumer" sheetId="16" r:id="rId17"/>
    <sheet name="17.Institutional" sheetId="9" r:id="rId18"/>
    <sheet name="18.Markets" sheetId="17" r:id="rId19"/>
    <sheet name="19.Others" sheetId="23" r:id="rId20"/>
    <sheet name="20.S'pore" sheetId="11" r:id="rId21"/>
    <sheet name="21.HK" sheetId="12" r:id="rId22"/>
    <sheet name="22.GreaterChina" sheetId="13" r:id="rId23"/>
    <sheet name="23.SSEA" sheetId="14" r:id="rId24"/>
    <sheet name="24.ROW" sheetId="8" r:id="rId25"/>
    <sheet name="25.P&amp;L and OCI" sheetId="39" r:id="rId26"/>
    <sheet name="26.BalSheet" sheetId="34" r:id="rId27"/>
    <sheet name="27.CashFlow" sheetId="36" r:id="rId28"/>
    <sheet name="28.Legend" sheetId="29" r:id="rId29"/>
    <sheet name="Quarterly Breakdown-YE only" sheetId="40" state="hidden" r:id="rId30"/>
  </sheets>
  <definedNames>
    <definedName name="_xlnm._FilterDatabase" localSheetId="1" hidden="1">'1.Highlights'!$Z$38:$Z$51</definedName>
    <definedName name="_xlnm._FilterDatabase" localSheetId="2" hidden="1">'2.PerShare'!$P$16:$Q$28</definedName>
    <definedName name="_xlnm._FilterDatabase" localSheetId="27" hidden="1">'27.CashFlow'!$B$7:$D$21</definedName>
    <definedName name="_xlnm.Print_Area" localSheetId="1">'1.Highlights'!$A$1:$W$72</definedName>
    <definedName name="_xlnm.Print_Area" localSheetId="10">'10. Debts issued'!$A$1:$H$20</definedName>
    <definedName name="_xlnm.Print_Area" localSheetId="11">'11.NPL,Coverage ratios'!$A$1:$H$22</definedName>
    <definedName name="_xlnm.Print_Area" localSheetId="12">'12.NPA'!$A$1:$H$68</definedName>
    <definedName name="_xlnm.Print_Area" localSheetId="13">'13.CumulativeAllowances'!$A$1:$H$40</definedName>
    <definedName name="_xlnm.Print_Area" localSheetId="14">'14.Capital'!$A$1:$J$20</definedName>
    <definedName name="_xlnm.Print_Area" localSheetId="15">'15.Mix'!$A$1:$L$46</definedName>
    <definedName name="_xlnm.Print_Area" localSheetId="16">'16.Consumer'!$A$1:$L$22</definedName>
    <definedName name="_xlnm.Print_Area" localSheetId="17">'17.Institutional'!$A$1:$L$23</definedName>
    <definedName name="_xlnm.Print_Area" localSheetId="18">'18.Markets'!$A$1:$L$23</definedName>
    <definedName name="_xlnm.Print_Area" localSheetId="19">'19.Others'!$A$1:$L$23</definedName>
    <definedName name="_xlnm.Print_Area" localSheetId="2">'2.PerShare'!$A$1:$L$36</definedName>
    <definedName name="_xlnm.Print_Area" localSheetId="20">'20.S''pore'!$A$1:$L$24</definedName>
    <definedName name="_xlnm.Print_Area" localSheetId="21">'21.HK'!$A$1:$L$23</definedName>
    <definedName name="_xlnm.Print_Area" localSheetId="22">'22.GreaterChina'!$A$1:$L$24</definedName>
    <definedName name="_xlnm.Print_Area" localSheetId="23">'23.SSEA'!$A$1:$L$23</definedName>
    <definedName name="_xlnm.Print_Area" localSheetId="24">'24.ROW'!$A$1:$L$24</definedName>
    <definedName name="_xlnm.Print_Area" localSheetId="25">'25.P&amp;L and OCI'!$A$1:$J$69</definedName>
    <definedName name="_xlnm.Print_Area" localSheetId="26">'26.BalSheet'!$A$1:$J$48</definedName>
    <definedName name="_xlnm.Print_Area" localSheetId="27">'27.CashFlow'!$A$1:$D$64</definedName>
    <definedName name="_xlnm.Print_Area" localSheetId="3">'3.NetInterest'!$A$1:$L$52</definedName>
    <definedName name="_xlnm.Print_Area" localSheetId="4">'4.NonInterest'!$A$1:$L$26</definedName>
    <definedName name="_xlnm.Print_Area" localSheetId="5">'5.Expenses'!$A$1:$L$19</definedName>
    <definedName name="_xlnm.Print_Area" localSheetId="6">'6.Allowances'!$A$1:$L$33</definedName>
    <definedName name="_xlnm.Print_Area" localSheetId="7">'7.Loans'!$A$1:$K$40</definedName>
    <definedName name="_xlnm.Print_Area" localSheetId="8">'8.FVOCI &amp; CFH'!$A$1:$K$36</definedName>
    <definedName name="_xlnm.Print_Area" localSheetId="9">'9.Deposits'!$A$1:$H$44</definedName>
    <definedName name="_xlnm.Print_Area" localSheetId="0">Index!$A$1:$M$42</definedName>
    <definedName name="_xlnm.Print_Titles" localSheetId="11">'11.NPL,Coverage ratios'!$A:$C</definedName>
    <definedName name="_xlnm.Print_Titles" localSheetId="12">'12.NPA'!$A:$C</definedName>
    <definedName name="_xlnm.Print_Titles" localSheetId="13">'13.CumulativeAllowances'!$A:$C</definedName>
    <definedName name="_xlnm.Print_Titles" localSheetId="7">'7.Loans'!$A:$C,'7.Loans'!$1:$4</definedName>
  </definedNames>
  <calcPr calcId="191028"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40" l="1"/>
  <c r="C42" i="40"/>
  <c r="D42" i="40"/>
  <c r="B46" i="40"/>
  <c r="C46" i="40"/>
  <c r="D46" i="40"/>
  <c r="E46" i="40"/>
  <c r="F46" i="40"/>
  <c r="E42" i="40"/>
  <c r="D37" i="40"/>
  <c r="D38" i="40"/>
  <c r="C37" i="40"/>
  <c r="C38" i="40"/>
  <c r="B37" i="40"/>
  <c r="B38" i="40"/>
  <c r="D27" i="40"/>
  <c r="C27" i="40"/>
  <c r="C28" i="40"/>
  <c r="B27" i="40"/>
  <c r="B28" i="40"/>
  <c r="D22" i="40"/>
  <c r="D23" i="40"/>
  <c r="C22" i="40"/>
  <c r="C23" i="40"/>
  <c r="B22" i="40"/>
  <c r="B23" i="40"/>
  <c r="D12" i="40"/>
  <c r="C12" i="40"/>
  <c r="C13" i="40"/>
  <c r="B12" i="40"/>
  <c r="B13" i="40"/>
  <c r="D7" i="40"/>
  <c r="D8" i="40"/>
  <c r="C7" i="40"/>
  <c r="C8" i="40"/>
  <c r="B7" i="40"/>
  <c r="A47" i="40"/>
  <c r="A46" i="40"/>
  <c r="E43" i="40"/>
  <c r="D43" i="40"/>
  <c r="A42" i="40"/>
  <c r="A41" i="40"/>
  <c r="A37" i="40"/>
  <c r="A36" i="40"/>
  <c r="A32" i="40"/>
  <c r="A31" i="40"/>
  <c r="A27" i="40"/>
  <c r="A26" i="40"/>
  <c r="A22" i="40"/>
  <c r="A21" i="40"/>
  <c r="A17" i="40"/>
  <c r="A16" i="40"/>
  <c r="A12" i="40"/>
  <c r="A11" i="40"/>
  <c r="D17" i="40"/>
  <c r="D32" i="40"/>
  <c r="D33" i="40"/>
  <c r="C17" i="40"/>
  <c r="C32" i="40"/>
  <c r="C33" i="40"/>
  <c r="B17" i="40"/>
  <c r="B18" i="40"/>
  <c r="C47" i="40"/>
  <c r="C48" i="40"/>
  <c r="D47" i="40"/>
  <c r="D48" i="40"/>
  <c r="B47" i="40"/>
  <c r="B48" i="40"/>
  <c r="B8" i="40"/>
  <c r="D13" i="40"/>
  <c r="F42" i="40"/>
  <c r="F43" i="40"/>
  <c r="D28" i="40"/>
  <c r="B43" i="40"/>
  <c r="C43" i="40"/>
  <c r="D18" i="40"/>
  <c r="C18" i="40"/>
  <c r="B32" i="40"/>
  <c r="B33" i="40"/>
  <c r="E22" i="40"/>
  <c r="E27" i="40"/>
  <c r="E23" i="40"/>
  <c r="F22" i="40"/>
  <c r="F23" i="40"/>
  <c r="E28" i="40"/>
  <c r="F27" i="40"/>
  <c r="F28" i="40"/>
  <c r="E12" i="40"/>
  <c r="E13" i="40"/>
  <c r="F12" i="40"/>
  <c r="F13" i="40"/>
  <c r="E37" i="40"/>
  <c r="F37" i="40"/>
  <c r="F38" i="40"/>
  <c r="E38" i="40"/>
  <c r="E47" i="40"/>
  <c r="E48" i="40"/>
  <c r="F47" i="40"/>
  <c r="F48" i="40"/>
  <c r="E7" i="40"/>
  <c r="E8" i="40"/>
  <c r="F7" i="40"/>
  <c r="F8" i="40"/>
  <c r="E17" i="40"/>
  <c r="E18" i="40"/>
  <c r="F17" i="40"/>
  <c r="F18" i="40"/>
  <c r="E32" i="40"/>
  <c r="E33" i="40"/>
  <c r="F32" i="40"/>
  <c r="F33" i="40"/>
</calcChain>
</file>

<file path=xl/sharedStrings.xml><?xml version="1.0" encoding="utf-8"?>
<sst xmlns="http://schemas.openxmlformats.org/spreadsheetml/2006/main" count="1259" uniqueCount="514">
  <si>
    <t>DBS Group Holdings Ltd</t>
  </si>
  <si>
    <t>Page</t>
  </si>
  <si>
    <t>Performance highlights</t>
  </si>
  <si>
    <t>Ordinary share data</t>
  </si>
  <si>
    <t>Consolidated results</t>
  </si>
  <si>
    <t>Net interest income, average balances and rates</t>
  </si>
  <si>
    <t>Non-interest income</t>
  </si>
  <si>
    <t>Expenses</t>
  </si>
  <si>
    <t>Allowances for credit and other losses</t>
  </si>
  <si>
    <t>Customer loans</t>
  </si>
  <si>
    <t>Assets at fair value through other comprehensive income (FVOCI) and Cashflow hedge (CFH) reserves movement</t>
  </si>
  <si>
    <t>Customer deposits</t>
  </si>
  <si>
    <t>Debts issued</t>
  </si>
  <si>
    <t>Non-performing loan and coverage ratios</t>
  </si>
  <si>
    <t>Non-performing assets</t>
  </si>
  <si>
    <t>Cumulative loss allowances</t>
  </si>
  <si>
    <t>Capital adequacy</t>
  </si>
  <si>
    <t>Segment results</t>
  </si>
  <si>
    <t>Business and geographical mix</t>
  </si>
  <si>
    <t>Business segments</t>
  </si>
  <si>
    <t>Consumer Banking/ Wealth Management</t>
  </si>
  <si>
    <t>Institutional Banking</t>
  </si>
  <si>
    <t>Markets Trading</t>
  </si>
  <si>
    <t>Others</t>
  </si>
  <si>
    <t>Geographic segments</t>
  </si>
  <si>
    <t>Singapore</t>
  </si>
  <si>
    <t>Hong Kong</t>
  </si>
  <si>
    <t>Rest of Greater China</t>
  </si>
  <si>
    <t>South and Southeast Asia</t>
  </si>
  <si>
    <t>Rest of World</t>
  </si>
  <si>
    <t>Consolidated balance sheets</t>
  </si>
  <si>
    <t>Consolidated cash flow statement</t>
  </si>
  <si>
    <t>Legend of terms used</t>
  </si>
  <si>
    <t>Back to Index</t>
  </si>
  <si>
    <t>1Q24</t>
  </si>
  <si>
    <t>2Q24</t>
  </si>
  <si>
    <t>Selected income statement items ($m)</t>
  </si>
  <si>
    <t>Net interest income</t>
  </si>
  <si>
    <t>Net fee and commission income</t>
  </si>
  <si>
    <t>Treasury customer sales and other income</t>
  </si>
  <si>
    <t>Total income</t>
  </si>
  <si>
    <t>Profit before allowances and amortisation</t>
  </si>
  <si>
    <t>Amortisation of intangible assets</t>
  </si>
  <si>
    <t>Share of profits/losses of associates and JVs</t>
  </si>
  <si>
    <t>Profit before tax</t>
  </si>
  <si>
    <t xml:space="preserve">Net profit </t>
  </si>
  <si>
    <t>-</t>
  </si>
  <si>
    <t>Reported net profit</t>
  </si>
  <si>
    <t>Selected balance sheet items ($m)</t>
  </si>
  <si>
    <t>Constant-currency change</t>
  </si>
  <si>
    <t>Total assets</t>
  </si>
  <si>
    <t>Total liabilities</t>
  </si>
  <si>
    <t>Shareholders’ funds</t>
  </si>
  <si>
    <t xml:space="preserve">Cost/income ratio </t>
  </si>
  <si>
    <t>Return on assets</t>
  </si>
  <si>
    <t>NPL ratio</t>
  </si>
  <si>
    <t>Total allowances/ NPA</t>
  </si>
  <si>
    <t>Total allowances/ unsecured NPA</t>
  </si>
  <si>
    <t>SP for loans / average loans (bp)</t>
  </si>
  <si>
    <t>Reported earnings</t>
  </si>
  <si>
    <t>nm: Not Meaningful</t>
  </si>
  <si>
    <t>Net book value</t>
  </si>
  <si>
    <t>Net profit (S$m)</t>
  </si>
  <si>
    <t>Dividends on other equity instruments</t>
  </si>
  <si>
    <t>Data used in net book value per share calculations</t>
  </si>
  <si>
    <t>Ordinary shareholders' funds ($m)</t>
  </si>
  <si>
    <t>3/</t>
  </si>
  <si>
    <t>Calculated based on net profit attributable to shareholders net of dividends on other equity instruments</t>
  </si>
  <si>
    <t>Income statement items ($m)</t>
  </si>
  <si>
    <t>Average balances ($m)</t>
  </si>
  <si>
    <t>Interest-bearing assets</t>
  </si>
  <si>
    <t>Average rates (%)</t>
  </si>
  <si>
    <t>Customer non-trade loans</t>
  </si>
  <si>
    <t>Trade assets</t>
  </si>
  <si>
    <t>Interest expense</t>
  </si>
  <si>
    <t>Other borrowings</t>
  </si>
  <si>
    <t>Interest-bearing liabilities</t>
  </si>
  <si>
    <t>Asset yield</t>
  </si>
  <si>
    <t>Funding cost</t>
  </si>
  <si>
    <r>
      <t>Income statement items</t>
    </r>
    <r>
      <rPr>
        <u/>
        <vertAlign val="superscript"/>
        <sz val="11"/>
        <rFont val="Arial"/>
        <family val="2"/>
      </rPr>
      <t>1/</t>
    </r>
    <r>
      <rPr>
        <b/>
        <u/>
        <sz val="11"/>
        <rFont val="Arial"/>
        <family val="2"/>
      </rPr>
      <t xml:space="preserve"> ($m)</t>
    </r>
  </si>
  <si>
    <t xml:space="preserve">Investment banking </t>
  </si>
  <si>
    <t>Loan-related</t>
  </si>
  <si>
    <t>Wealth management</t>
  </si>
  <si>
    <t>Fee and commission income</t>
  </si>
  <si>
    <t>Less: fee and commission expense</t>
  </si>
  <si>
    <t>Other non-interest income</t>
  </si>
  <si>
    <t>Net trading income</t>
  </si>
  <si>
    <t>Other income</t>
  </si>
  <si>
    <t>Net income from investment securities</t>
  </si>
  <si>
    <t>1/</t>
  </si>
  <si>
    <t>2/</t>
  </si>
  <si>
    <t>Includes trade &amp; remittances, guarantees and deposit-related fees</t>
  </si>
  <si>
    <t xml:space="preserve">Net of interchange fees paid    </t>
  </si>
  <si>
    <r>
      <t>Expenses</t>
    </r>
    <r>
      <rPr>
        <vertAlign val="superscript"/>
        <sz val="11"/>
        <rFont val="Arial"/>
        <family val="2"/>
      </rPr>
      <t>1/</t>
    </r>
  </si>
  <si>
    <t>Staff expenses</t>
  </si>
  <si>
    <t>Other expenses</t>
  </si>
  <si>
    <t xml:space="preserve">Occupancy </t>
  </si>
  <si>
    <t xml:space="preserve">Computerisation </t>
  </si>
  <si>
    <t xml:space="preserve">Revenue-related </t>
  </si>
  <si>
    <t xml:space="preserve">Others </t>
  </si>
  <si>
    <t>Other data</t>
  </si>
  <si>
    <t>Depreciation of properties and other fixed assets (included in above items) ($m)</t>
  </si>
  <si>
    <r>
      <t>Staff count at period end</t>
    </r>
    <r>
      <rPr>
        <vertAlign val="superscript"/>
        <sz val="11"/>
        <rFont val="Arial"/>
        <family val="2"/>
      </rPr>
      <t>2/</t>
    </r>
  </si>
  <si>
    <t>Excludes impact arising from Citi Integration and provision for CSR</t>
  </si>
  <si>
    <t>Rest of the World</t>
  </si>
  <si>
    <t>Allowances for other assets</t>
  </si>
  <si>
    <t>IBG &amp; Others</t>
  </si>
  <si>
    <t>Add charges for:</t>
  </si>
  <si>
    <t>New NPLs</t>
  </si>
  <si>
    <t>Existing NPLs</t>
  </si>
  <si>
    <t>Less write-backs for:</t>
  </si>
  <si>
    <t>Upgrades</t>
  </si>
  <si>
    <t>Settlements</t>
  </si>
  <si>
    <t>Recoveries</t>
  </si>
  <si>
    <t>CBG/WM (net charges)</t>
  </si>
  <si>
    <t>Other credit exposures</t>
  </si>
  <si>
    <t>SP for loans by geography are determined according to the location where the borrower is incorporated</t>
  </si>
  <si>
    <t>nm</t>
  </si>
  <si>
    <t>Not Meaningful</t>
  </si>
  <si>
    <t>Breakdown of gross customer loans ($m)</t>
  </si>
  <si>
    <t>Gross loans</t>
  </si>
  <si>
    <t>Less:</t>
  </si>
  <si>
    <t>Net loans</t>
  </si>
  <si>
    <t>By business unit</t>
  </si>
  <si>
    <t>By industry</t>
  </si>
  <si>
    <t>Manufacturing</t>
  </si>
  <si>
    <t>Building and construction</t>
  </si>
  <si>
    <t>Housing loans</t>
  </si>
  <si>
    <t>General commerce</t>
  </si>
  <si>
    <t>Transportation, storage &amp; communications</t>
  </si>
  <si>
    <t>Financial institutions, investment &amp; holding companies</t>
  </si>
  <si>
    <t>Professionals &amp; private individuals (excluding housing loans)</t>
  </si>
  <si>
    <t>By currency</t>
  </si>
  <si>
    <t>Singapore dollar</t>
  </si>
  <si>
    <t>US dollar</t>
  </si>
  <si>
    <t>Hong Kong dollar</t>
  </si>
  <si>
    <t>Chinese Yuan</t>
  </si>
  <si>
    <t>Loans by geography are determined according to the location where the borrower, or the issuing bank in the case of bank backed export financing, is incorporated</t>
  </si>
  <si>
    <t>FVOCI portfolio</t>
  </si>
  <si>
    <t>EOP value ($m)</t>
  </si>
  <si>
    <t>FVOCI investments</t>
  </si>
  <si>
    <t>Singapore government securities</t>
  </si>
  <si>
    <t>Other government securities</t>
  </si>
  <si>
    <t>Bank and corporate debt securities</t>
  </si>
  <si>
    <t>Equities</t>
  </si>
  <si>
    <t>Movement in FVOCI reserves ($m)</t>
  </si>
  <si>
    <t>FVOCI reserves at start of period</t>
  </si>
  <si>
    <t>Debt instruments</t>
  </si>
  <si>
    <t>- Tax on items taken directly to or transferred from equity</t>
  </si>
  <si>
    <t>Equity instruments</t>
  </si>
  <si>
    <t>- Transfer to revenue reserves upon disposal of FVOCI equities</t>
  </si>
  <si>
    <t>FVOCI reserves at end of period</t>
  </si>
  <si>
    <t>Movement in CFH reserves ($m)</t>
  </si>
  <si>
    <t>Cash flow hedge reserve at start of period</t>
  </si>
  <si>
    <t>Tax on items taken directly to or transferred from equity</t>
  </si>
  <si>
    <t>Cash flow hedge reserve at end of period</t>
  </si>
  <si>
    <t xml:space="preserve">nm: </t>
  </si>
  <si>
    <t>Breakdown of customer deposits ($m)</t>
  </si>
  <si>
    <t>Fixed deposits</t>
  </si>
  <si>
    <t>Savings accounts</t>
  </si>
  <si>
    <t>Current accounts</t>
  </si>
  <si>
    <t>Debts issued ($m)</t>
  </si>
  <si>
    <t>Total Debts issued</t>
  </si>
  <si>
    <r>
      <t>Subordinated term debts</t>
    </r>
    <r>
      <rPr>
        <vertAlign val="superscript"/>
        <sz val="11"/>
        <rFont val="Arial"/>
        <family val="2"/>
      </rPr>
      <t>1/</t>
    </r>
  </si>
  <si>
    <r>
      <t>Senior medium term notes</t>
    </r>
    <r>
      <rPr>
        <vertAlign val="superscript"/>
        <sz val="11"/>
        <rFont val="Arial"/>
        <family val="2"/>
      </rPr>
      <t>1/</t>
    </r>
  </si>
  <si>
    <r>
      <t>Commercial papers</t>
    </r>
    <r>
      <rPr>
        <vertAlign val="superscript"/>
        <sz val="11"/>
        <rFont val="Arial"/>
        <family val="2"/>
      </rPr>
      <t>1/</t>
    </r>
  </si>
  <si>
    <r>
      <t>Negotiable certificates of deposit</t>
    </r>
    <r>
      <rPr>
        <vertAlign val="superscript"/>
        <sz val="11"/>
        <rFont val="Arial"/>
        <family val="2"/>
      </rPr>
      <t>1/</t>
    </r>
  </si>
  <si>
    <r>
      <t>Other debt securities</t>
    </r>
    <r>
      <rPr>
        <vertAlign val="superscript"/>
        <sz val="11"/>
        <rFont val="Arial"/>
        <family val="2"/>
      </rPr>
      <t>1/</t>
    </r>
  </si>
  <si>
    <r>
      <t>Covered bonds and other secured notes</t>
    </r>
    <r>
      <rPr>
        <vertAlign val="superscript"/>
        <sz val="11"/>
        <rFont val="Arial"/>
        <family val="2"/>
      </rPr>
      <t>2/</t>
    </r>
  </si>
  <si>
    <t>Due within 1 year</t>
  </si>
  <si>
    <r>
      <t>Due after 1 year</t>
    </r>
    <r>
      <rPr>
        <vertAlign val="superscript"/>
        <sz val="11"/>
        <rFont val="Arial"/>
        <family val="2"/>
      </rPr>
      <t>3/</t>
    </r>
  </si>
  <si>
    <t>Unsecured</t>
  </si>
  <si>
    <t>Collaterals are in the form of residential mortgages and corporate loans</t>
  </si>
  <si>
    <t>Includes instruments in perpetuity</t>
  </si>
  <si>
    <t>NPL and loss allowance coverage ratios</t>
  </si>
  <si>
    <t xml:space="preserve">NPL ratios (NPLs as % of loans) </t>
  </si>
  <si>
    <t>Group</t>
  </si>
  <si>
    <t>Institutional Banking and Others</t>
  </si>
  <si>
    <r>
      <t>By geography</t>
    </r>
    <r>
      <rPr>
        <i/>
        <vertAlign val="superscript"/>
        <sz val="11"/>
        <rFont val="Arial"/>
        <family val="2"/>
      </rPr>
      <t>1</t>
    </r>
    <r>
      <rPr>
        <vertAlign val="superscript"/>
        <sz val="11"/>
        <rFont val="Arial"/>
        <family val="2"/>
      </rPr>
      <t>/</t>
    </r>
  </si>
  <si>
    <t xml:space="preserve">Rest of Greater China </t>
  </si>
  <si>
    <t xml:space="preserve">Loss allowance coverage ratios (%) </t>
  </si>
  <si>
    <t>Total allowances for NPAs / NPAs</t>
  </si>
  <si>
    <t>Total allowances for NPAs / unsecured NPAs</t>
  </si>
  <si>
    <t>NPLs by geography are determined according to the location where the borrower is incorporated</t>
  </si>
  <si>
    <t xml:space="preserve">Total NPAs </t>
  </si>
  <si>
    <t>NPLs</t>
  </si>
  <si>
    <t>Other NPAs</t>
  </si>
  <si>
    <t>Debt securities, contingent liabilities &amp; others</t>
  </si>
  <si>
    <t>By classification</t>
  </si>
  <si>
    <t>Substandard</t>
  </si>
  <si>
    <t>Doubtful</t>
  </si>
  <si>
    <t>Loss</t>
  </si>
  <si>
    <t>By collateral type</t>
  </si>
  <si>
    <t>Secured by properties</t>
  </si>
  <si>
    <t>Secured by shares and debentures</t>
  </si>
  <si>
    <t>Secured by cash deposits</t>
  </si>
  <si>
    <t>Other secured</t>
  </si>
  <si>
    <t>By period overdue</t>
  </si>
  <si>
    <t>Not overdue</t>
  </si>
  <si>
    <t xml:space="preserve">Within 90 days </t>
  </si>
  <si>
    <t xml:space="preserve">Over 90 to 180 days </t>
  </si>
  <si>
    <t>Over 180 days</t>
  </si>
  <si>
    <t>Of which: Restructured NPAs</t>
  </si>
  <si>
    <t>Breakdown of NPLs ($m)</t>
  </si>
  <si>
    <r>
      <t>By geography</t>
    </r>
    <r>
      <rPr>
        <i/>
        <vertAlign val="superscript"/>
        <sz val="11"/>
        <rFont val="Arial"/>
        <family val="2"/>
      </rPr>
      <t>1</t>
    </r>
    <r>
      <rPr>
        <vertAlign val="superscript"/>
        <sz val="10"/>
        <rFont val="Arial"/>
        <family val="2"/>
      </rPr>
      <t>/</t>
    </r>
  </si>
  <si>
    <t>Movement in NPAs ($m)</t>
  </si>
  <si>
    <t>NPAs at start of period</t>
  </si>
  <si>
    <t>New NPAs</t>
  </si>
  <si>
    <t>Net repayments</t>
  </si>
  <si>
    <t>Write-offs</t>
  </si>
  <si>
    <t>CBG/WM (Net Movement)</t>
  </si>
  <si>
    <t>Translation impact</t>
  </si>
  <si>
    <t>Total NPAs</t>
  </si>
  <si>
    <t>Breakdown of total allowances ($m)</t>
  </si>
  <si>
    <t>Total allowances</t>
  </si>
  <si>
    <t>Allowances for impaired NPAs</t>
  </si>
  <si>
    <t>Allowances for impaired NPLs</t>
  </si>
  <si>
    <t>Consumer Banking/Wealth Management</t>
  </si>
  <si>
    <t>Allowances for other impaired NPAs</t>
  </si>
  <si>
    <t>Capital and RWA ($m)</t>
  </si>
  <si>
    <t>Common Equity Tier 1 capital</t>
  </si>
  <si>
    <t>Tier 1 capital</t>
  </si>
  <si>
    <t xml:space="preserve">Total capital </t>
  </si>
  <si>
    <t>Risk-weighted assets</t>
  </si>
  <si>
    <t>Capital Adequacy Ratio (“CAR”) (%)</t>
  </si>
  <si>
    <t>Tier 1</t>
  </si>
  <si>
    <t>Total</t>
  </si>
  <si>
    <t>Business and Geographical mix</t>
  </si>
  <si>
    <t>Institutional banking</t>
  </si>
  <si>
    <t>By geography</t>
  </si>
  <si>
    <t>Treasury</t>
  </si>
  <si>
    <t>Total assets before goodwill and intangibles (as % of Group)</t>
  </si>
  <si>
    <r>
      <t>By business unit</t>
    </r>
    <r>
      <rPr>
        <b/>
        <i/>
        <vertAlign val="superscript"/>
        <sz val="11"/>
        <rFont val="Arial"/>
        <family val="2"/>
      </rPr>
      <t>2/</t>
    </r>
  </si>
  <si>
    <t>Refer to sections on Customer Loans and Non-Performing Assets and Loss Allowance Coverage for more information on business segments</t>
  </si>
  <si>
    <t>Balance sheet &amp; other items ($m)</t>
  </si>
  <si>
    <t>Capital expenditure</t>
  </si>
  <si>
    <t>Depreciation</t>
  </si>
  <si>
    <t>Income tax expense and non-controlling interests</t>
  </si>
  <si>
    <t>Net profit</t>
  </si>
  <si>
    <t>Gross customer loans</t>
  </si>
  <si>
    <t>1st Half</t>
  </si>
  <si>
    <t>+/(-)</t>
  </si>
  <si>
    <t>2nd Half</t>
  </si>
  <si>
    <t>In $ millions</t>
  </si>
  <si>
    <t>%</t>
  </si>
  <si>
    <t>Income</t>
  </si>
  <si>
    <t>Employee benefits</t>
  </si>
  <si>
    <t xml:space="preserve">Other expenses  </t>
  </si>
  <si>
    <t xml:space="preserve">Total expenses </t>
  </si>
  <si>
    <t>Profit after allowances and amortisation</t>
  </si>
  <si>
    <t xml:space="preserve">Share of profits/losses of associates and joint ventures </t>
  </si>
  <si>
    <t xml:space="preserve">Profit before tax </t>
  </si>
  <si>
    <t>Income tax expense</t>
  </si>
  <si>
    <t>Attributable to:</t>
  </si>
  <si>
    <t>Shareholders</t>
  </si>
  <si>
    <t>Non-controlling interests</t>
  </si>
  <si>
    <t>Other comprehensive income</t>
  </si>
  <si>
    <t>Items that may be reclassified subsequently to 
   income statement:</t>
  </si>
  <si>
    <t>Translation differences for foreign operations</t>
  </si>
  <si>
    <t>Items that will not be reclassified to income
   statement:</t>
  </si>
  <si>
    <t>Fair value change from own credit risk on financial 
   liabilities designated at fair value (net of tax)</t>
  </si>
  <si>
    <t>Defined benefit plans remeasurements (net of tax)</t>
  </si>
  <si>
    <t>Other comprehensive income, net of tax</t>
  </si>
  <si>
    <t xml:space="preserve">Total comprehensive income </t>
  </si>
  <si>
    <t>nm  Not Meaningful</t>
  </si>
  <si>
    <t xml:space="preserve">Consolidated balance sheets </t>
  </si>
  <si>
    <t>The Group</t>
  </si>
  <si>
    <t>The Company</t>
  </si>
  <si>
    <t>Assets</t>
  </si>
  <si>
    <t>Cash and balances with central banks</t>
  </si>
  <si>
    <t>Government securities and treasury bills</t>
  </si>
  <si>
    <t>Due from banks</t>
  </si>
  <si>
    <t>Bank and corporate securities</t>
  </si>
  <si>
    <t xml:space="preserve">Loans and advances to customers </t>
  </si>
  <si>
    <t>Other assets</t>
  </si>
  <si>
    <t>Associates and joint ventures</t>
  </si>
  <si>
    <t>Investment in subsidiaries</t>
  </si>
  <si>
    <t>Due from subsidiaries</t>
  </si>
  <si>
    <t>Properties and other fixed assets</t>
  </si>
  <si>
    <t>Liabilities</t>
  </si>
  <si>
    <t>Due to banks</t>
  </si>
  <si>
    <t>Deposits and balances from customers</t>
  </si>
  <si>
    <t>Other liabilities</t>
  </si>
  <si>
    <t>Due to subsidiaries</t>
  </si>
  <si>
    <t xml:space="preserve">Other debt securities </t>
  </si>
  <si>
    <t>Subordinated term debts</t>
  </si>
  <si>
    <t>Net assets</t>
  </si>
  <si>
    <t>Equity</t>
  </si>
  <si>
    <t>Share capital</t>
  </si>
  <si>
    <t>Other equity instruments</t>
  </si>
  <si>
    <t>Other reserves</t>
  </si>
  <si>
    <t>Revenue reserves</t>
  </si>
  <si>
    <t>Shareholders' funds</t>
  </si>
  <si>
    <t xml:space="preserve">Non-controlling interests  </t>
  </si>
  <si>
    <t>Total equity</t>
  </si>
  <si>
    <t>Other information</t>
  </si>
  <si>
    <t>Net book value per share ($)</t>
  </si>
  <si>
    <t xml:space="preserve">In $ millions  </t>
  </si>
  <si>
    <t>Cash flows from operating activities</t>
  </si>
  <si>
    <t>Adjustments for non-cash and other items:</t>
  </si>
  <si>
    <t>Depreciation of properties and other fixed assets</t>
  </si>
  <si>
    <t>Share of profits or losses of associates and joint ventures</t>
  </si>
  <si>
    <t>Cost of share-based payments</t>
  </si>
  <si>
    <t>Interest expense on subordinated term debts</t>
  </si>
  <si>
    <t>Interest expense on lease liabilities</t>
  </si>
  <si>
    <t>Profit before changes in operating assets and liabilities</t>
  </si>
  <si>
    <t>Restricted balances with central banks</t>
  </si>
  <si>
    <t>Loans and advances to customers</t>
  </si>
  <si>
    <t>Cash flows from investing activities</t>
  </si>
  <si>
    <t>Proceeds from disposal of properties and other fixed assets</t>
  </si>
  <si>
    <t>Purchase of properties and other fixed assets</t>
  </si>
  <si>
    <t>Cash flows from financing activities</t>
  </si>
  <si>
    <t>Interest paid on subordinated term debts</t>
  </si>
  <si>
    <t>Purchase of treasury shares</t>
  </si>
  <si>
    <r>
      <t>Dividends paid to shareholders of the Company</t>
    </r>
    <r>
      <rPr>
        <vertAlign val="superscript"/>
        <sz val="11"/>
        <rFont val="Arial"/>
        <family val="2"/>
      </rPr>
      <t>1/</t>
    </r>
  </si>
  <si>
    <t>Net cash used in financing activities (3)</t>
  </si>
  <si>
    <t>Exchange translation adjustments (4)</t>
  </si>
  <si>
    <r>
      <t>Net change in cash and cash equivalents</t>
    </r>
    <r>
      <rPr>
        <vertAlign val="superscript"/>
        <sz val="10"/>
        <rFont val="Arial"/>
        <family val="2"/>
      </rPr>
      <t>2/</t>
    </r>
    <r>
      <rPr>
        <sz val="10"/>
        <rFont val="Arial"/>
        <family val="2"/>
      </rPr>
      <t xml:space="preserve"> (1)+(2)+(3)+(4)</t>
    </r>
  </si>
  <si>
    <t>2/ Cash and cash equivalents refer to cash and non-restricted balances with central banks</t>
  </si>
  <si>
    <r>
      <t>CAR</t>
    </r>
    <r>
      <rPr>
        <sz val="11"/>
        <rFont val="Arial"/>
        <family val="2"/>
      </rPr>
      <t xml:space="preserve"> - Capital adequacy ratio</t>
    </r>
  </si>
  <si>
    <r>
      <t>CFH</t>
    </r>
    <r>
      <rPr>
        <sz val="11"/>
        <rFont val="Arial"/>
        <family val="2"/>
      </rPr>
      <t xml:space="preserve"> - Cash flow hedge </t>
    </r>
  </si>
  <si>
    <r>
      <t>EOP</t>
    </r>
    <r>
      <rPr>
        <sz val="11"/>
        <rFont val="Arial"/>
        <family val="2"/>
      </rPr>
      <t xml:space="preserve"> - End of period</t>
    </r>
  </si>
  <si>
    <r>
      <t>FVOCI</t>
    </r>
    <r>
      <rPr>
        <sz val="11"/>
        <rFont val="Arial"/>
        <family val="2"/>
      </rPr>
      <t xml:space="preserve"> - Fair value through other comprehensive income</t>
    </r>
  </si>
  <si>
    <r>
      <t>NIM</t>
    </r>
    <r>
      <rPr>
        <sz val="11"/>
        <rFont val="Arial"/>
        <family val="2"/>
      </rPr>
      <t xml:space="preserve"> - Net interest margin</t>
    </r>
  </si>
  <si>
    <r>
      <t>NPA</t>
    </r>
    <r>
      <rPr>
        <sz val="11"/>
        <rFont val="Arial"/>
        <family val="2"/>
      </rPr>
      <t xml:space="preserve"> - Non-performing asset</t>
    </r>
  </si>
  <si>
    <r>
      <t>NPL</t>
    </r>
    <r>
      <rPr>
        <sz val="11"/>
        <rFont val="Arial"/>
        <family val="2"/>
      </rPr>
      <t xml:space="preserve"> - Non-performing loan</t>
    </r>
  </si>
  <si>
    <r>
      <t>ROA</t>
    </r>
    <r>
      <rPr>
        <sz val="11"/>
        <rFont val="Arial"/>
        <family val="2"/>
      </rPr>
      <t xml:space="preserve"> - Return on assets</t>
    </r>
  </si>
  <si>
    <r>
      <t>RWA</t>
    </r>
    <r>
      <rPr>
        <sz val="11"/>
        <rFont val="Arial"/>
        <family val="2"/>
      </rPr>
      <t xml:space="preserve"> - Risk-weighted assets</t>
    </r>
  </si>
  <si>
    <t>Quarterly Breakdown</t>
  </si>
  <si>
    <t>($m)</t>
  </si>
  <si>
    <t>1st Qtr</t>
  </si>
  <si>
    <t>2nd Qtr</t>
  </si>
  <si>
    <t>3rd Qtr</t>
  </si>
  <si>
    <t>4th Qtr</t>
  </si>
  <si>
    <t>Full Year</t>
  </si>
  <si>
    <t>2020</t>
  </si>
  <si>
    <t>2021</t>
  </si>
  <si>
    <t>% chg</t>
  </si>
  <si>
    <t>Allowance for credit and other losses</t>
  </si>
  <si>
    <t>One-time items</t>
  </si>
  <si>
    <t>Net profit including one-time items</t>
  </si>
  <si>
    <t>Total assets (before goodwill and intangible assets)</t>
  </si>
  <si>
    <r>
      <t>Net profit (as % of Group)</t>
    </r>
    <r>
      <rPr>
        <u/>
        <vertAlign val="superscript"/>
        <sz val="11"/>
        <rFont val="Arial"/>
        <family val="2"/>
      </rPr>
      <t>1/</t>
    </r>
  </si>
  <si>
    <r>
      <t>Income statement items</t>
    </r>
    <r>
      <rPr>
        <b/>
        <u/>
        <vertAlign val="superscript"/>
        <sz val="11"/>
        <rFont val="Arial"/>
        <family val="2"/>
      </rPr>
      <t>1/</t>
    </r>
    <r>
      <rPr>
        <b/>
        <u/>
        <sz val="11"/>
        <rFont val="Arial"/>
        <family val="2"/>
      </rPr>
      <t xml:space="preserve"> ($m)</t>
    </r>
  </si>
  <si>
    <t xml:space="preserve">    Taxation relating to components of other comprehensive income</t>
  </si>
  <si>
    <t>Interest and similar income</t>
  </si>
  <si>
    <r>
      <t>of which:</t>
    </r>
    <r>
      <rPr>
        <sz val="11"/>
        <rFont val="Arial"/>
        <family val="2"/>
      </rPr>
      <t xml:space="preserve"> Non-performing assets</t>
    </r>
  </si>
  <si>
    <t>4/</t>
  </si>
  <si>
    <r>
      <t>Earnings</t>
    </r>
    <r>
      <rPr>
        <vertAlign val="superscript"/>
        <sz val="11"/>
        <rFont val="Arial"/>
        <family val="2"/>
      </rPr>
      <t>2/</t>
    </r>
  </si>
  <si>
    <r>
      <t>Dividend</t>
    </r>
    <r>
      <rPr>
        <vertAlign val="superscript"/>
        <sz val="11"/>
        <rFont val="Arial"/>
        <family val="2"/>
      </rPr>
      <t>3/</t>
    </r>
  </si>
  <si>
    <r>
      <t>Data used in earnings per share</t>
    </r>
    <r>
      <rPr>
        <u/>
        <vertAlign val="superscript"/>
        <sz val="11"/>
        <rFont val="Arial"/>
        <family val="2"/>
      </rPr>
      <t>4/</t>
    </r>
    <r>
      <rPr>
        <b/>
        <u/>
        <sz val="11"/>
        <rFont val="Arial"/>
        <family val="2"/>
      </rPr>
      <t xml:space="preserve"> calculations</t>
    </r>
  </si>
  <si>
    <t xml:space="preserve">1/ </t>
  </si>
  <si>
    <t xml:space="preserve">2/   </t>
  </si>
  <si>
    <t>Securities and others</t>
  </si>
  <si>
    <t>By currency and product</t>
  </si>
  <si>
    <t>Share of P/L of associates and JVs</t>
  </si>
  <si>
    <t>Goodwill and intangible assets</t>
  </si>
  <si>
    <t>3Q24</t>
  </si>
  <si>
    <t>4Q24</t>
  </si>
  <si>
    <t>Common Equity Tier 1 (CET-1) ratio</t>
  </si>
  <si>
    <t>na</t>
  </si>
  <si>
    <t>na: Not Applicable</t>
  </si>
  <si>
    <t>2H24</t>
  </si>
  <si>
    <t>FY24</t>
  </si>
  <si>
    <r>
      <t>Fully phased-in CET-1</t>
    </r>
    <r>
      <rPr>
        <vertAlign val="superscript"/>
        <sz val="11"/>
        <rFont val="Arial"/>
        <family val="2"/>
      </rPr>
      <t>1</t>
    </r>
  </si>
  <si>
    <t>Calculated based on the Basel III reforms output at 72.5% when fully phased-in on 1 January 2029</t>
  </si>
  <si>
    <t>Common Equity Tier 1 (CET-1)</t>
  </si>
  <si>
    <t>Year</t>
  </si>
  <si>
    <t>Consolidated income statement</t>
  </si>
  <si>
    <t xml:space="preserve">Consolidated statement of comprehensive income </t>
  </si>
  <si>
    <r>
      <t>2024</t>
    </r>
    <r>
      <rPr>
        <b/>
        <vertAlign val="superscript"/>
        <sz val="11"/>
        <rFont val="Arial"/>
        <family val="2"/>
      </rPr>
      <t>1/</t>
    </r>
  </si>
  <si>
    <t>Unaudited</t>
  </si>
  <si>
    <t>31 Dec</t>
  </si>
  <si>
    <t>30 Jun</t>
  </si>
  <si>
    <t>Other debt securities and borrowings</t>
  </si>
  <si>
    <t>Net cash generated from operating activities (1)</t>
  </si>
  <si>
    <t>Dividends from associates and joint ventures</t>
  </si>
  <si>
    <t>Repayment of lease liabilities</t>
  </si>
  <si>
    <t>Consolidated income statement and statement of comprehensive income</t>
  </si>
  <si>
    <t>Financial Data Supplement for the Year Ended 31 December 2025</t>
  </si>
  <si>
    <r>
      <t xml:space="preserve">   Of which: </t>
    </r>
    <r>
      <rPr>
        <sz val="11"/>
        <rFont val="Arial"/>
        <family val="2"/>
      </rPr>
      <t>Net interest income</t>
    </r>
  </si>
  <si>
    <t>Commercial book total income</t>
  </si>
  <si>
    <t>Markets trading income</t>
  </si>
  <si>
    <t>ECL Stage 3 (SP)</t>
  </si>
  <si>
    <t>ECL Stage 1 and 2 (GP)</t>
  </si>
  <si>
    <t>Citi integration</t>
  </si>
  <si>
    <r>
      <t>Provision for CSR</t>
    </r>
    <r>
      <rPr>
        <vertAlign val="superscript"/>
        <sz val="11"/>
        <rFont val="Arial"/>
        <family val="2"/>
      </rPr>
      <t>1/</t>
    </r>
  </si>
  <si>
    <r>
      <t>Key financial ratios (%)</t>
    </r>
    <r>
      <rPr>
        <vertAlign val="superscript"/>
        <sz val="11"/>
        <rFont val="Arial"/>
        <family val="2"/>
      </rPr>
      <t>2, 3/</t>
    </r>
  </si>
  <si>
    <t>Net interest margin - Group</t>
  </si>
  <si>
    <t>Net interest margin – Commercial Book</t>
  </si>
  <si>
    <r>
      <t>Return on equity</t>
    </r>
    <r>
      <rPr>
        <vertAlign val="superscript"/>
        <sz val="11"/>
        <rFont val="Arial"/>
        <family val="2"/>
      </rPr>
      <t>4, 5/</t>
    </r>
  </si>
  <si>
    <r>
      <t>Return on tangible equity</t>
    </r>
    <r>
      <rPr>
        <vertAlign val="superscript"/>
        <sz val="11"/>
        <rFont val="Arial"/>
        <family val="2"/>
      </rPr>
      <t>4,5,6/</t>
    </r>
  </si>
  <si>
    <r>
      <t>Fully phased-in CET-1 ratio</t>
    </r>
    <r>
      <rPr>
        <vertAlign val="superscript"/>
        <sz val="11"/>
        <rFont val="Arial"/>
        <family val="2"/>
      </rPr>
      <t>7/</t>
    </r>
  </si>
  <si>
    <r>
      <t>Net book value</t>
    </r>
    <r>
      <rPr>
        <vertAlign val="superscript"/>
        <sz val="11"/>
        <rFont val="Arial"/>
        <family val="2"/>
      </rPr>
      <t>5/</t>
    </r>
  </si>
  <si>
    <t>1/    Refers to Corporate Social Responsibility (CSR) commitment to DBS Foundation and other charitable causes</t>
  </si>
  <si>
    <t>2/    Excludes impact arising from Citi Integration and Provision for CSR</t>
  </si>
  <si>
    <t xml:space="preserve">4/    Calculated based on net profit attributable to the shareholders net of dividends on other equity instruments. </t>
  </si>
  <si>
    <t>5/    Non-controlling interests and other equity instruments are not included as equity in the computation</t>
  </si>
  <si>
    <t>6/    Tangible equity represents ordinary shareholders’ equity less goodwill and intangible assets (net of related deferred tax)</t>
  </si>
  <si>
    <t>3/    Return on assets, return on equity, return on tangible equity, ECL Stage 3 (SP) for loans/average loans and per share data are computed on an annualised basis</t>
  </si>
  <si>
    <t>7/    Calculated based on the Basel III reforms output floor at 72.5% when fully phased-in on 1 January 2029</t>
  </si>
  <si>
    <t xml:space="preserve">8/    The weighted average number of ordinary shares used for per share data computation have been adjusted retrospectively for the 258 million bonus shares issued on 26 April 2024 as if the bonus issue had occurred </t>
  </si>
  <si>
    <t xml:space="preserve">       on 1 January 2024</t>
  </si>
  <si>
    <t>1Q25</t>
  </si>
  <si>
    <t>2Q25</t>
  </si>
  <si>
    <t>3Q25</t>
  </si>
  <si>
    <t>4Q25</t>
  </si>
  <si>
    <t>4Q25
vs 
3Q25</t>
  </si>
  <si>
    <t>4Q25
vs 
4Q24</t>
  </si>
  <si>
    <t>2H25</t>
  </si>
  <si>
    <t>1H25</t>
  </si>
  <si>
    <t>2H25
vs
1H25</t>
  </si>
  <si>
    <t>FY25</t>
  </si>
  <si>
    <t>2H25
vs
2H24</t>
  </si>
  <si>
    <t>FY25
vs
FY24</t>
  </si>
  <si>
    <t>The weighted average number of ordinary shares used for per share data computation have been adjusted retrospectively for the 258 million bonus shares issued on 26 April 2024 as if</t>
  </si>
  <si>
    <t>the bonus issue had occurred on 1 January 2024</t>
  </si>
  <si>
    <t>Commercial book</t>
  </si>
  <si>
    <r>
      <t>Net interest margin (NIM)</t>
    </r>
    <r>
      <rPr>
        <vertAlign val="superscript"/>
        <sz val="11"/>
        <rFont val="Arial"/>
        <family val="2"/>
      </rPr>
      <t>1/</t>
    </r>
  </si>
  <si>
    <r>
      <t>Commercial book NIM</t>
    </r>
    <r>
      <rPr>
        <vertAlign val="superscript"/>
        <sz val="11"/>
        <rFont val="Arial"/>
        <family val="2"/>
      </rPr>
      <t xml:space="preserve">1/ </t>
    </r>
  </si>
  <si>
    <r>
      <t>Interbank assets</t>
    </r>
    <r>
      <rPr>
        <vertAlign val="superscript"/>
        <sz val="11"/>
        <rFont val="Arial"/>
        <family val="2"/>
      </rPr>
      <t>2/</t>
    </r>
  </si>
  <si>
    <r>
      <t>NIM</t>
    </r>
    <r>
      <rPr>
        <vertAlign val="superscript"/>
        <sz val="11"/>
        <rFont val="Arial"/>
        <family val="2"/>
      </rPr>
      <t>1/</t>
    </r>
  </si>
  <si>
    <t>1/    Net interest margin is net interest income expressed as a percentage of average interest-bearing assets</t>
  </si>
  <si>
    <t>2/    Includes non-restricted balances with central banks</t>
  </si>
  <si>
    <t>Customer sales</t>
  </si>
  <si>
    <t>Non-customer sales</t>
  </si>
  <si>
    <t>Measured based on full-time equivalent</t>
  </si>
  <si>
    <t>Total ECL Stage 3 (SP) for loans and other credit exposures</t>
  </si>
  <si>
    <r>
      <t>ECL Stage 3 (SP) for loans</t>
    </r>
    <r>
      <rPr>
        <vertAlign val="superscript"/>
        <sz val="11"/>
        <rFont val="Arial"/>
        <family val="2"/>
      </rPr>
      <t>1</t>
    </r>
    <r>
      <rPr>
        <vertAlign val="superscript"/>
        <sz val="10"/>
        <rFont val="Arial"/>
        <family val="2"/>
      </rPr>
      <t>/</t>
    </r>
  </si>
  <si>
    <t>ECL Stage 3 (SP) for other credit exposures</t>
  </si>
  <si>
    <t>Breakdown of ECL Stage (3) SP for loans and other credit exposures ($m)</t>
  </si>
  <si>
    <r>
      <t>By geography</t>
    </r>
    <r>
      <rPr>
        <vertAlign val="superscript"/>
        <sz val="11"/>
        <rFont val="Arial"/>
        <family val="2"/>
      </rPr>
      <t>1/</t>
    </r>
  </si>
  <si>
    <t>Taiwan dollar</t>
  </si>
  <si>
    <t>2H25
vs
2H24
(% chg)</t>
  </si>
  <si>
    <t>2H25
vs
1H25
(% chg)</t>
  </si>
  <si>
    <t>FY25
vs
FY24
(% chg)</t>
  </si>
  <si>
    <t>Dec25
vs
Jun25
(% chg)</t>
  </si>
  <si>
    <t>Dec25
vs
Dec24
(% chg)</t>
  </si>
  <si>
    <t>Other financial assets</t>
  </si>
  <si>
    <t>- Net valuation gains taken to equity</t>
  </si>
  <si>
    <t>- Gains on FVOCI equity instruments (net of tax)</t>
  </si>
  <si>
    <t>Net valuation gains/ (losses) taken to equity</t>
  </si>
  <si>
    <t xml:space="preserve">Gains transferred to income statement </t>
  </si>
  <si>
    <t>#  represents less than $500,000</t>
  </si>
  <si>
    <t>#</t>
  </si>
  <si>
    <t>Dec25
vs
Jun25</t>
  </si>
  <si>
    <t>Dec25
vs
Dec24</t>
  </si>
  <si>
    <t>Breakdown of NPAs ($m)</t>
  </si>
  <si>
    <t>Less than $500,000</t>
  </si>
  <si>
    <t>ECL Stage 1 and 2 (GP) exposures</t>
  </si>
  <si>
    <t>Breakdown of ECL Stage 3 (SP) exposures ($m)</t>
  </si>
  <si>
    <t>2025</t>
  </si>
  <si>
    <r>
      <t>2025</t>
    </r>
    <r>
      <rPr>
        <b/>
        <vertAlign val="superscript"/>
        <sz val="11"/>
        <rFont val="Arial"/>
        <family val="2"/>
      </rPr>
      <t>1/</t>
    </r>
  </si>
  <si>
    <t>Debt instruments at fair value through other
   comprehensive income</t>
  </si>
  <si>
    <t xml:space="preserve">    Net valuation gains taken to equity</t>
  </si>
  <si>
    <t xml:space="preserve">    Gains transferred to income statement </t>
  </si>
  <si>
    <t>Cash flow hedges</t>
  </si>
  <si>
    <t>Derivative assets</t>
  </si>
  <si>
    <t>Derivative liabilities</t>
  </si>
  <si>
    <t>Net gain on disposal of interest in associates</t>
  </si>
  <si>
    <t>Net loss/ (gain) on disposal, net of write-off of properties and other fixed assets</t>
  </si>
  <si>
    <t>Derivative and other liabilities</t>
  </si>
  <si>
    <t>Derivative and other assets</t>
  </si>
  <si>
    <t>Income taxes paid</t>
  </si>
  <si>
    <t xml:space="preserve">Acquisition of interests in associates and joint ventures </t>
  </si>
  <si>
    <t>Proceeds from disposal of associates</t>
  </si>
  <si>
    <t>Purchase of additional stake in a subsidiary from non-controlling interest</t>
  </si>
  <si>
    <t>Redemption of perpetual capital securities</t>
  </si>
  <si>
    <t>Shares repurchased and cancelled</t>
  </si>
  <si>
    <r>
      <t>CET-1 -</t>
    </r>
    <r>
      <rPr>
        <sz val="11"/>
        <rFont val="Arial"/>
        <family val="2"/>
      </rPr>
      <t xml:space="preserve"> Common Equity Tier 1</t>
    </r>
  </si>
  <si>
    <r>
      <t>CSR</t>
    </r>
    <r>
      <rPr>
        <sz val="11"/>
        <rFont val="Arial"/>
        <family val="2"/>
      </rPr>
      <t xml:space="preserve"> - Corporate Social Responsibility</t>
    </r>
  </si>
  <si>
    <r>
      <t>ECL</t>
    </r>
    <r>
      <rPr>
        <sz val="11"/>
        <rFont val="Arial"/>
        <family val="2"/>
      </rPr>
      <t xml:space="preserve"> - Expected Credit Losses</t>
    </r>
  </si>
  <si>
    <r>
      <t xml:space="preserve">FVPL </t>
    </r>
    <r>
      <rPr>
        <sz val="11"/>
        <rFont val="Arial"/>
        <family val="2"/>
      </rPr>
      <t>- Fair value through profit or loss</t>
    </r>
  </si>
  <si>
    <r>
      <t>GP</t>
    </r>
    <r>
      <rPr>
        <sz val="11"/>
        <rFont val="Arial"/>
        <family val="2"/>
      </rPr>
      <t xml:space="preserve"> - General provision</t>
    </r>
  </si>
  <si>
    <r>
      <t xml:space="preserve">JVs </t>
    </r>
    <r>
      <rPr>
        <sz val="11"/>
        <rFont val="Arial"/>
        <family val="2"/>
      </rPr>
      <t>- Joint ventures</t>
    </r>
  </si>
  <si>
    <r>
      <t>ROE</t>
    </r>
    <r>
      <rPr>
        <sz val="11"/>
        <rFont val="Arial"/>
        <family val="2"/>
      </rPr>
      <t xml:space="preserve"> - Return on ordinary shareholders' equity</t>
    </r>
  </si>
  <si>
    <r>
      <t>ROTE</t>
    </r>
    <r>
      <rPr>
        <sz val="11"/>
        <rFont val="Arial"/>
        <family val="2"/>
      </rPr>
      <t xml:space="preserve"> - Return on tangible ordinary shareholders' equity</t>
    </r>
  </si>
  <si>
    <r>
      <t xml:space="preserve">SP </t>
    </r>
    <r>
      <rPr>
        <sz val="11"/>
        <rFont val="Arial"/>
        <family val="2"/>
      </rPr>
      <t>- Specific provision</t>
    </r>
  </si>
  <si>
    <t>Gains on equity instruments at fair value through other
  comprehensive income (net of tax)</t>
  </si>
  <si>
    <t xml:space="preserve">- Losses/ (gains) transferred to income statement </t>
  </si>
  <si>
    <t>Net cash used in investing activities (2)</t>
  </si>
  <si>
    <t>Cash and cash equivalents at beginning of year</t>
  </si>
  <si>
    <t>Cash and cash equivalents at end of year</t>
  </si>
  <si>
    <r>
      <t>Per share data ($)</t>
    </r>
    <r>
      <rPr>
        <vertAlign val="superscript"/>
        <sz val="11"/>
        <rFont val="Arial"/>
        <family val="2"/>
      </rPr>
      <t>3, 8/</t>
    </r>
    <r>
      <rPr>
        <vertAlign val="superscript"/>
        <sz val="10"/>
        <rFont val="Arial"/>
        <family val="2"/>
      </rPr>
      <t xml:space="preserve"> </t>
    </r>
  </si>
  <si>
    <t>- Basic</t>
  </si>
  <si>
    <t xml:space="preserve">   - Basic</t>
  </si>
  <si>
    <r>
      <t xml:space="preserve">   - Diluted</t>
    </r>
    <r>
      <rPr>
        <vertAlign val="superscript"/>
        <sz val="11"/>
        <rFont val="Arial"/>
        <family val="2"/>
      </rPr>
      <t>9</t>
    </r>
  </si>
  <si>
    <r>
      <t>Per share data ($)</t>
    </r>
    <r>
      <rPr>
        <vertAlign val="superscript"/>
        <sz val="11"/>
        <rFont val="Arial"/>
        <family val="2"/>
      </rPr>
      <t>1/</t>
    </r>
  </si>
  <si>
    <r>
      <t>- Diluted</t>
    </r>
    <r>
      <rPr>
        <vertAlign val="superscript"/>
        <sz val="11"/>
        <rFont val="Arial"/>
        <family val="2"/>
      </rPr>
      <t>5</t>
    </r>
  </si>
  <si>
    <t>5/</t>
  </si>
  <si>
    <t>Return of capital from associates and joint ventures</t>
  </si>
  <si>
    <t>1/ Include distributions paid on capital securities classified as equity and Capital Return dividends</t>
  </si>
  <si>
    <r>
      <t>Transaction services</t>
    </r>
    <r>
      <rPr>
        <vertAlign val="superscript"/>
        <sz val="11"/>
        <rFont val="Arial"/>
        <family val="2"/>
      </rPr>
      <t>1/</t>
    </r>
  </si>
  <si>
    <r>
      <t>Cards</t>
    </r>
    <r>
      <rPr>
        <vertAlign val="superscript"/>
        <sz val="11"/>
        <rFont val="Arial"/>
        <family val="2"/>
      </rPr>
      <t>2/</t>
    </r>
  </si>
  <si>
    <t>Others (include rental income and gain on disposal of fixed assets)</t>
  </si>
  <si>
    <t>Share of other comprehensive income of associates and joint ventures</t>
  </si>
  <si>
    <t xml:space="preserve">    Losses/ (gains) transferred to income statement </t>
  </si>
  <si>
    <t>Increase/ (Decrease) in:</t>
  </si>
  <si>
    <t>(Increase)/ Decrease in:</t>
  </si>
  <si>
    <r>
      <t>Number of shares ('m) (EOP)</t>
    </r>
    <r>
      <rPr>
        <b/>
        <vertAlign val="superscript"/>
        <sz val="11"/>
        <rFont val="Arial"/>
        <family val="2"/>
      </rPr>
      <t>1/</t>
    </r>
  </si>
  <si>
    <t>&gt;100</t>
  </si>
  <si>
    <t>(&gt;100)</t>
  </si>
  <si>
    <t>9/    Adjusted for potential ordinary shares issuable under share-based compensation plan</t>
  </si>
  <si>
    <t>1H25, 2H25 and FY25 includes a one-tier tax exempt capital return dividend of 30 cents, 30 cents, 60 cents per share respectively.</t>
  </si>
  <si>
    <t>Adjusted for potential ordinary shares issuable under share-based compensation plan</t>
  </si>
  <si>
    <t>Weighted average number of shares (excluding treasury shares) ('m)</t>
  </si>
  <si>
    <r>
      <t>Basic</t>
    </r>
    <r>
      <rPr>
        <vertAlign val="superscript"/>
        <sz val="11"/>
        <rFont val="Arial"/>
        <family val="2"/>
      </rPr>
      <t>1/</t>
    </r>
  </si>
  <si>
    <r>
      <t>Diluted</t>
    </r>
    <r>
      <rPr>
        <vertAlign val="superscript"/>
        <sz val="11"/>
        <rFont val="Arial"/>
        <family val="2"/>
      </rPr>
      <t>1, 5/</t>
    </r>
  </si>
  <si>
    <t>- Share of reserves of associates and joint ventures</t>
  </si>
  <si>
    <t>- Share of reserves of associates and joint ventures upon disposal of FVOCI equities</t>
  </si>
  <si>
    <t>Total income (as % of Group)</t>
  </si>
  <si>
    <t>Excludes impact arising from provision for CSR</t>
  </si>
  <si>
    <t>Excludes impact arising from Citi Integration</t>
  </si>
  <si>
    <t>Share of reserves of associates and joint ventures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</si>
</sst>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_(* #,##0.00_);_(* \(#,##0.00\);_(* &quot;-&quot;??_);_(@_)"/>
    <numFmt numFmtId="165" formatCode="#,##0.0_);\(#,##0.0\)"/>
    <numFmt numFmtId="166" formatCode="_(* #,##0.0_);_(* \(#,##0.0\);_(* &quot;-&quot;??_);_(@_)"/>
    <numFmt numFmtId="167" formatCode="_(* #,##0_);_(* \(#,##0\);_(* &quot;-&quot;??_);_(@_)"/>
    <numFmt numFmtId="168" formatCode="[$-409]d\-mmm;@"/>
    <numFmt numFmtId="169" formatCode="0.0_);\(0.0\)"/>
    <numFmt numFmtId="170" formatCode="[$-409]mmm\-yy;@"/>
    <numFmt numFmtId="171" formatCode="_-* #,##0_-;\-* #,##0_-;_-* &quot;-&quot;??_-;_-@_-"/>
    <numFmt numFmtId="172" formatCode="#,##0.0;\-#,##0.0"/>
    <numFmt numFmtId="173" formatCode="0.000%"/>
  </numFmts>
  <fonts count="112" x14ac:knownFonts="1">
    <font>
      <sz val="10"/>
      <name val="Arial"/>
    </font>
    <font>
      <sz val="10"/>
      <name val="Arial"/>
      <family val="2"/>
    </font>
    <font>
      <sz val="8"/>
      <name val="Arial"/>
      <family val="2"/>
    </font>
    <font>
      <sz val="11"/>
      <name val="Arial"/>
      <family val="2"/>
    </font>
    <font>
      <b/>
      <sz val="11"/>
      <name val="Arial"/>
      <family val="2"/>
    </font>
    <font>
      <sz val="11"/>
      <name val="Arial"/>
      <family val="2"/>
    </font>
    <font>
      <b/>
      <sz val="11"/>
      <color indexed="8"/>
      <name val="Arial"/>
      <family val="2"/>
    </font>
    <font>
      <u/>
      <sz val="10"/>
      <color indexed="12"/>
      <name val="Arial"/>
      <family val="2"/>
    </font>
    <font>
      <b/>
      <sz val="11"/>
      <color indexed="9"/>
      <name val="Arial"/>
      <family val="2"/>
    </font>
    <font>
      <sz val="11"/>
      <color indexed="9"/>
      <name val="Arial"/>
      <family val="2"/>
    </font>
    <font>
      <b/>
      <u/>
      <sz val="11"/>
      <name val="Arial"/>
      <family val="2"/>
    </font>
    <font>
      <b/>
      <sz val="16"/>
      <color indexed="9"/>
      <name val="Arial"/>
      <family val="2"/>
    </font>
    <font>
      <u/>
      <sz val="10"/>
      <color indexed="9"/>
      <name val="Arial"/>
      <family val="2"/>
    </font>
    <font>
      <b/>
      <i/>
      <sz val="11"/>
      <name val="Arial"/>
      <family val="2"/>
    </font>
    <font>
      <sz val="11"/>
      <color indexed="12"/>
      <name val="Arial"/>
      <family val="2"/>
    </font>
    <font>
      <b/>
      <sz val="11"/>
      <color indexed="12"/>
      <name val="Arial"/>
      <family val="2"/>
    </font>
    <font>
      <sz val="10"/>
      <color indexed="12"/>
      <name val="Arial"/>
      <family val="2"/>
    </font>
    <font>
      <i/>
      <sz val="11"/>
      <name val="Arial"/>
      <family val="2"/>
    </font>
    <font>
      <sz val="11"/>
      <color indexed="8"/>
      <name val="Arial"/>
      <family val="2"/>
    </font>
    <font>
      <sz val="11"/>
      <color indexed="17"/>
      <name val="Arial"/>
      <family val="2"/>
    </font>
    <font>
      <b/>
      <sz val="11"/>
      <color indexed="17"/>
      <name val="Arial"/>
      <family val="2"/>
    </font>
    <font>
      <sz val="10"/>
      <color indexed="17"/>
      <name val="Arial"/>
      <family val="2"/>
    </font>
    <font>
      <sz val="9"/>
      <name val="Arial"/>
      <family val="2"/>
    </font>
    <font>
      <i/>
      <sz val="11"/>
      <color indexed="12"/>
      <name val="Arial"/>
      <family val="2"/>
    </font>
    <font>
      <sz val="10"/>
      <name val="Arial"/>
      <family val="2"/>
    </font>
    <font>
      <b/>
      <sz val="10"/>
      <name val="Arial"/>
      <family val="2"/>
    </font>
    <font>
      <u/>
      <sz val="10"/>
      <name val="Arial"/>
      <family val="2"/>
    </font>
    <font>
      <vertAlign val="superscript"/>
      <sz val="11"/>
      <name val="Arial"/>
      <family val="2"/>
    </font>
    <font>
      <sz val="10"/>
      <name val="Arial"/>
      <family val="2"/>
    </font>
    <font>
      <b/>
      <sz val="16"/>
      <name val="Arial"/>
      <family val="2"/>
    </font>
    <font>
      <b/>
      <sz val="16"/>
      <color indexed="8"/>
      <name val="Arial"/>
      <family val="2"/>
    </font>
    <font>
      <sz val="11"/>
      <name val="Arial"/>
      <family val="2"/>
    </font>
    <font>
      <u/>
      <sz val="11"/>
      <color indexed="12"/>
      <name val="Arial"/>
      <family val="2"/>
    </font>
    <font>
      <vertAlign val="superscript"/>
      <sz val="10"/>
      <name val="Arial"/>
      <family val="2"/>
    </font>
    <font>
      <sz val="11"/>
      <color indexed="9"/>
      <name val="Arial"/>
      <family val="2"/>
    </font>
    <font>
      <sz val="11"/>
      <name val="Arial"/>
      <family val="2"/>
    </font>
    <font>
      <b/>
      <sz val="11"/>
      <color indexed="9"/>
      <name val="Arial"/>
      <family val="2"/>
    </font>
    <font>
      <u/>
      <sz val="11"/>
      <name val="Arial"/>
      <family val="2"/>
    </font>
    <font>
      <i/>
      <sz val="11"/>
      <name val="Arial"/>
      <family val="2"/>
    </font>
    <font>
      <sz val="11"/>
      <color indexed="9"/>
      <name val="Arial"/>
      <family val="2"/>
    </font>
    <font>
      <b/>
      <sz val="11"/>
      <color indexed="9"/>
      <name val="Arial"/>
      <family val="2"/>
    </font>
    <font>
      <b/>
      <sz val="11"/>
      <name val="Arial"/>
      <family val="2"/>
    </font>
    <font>
      <b/>
      <i/>
      <sz val="11"/>
      <name val="Arial"/>
      <family val="2"/>
    </font>
    <font>
      <sz val="11"/>
      <name val="Arial"/>
      <family val="2"/>
    </font>
    <font>
      <sz val="11"/>
      <color indexed="9"/>
      <name val="Arial"/>
      <family val="2"/>
    </font>
    <font>
      <b/>
      <sz val="11"/>
      <color indexed="9"/>
      <name val="Arial"/>
      <family val="2"/>
    </font>
    <font>
      <b/>
      <sz val="11"/>
      <name val="Arial"/>
      <family val="2"/>
    </font>
    <font>
      <sz val="11"/>
      <name val="Arial"/>
      <family val="2"/>
    </font>
    <font>
      <sz val="11"/>
      <color indexed="9"/>
      <name val="Arial"/>
      <family val="2"/>
    </font>
    <font>
      <sz val="11"/>
      <name val="Arial"/>
      <family val="2"/>
    </font>
    <font>
      <b/>
      <sz val="11"/>
      <color indexed="9"/>
      <name val="Arial"/>
      <family val="2"/>
    </font>
    <font>
      <b/>
      <sz val="11"/>
      <name val="Arial"/>
      <family val="2"/>
    </font>
    <font>
      <sz val="11"/>
      <color indexed="9"/>
      <name val="Arial"/>
      <family val="2"/>
    </font>
    <font>
      <b/>
      <sz val="11"/>
      <color indexed="9"/>
      <name val="Arial"/>
      <family val="2"/>
    </font>
    <font>
      <sz val="10"/>
      <name val="Arial"/>
      <family val="2"/>
    </font>
    <font>
      <b/>
      <sz val="10"/>
      <name val="Arial"/>
      <family val="2"/>
    </font>
    <font>
      <sz val="8"/>
      <color indexed="8"/>
      <name val="Arial"/>
      <family val="2"/>
    </font>
    <font>
      <sz val="11"/>
      <color indexed="9"/>
      <name val="Arial"/>
      <family val="2"/>
    </font>
    <font>
      <sz val="11"/>
      <name val="Arial"/>
      <family val="2"/>
    </font>
    <font>
      <b/>
      <sz val="11"/>
      <color indexed="9"/>
      <name val="Arial"/>
      <family val="2"/>
    </font>
    <font>
      <b/>
      <sz val="11"/>
      <name val="Arial"/>
      <family val="2"/>
    </font>
    <font>
      <sz val="11"/>
      <color indexed="9"/>
      <name val="Arial"/>
      <family val="2"/>
    </font>
    <font>
      <b/>
      <sz val="11"/>
      <color indexed="9"/>
      <name val="Arial"/>
      <family val="2"/>
    </font>
    <font>
      <sz val="11"/>
      <name val="Arial"/>
      <family val="2"/>
    </font>
    <font>
      <b/>
      <sz val="11"/>
      <name val="Arial"/>
      <family val="2"/>
    </font>
    <font>
      <b/>
      <u/>
      <vertAlign val="superscript"/>
      <sz val="11"/>
      <name val="Arial"/>
      <family val="2"/>
    </font>
    <font>
      <b/>
      <i/>
      <vertAlign val="superscript"/>
      <sz val="11"/>
      <name val="Arial"/>
      <family val="2"/>
    </font>
    <font>
      <b/>
      <vertAlign val="superscript"/>
      <sz val="11"/>
      <name val="Arial"/>
      <family val="2"/>
    </font>
    <font>
      <sz val="11"/>
      <color indexed="9"/>
      <name val="Arial"/>
      <family val="2"/>
    </font>
    <font>
      <b/>
      <sz val="11"/>
      <color indexed="9"/>
      <name val="Arial"/>
      <family val="2"/>
    </font>
    <font>
      <b/>
      <sz val="11"/>
      <name val="Arial"/>
      <family val="2"/>
    </font>
    <font>
      <sz val="11"/>
      <name val="Arial"/>
      <family val="2"/>
    </font>
    <font>
      <b/>
      <sz val="9"/>
      <name val="Arial"/>
      <family val="2"/>
    </font>
    <font>
      <u/>
      <vertAlign val="superscript"/>
      <sz val="11"/>
      <name val="Arial"/>
      <family val="2"/>
    </font>
    <font>
      <i/>
      <vertAlign val="superscript"/>
      <sz val="11"/>
      <name val="Arial"/>
      <family val="2"/>
    </font>
    <font>
      <sz val="16"/>
      <name val="Arial"/>
      <family val="2"/>
    </font>
    <font>
      <sz val="12"/>
      <color rgb="FFFF0000"/>
      <name val="Arial"/>
      <family val="2"/>
    </font>
    <font>
      <b/>
      <sz val="11"/>
      <color rgb="FF0000FF"/>
      <name val="Arial"/>
      <family val="2"/>
    </font>
    <font>
      <sz val="11"/>
      <color rgb="FF0000FF"/>
      <name val="Arial"/>
      <family val="2"/>
    </font>
    <font>
      <b/>
      <sz val="8"/>
      <color rgb="FF0000FF"/>
      <name val="Arial"/>
      <family val="2"/>
    </font>
    <font>
      <sz val="11"/>
      <color theme="1"/>
      <name val="Arial"/>
      <family val="2"/>
    </font>
    <font>
      <sz val="10"/>
      <color rgb="FF0000FF"/>
      <name val="Arial"/>
      <family val="2"/>
    </font>
    <font>
      <sz val="11"/>
      <color rgb="FF132EF9"/>
      <name val="Arial"/>
      <family val="2"/>
    </font>
    <font>
      <b/>
      <sz val="11"/>
      <color theme="1"/>
      <name val="Arial"/>
      <family val="2"/>
    </font>
    <font>
      <sz val="11"/>
      <color rgb="FF000000"/>
      <name val="Arial"/>
      <family val="2"/>
    </font>
    <font>
      <b/>
      <sz val="11"/>
      <color rgb="FF132EF9"/>
      <name val="Arial"/>
      <family val="2"/>
    </font>
    <font>
      <i/>
      <sz val="11"/>
      <color rgb="FFFFCC99"/>
      <name val="Arial"/>
      <family val="2"/>
    </font>
    <font>
      <i/>
      <sz val="11"/>
      <color theme="0"/>
      <name val="Arial"/>
      <family val="2"/>
    </font>
    <font>
      <b/>
      <sz val="11"/>
      <color rgb="FF0066FF"/>
      <name val="Arial"/>
      <family val="2"/>
    </font>
    <font>
      <b/>
      <sz val="11"/>
      <color rgb="FFFF0000"/>
      <name val="Arial"/>
      <family val="2"/>
    </font>
    <font>
      <sz val="16"/>
      <color rgb="FF0000FF"/>
      <name val="Arial"/>
      <family val="2"/>
    </font>
    <font>
      <sz val="10"/>
      <color rgb="FF132EF9"/>
      <name val="Arial"/>
      <family val="2"/>
    </font>
    <font>
      <b/>
      <i/>
      <sz val="11"/>
      <color rgb="FF0000FF"/>
      <name val="Arial"/>
      <family val="2"/>
    </font>
    <font>
      <sz val="11"/>
      <color rgb="FF0033CC"/>
      <name val="Arial"/>
      <family val="2"/>
    </font>
    <font>
      <b/>
      <sz val="11"/>
      <color rgb="FF0033CC"/>
      <name val="Arial"/>
      <family val="2"/>
    </font>
    <font>
      <i/>
      <sz val="11"/>
      <color rgb="FF132EF9"/>
      <name val="Arial"/>
      <family val="2"/>
    </font>
    <font>
      <i/>
      <sz val="11"/>
      <color rgb="FF0000FF"/>
      <name val="Arial"/>
      <family val="2"/>
    </font>
    <font>
      <b/>
      <sz val="11"/>
      <color theme="0"/>
      <name val="Arial"/>
      <family val="2"/>
    </font>
    <font>
      <sz val="11"/>
      <color rgb="FF3333FF"/>
      <name val="Arial"/>
      <family val="2"/>
    </font>
    <font>
      <sz val="11"/>
      <color rgb="FF0066FF"/>
      <name val="Arial"/>
      <family val="2"/>
    </font>
    <font>
      <b/>
      <sz val="9"/>
      <color rgb="FF0000FF"/>
      <name val="Arial"/>
      <family val="2"/>
    </font>
    <font>
      <b/>
      <sz val="9"/>
      <color rgb="FF000000"/>
      <name val="Arial"/>
      <family val="2"/>
    </font>
    <font>
      <b/>
      <sz val="9"/>
      <color rgb="FF132EF9"/>
      <name val="Arial"/>
      <family val="2"/>
    </font>
    <font>
      <b/>
      <sz val="16"/>
      <color rgb="FF0000FF"/>
      <name val="Arial"/>
      <family val="2"/>
    </font>
    <font>
      <b/>
      <sz val="10"/>
      <color rgb="FF0000FF"/>
      <name val="Arial"/>
      <family val="2"/>
    </font>
    <font>
      <b/>
      <sz val="16"/>
      <color theme="0"/>
      <name val="Arial"/>
      <family val="2"/>
    </font>
    <font>
      <b/>
      <sz val="11"/>
      <color rgb="FF0000CC"/>
      <name val="Arial"/>
      <family val="2"/>
    </font>
    <font>
      <sz val="11"/>
      <color rgb="FF0070C0"/>
      <name val="Arial"/>
      <family val="2"/>
    </font>
    <font>
      <b/>
      <sz val="11"/>
      <color rgb="FF0070C0"/>
      <name val="Arial"/>
      <family val="2"/>
    </font>
    <font>
      <sz val="9"/>
      <color rgb="FF0000FF"/>
      <name val="Arial"/>
      <family val="2"/>
    </font>
    <font>
      <sz val="11"/>
      <color rgb="FF0000CC"/>
      <name val="Arial"/>
      <family val="2"/>
    </font>
    <font>
      <u/>
      <sz val="10"/>
      <color theme="0"/>
      <name val="Arial"/>
      <family val="2"/>
    </font>
  </fonts>
  <fills count="9">
    <fill>
      <patternFill patternType="none"/>
    </fill>
    <fill>
      <patternFill patternType="gray125"/>
    </fill>
    <fill>
      <patternFill patternType="solid">
        <fgColor indexed="25"/>
        <bgColor indexed="64"/>
      </patternFill>
    </fill>
    <fill>
      <patternFill patternType="solid">
        <fgColor indexed="9"/>
        <bgColor indexed="64"/>
      </patternFill>
    </fill>
    <fill>
      <patternFill patternType="solid">
        <fgColor indexed="43"/>
        <bgColor indexed="64"/>
      </patternFill>
    </fill>
    <fill>
      <patternFill patternType="solid">
        <fgColor theme="0" tint="-0.249977111117893"/>
        <bgColor indexed="64"/>
      </patternFill>
    </fill>
    <fill>
      <patternFill patternType="solid">
        <fgColor rgb="FFFFCC99"/>
        <bgColor indexed="64"/>
      </patternFill>
    </fill>
    <fill>
      <patternFill patternType="solid">
        <fgColor rgb="FFC00000"/>
        <bgColor indexed="64"/>
      </patternFill>
    </fill>
    <fill>
      <patternFill patternType="solid">
        <fgColor theme="0"/>
        <bgColor indexed="64"/>
      </patternFill>
    </fill>
  </fills>
  <borders count="19">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thick">
        <color indexed="64"/>
      </bottom>
      <diagonal/>
    </border>
    <border>
      <left/>
      <right/>
      <top style="thick">
        <color indexed="64"/>
      </top>
      <bottom/>
      <diagonal/>
    </border>
    <border>
      <left/>
      <right/>
      <top/>
      <bottom style="thick">
        <color indexed="64"/>
      </bottom>
      <diagonal/>
    </border>
    <border>
      <left/>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bottom/>
      <diagonal/>
    </border>
    <border>
      <left/>
      <right/>
      <top/>
      <bottom style="thin">
        <color theme="0" tint="-0.499984740745262"/>
      </bottom>
      <diagonal/>
    </border>
    <border>
      <left style="thin">
        <color theme="0" tint="-0.499984740745262"/>
      </left>
      <right/>
      <top/>
      <bottom style="thin">
        <color theme="0" tint="-0.499984740745262"/>
      </bottom>
      <diagonal/>
    </border>
    <border>
      <left/>
      <right/>
      <top style="thin">
        <color theme="0" tint="-0.34998626667073579"/>
      </top>
      <bottom/>
      <diagonal/>
    </border>
    <border>
      <left/>
      <right/>
      <top/>
      <bottom style="thin">
        <color theme="0" tint="-0.34998626667073579"/>
      </bottom>
      <diagonal/>
    </border>
    <border>
      <left/>
      <right style="thin">
        <color theme="0" tint="-0.499984740745262"/>
      </right>
      <top/>
      <bottom style="thin">
        <color theme="0" tint="-0.499984740745262"/>
      </bottom>
      <diagonal/>
    </border>
    <border>
      <left/>
      <right/>
      <top style="thin">
        <color theme="0" tint="-0.24994659260841701"/>
      </top>
      <bottom/>
      <diagonal/>
    </border>
    <border>
      <left/>
      <right/>
      <top/>
      <bottom style="thin">
        <color theme="0" tint="-0.24994659260841701"/>
      </bottom>
      <diagonal/>
    </border>
    <border>
      <left/>
      <right style="thin">
        <color theme="0" tint="-0.499984740745262"/>
      </right>
      <top style="thin">
        <color theme="0" tint="-0.499984740745262"/>
      </top>
      <bottom/>
      <diagonal/>
    </border>
    <border>
      <left/>
      <right style="thin">
        <color theme="0" tint="-0.499984740745262"/>
      </right>
      <top/>
      <bottom/>
      <diagonal/>
    </border>
  </borders>
  <cellStyleXfs count="8">
    <xf numFmtId="0" fontId="0" fillId="0" borderId="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alignment vertical="top"/>
      <protection locked="0"/>
    </xf>
    <xf numFmtId="0" fontId="1" fillId="0" borderId="0"/>
    <xf numFmtId="9" fontId="24" fillId="0" borderId="0" applyFont="0" applyFill="0" applyBorder="0" applyAlignment="0" applyProtection="0"/>
    <xf numFmtId="9" fontId="1" fillId="0" borderId="0" applyFont="0" applyFill="0" applyBorder="0" applyAlignment="0" applyProtection="0"/>
  </cellStyleXfs>
  <cellXfs count="788">
    <xf numFmtId="0" fontId="0" fillId="0" borderId="0" xfId="0"/>
    <xf numFmtId="0" fontId="4" fillId="0" borderId="0" xfId="0" applyFont="1"/>
    <xf numFmtId="0" fontId="3" fillId="0" borderId="0" xfId="0" applyFont="1"/>
    <xf numFmtId="0" fontId="11" fillId="2" borderId="1" xfId="0" applyFont="1" applyFill="1" applyBorder="1" applyAlignment="1">
      <alignment horizontal="left"/>
    </xf>
    <xf numFmtId="37" fontId="9" fillId="2" borderId="1" xfId="0" applyNumberFormat="1" applyFont="1" applyFill="1" applyBorder="1" applyAlignment="1">
      <alignment horizontal="left"/>
    </xf>
    <xf numFmtId="37" fontId="9" fillId="2" borderId="1" xfId="0" applyNumberFormat="1" applyFont="1" applyFill="1" applyBorder="1" applyAlignment="1">
      <alignment horizontal="right"/>
    </xf>
    <xf numFmtId="37" fontId="8" fillId="2" borderId="2" xfId="0" applyNumberFormat="1" applyFont="1" applyFill="1" applyBorder="1" applyAlignment="1">
      <alignment horizontal="center"/>
    </xf>
    <xf numFmtId="37" fontId="8" fillId="2" borderId="2" xfId="0" applyNumberFormat="1" applyFont="1" applyFill="1" applyBorder="1" applyAlignment="1">
      <alignment horizontal="center" wrapText="1"/>
    </xf>
    <xf numFmtId="37" fontId="3" fillId="0" borderId="0" xfId="0" applyNumberFormat="1" applyFont="1" applyAlignment="1">
      <alignment horizontal="right" wrapText="1"/>
    </xf>
    <xf numFmtId="167" fontId="3" fillId="0" borderId="0" xfId="1" applyNumberFormat="1" applyFont="1" applyAlignment="1">
      <alignment horizontal="right"/>
    </xf>
    <xf numFmtId="37" fontId="3" fillId="0" borderId="0" xfId="1" applyNumberFormat="1" applyFont="1" applyAlignment="1">
      <alignment horizontal="right"/>
    </xf>
    <xf numFmtId="0" fontId="1" fillId="0" borderId="0" xfId="0" applyFont="1"/>
    <xf numFmtId="0" fontId="28" fillId="3" borderId="0" xfId="0" applyFont="1" applyFill="1"/>
    <xf numFmtId="0" fontId="29" fillId="3" borderId="0" xfId="0" applyFont="1" applyFill="1" applyAlignment="1">
      <alignment horizontal="left"/>
    </xf>
    <xf numFmtId="0" fontId="30" fillId="3" borderId="0" xfId="0" applyFont="1" applyFill="1" applyAlignment="1">
      <alignment horizontal="left"/>
    </xf>
    <xf numFmtId="0" fontId="31" fillId="3" borderId="0" xfId="0" applyFont="1" applyFill="1"/>
    <xf numFmtId="0" fontId="32" fillId="3" borderId="0" xfId="4" applyFont="1" applyFill="1" applyAlignment="1" applyProtection="1"/>
    <xf numFmtId="0" fontId="76" fillId="3" borderId="0" xfId="0" applyFont="1" applyFill="1"/>
    <xf numFmtId="0" fontId="28" fillId="3" borderId="0" xfId="0" applyFont="1" applyFill="1" applyAlignment="1">
      <alignment horizontal="left"/>
    </xf>
    <xf numFmtId="37" fontId="52" fillId="2" borderId="1" xfId="0" applyNumberFormat="1" applyFont="1" applyFill="1" applyBorder="1" applyAlignment="1">
      <alignment horizontal="left"/>
    </xf>
    <xf numFmtId="37" fontId="53" fillId="2" borderId="2" xfId="0" applyNumberFormat="1" applyFont="1" applyFill="1" applyBorder="1" applyAlignment="1">
      <alignment horizontal="center"/>
    </xf>
    <xf numFmtId="0" fontId="54" fillId="0" borderId="0" xfId="0" applyFont="1"/>
    <xf numFmtId="0" fontId="55" fillId="0" borderId="0" xfId="0" applyFont="1"/>
    <xf numFmtId="0" fontId="56" fillId="0" borderId="0" xfId="0" applyFont="1" applyAlignment="1">
      <alignment horizontal="left" vertical="top" wrapText="1" indent="1"/>
    </xf>
    <xf numFmtId="37" fontId="77" fillId="0" borderId="0" xfId="0" applyNumberFormat="1" applyFont="1" applyAlignment="1">
      <alignment horizontal="right" wrapText="1"/>
    </xf>
    <xf numFmtId="37" fontId="3" fillId="0" borderId="0" xfId="1" applyNumberFormat="1" applyFont="1" applyFill="1" applyAlignment="1">
      <alignment horizontal="right"/>
    </xf>
    <xf numFmtId="0" fontId="18" fillId="0" borderId="0" xfId="0" applyFont="1" applyAlignment="1">
      <alignment horizontal="left" vertical="top" wrapText="1" indent="1"/>
    </xf>
    <xf numFmtId="0" fontId="3" fillId="0" borderId="0" xfId="0" applyFont="1" applyAlignment="1">
      <alignment horizontal="left" vertical="top" wrapText="1" indent="1"/>
    </xf>
    <xf numFmtId="0" fontId="54" fillId="0" borderId="0" xfId="0" applyFont="1" applyAlignment="1">
      <alignment vertical="center"/>
    </xf>
    <xf numFmtId="0" fontId="6" fillId="0" borderId="2" xfId="0" applyFont="1" applyBorder="1" applyAlignment="1">
      <alignment horizontal="left" vertical="top" wrapText="1" indent="1"/>
    </xf>
    <xf numFmtId="37" fontId="78" fillId="0" borderId="0" xfId="1" applyNumberFormat="1" applyFont="1" applyAlignment="1">
      <alignment horizontal="right"/>
    </xf>
    <xf numFmtId="37" fontId="78" fillId="2" borderId="1" xfId="1" applyNumberFormat="1" applyFont="1" applyFill="1" applyBorder="1" applyAlignment="1">
      <alignment horizontal="right"/>
    </xf>
    <xf numFmtId="37" fontId="77" fillId="0" borderId="0" xfId="0" applyNumberFormat="1" applyFont="1" applyAlignment="1">
      <alignment vertical="top" wrapText="1"/>
    </xf>
    <xf numFmtId="0" fontId="79" fillId="0" borderId="0" xfId="0" applyFont="1" applyAlignment="1">
      <alignment horizontal="right" wrapText="1"/>
    </xf>
    <xf numFmtId="37" fontId="3" fillId="2" borderId="1" xfId="1" applyNumberFormat="1" applyFont="1" applyFill="1" applyBorder="1" applyAlignment="1">
      <alignment horizontal="right"/>
    </xf>
    <xf numFmtId="167" fontId="3" fillId="2" borderId="2" xfId="1" applyNumberFormat="1" applyFont="1" applyFill="1" applyBorder="1" applyAlignment="1">
      <alignment horizontal="right"/>
    </xf>
    <xf numFmtId="37" fontId="4" fillId="0" borderId="0" xfId="0" applyNumberFormat="1" applyFont="1" applyAlignment="1">
      <alignment vertical="top" wrapText="1"/>
    </xf>
    <xf numFmtId="0" fontId="2" fillId="0" borderId="0" xfId="0" applyFont="1" applyAlignment="1">
      <alignment horizontal="right" wrapText="1"/>
    </xf>
    <xf numFmtId="0" fontId="1" fillId="3" borderId="0" xfId="0" applyFont="1" applyFill="1"/>
    <xf numFmtId="0" fontId="3" fillId="3" borderId="0" xfId="0" applyFont="1" applyFill="1"/>
    <xf numFmtId="0" fontId="6" fillId="3" borderId="0" xfId="0" applyFont="1" applyFill="1" applyAlignment="1">
      <alignment horizontal="left"/>
    </xf>
    <xf numFmtId="0" fontId="4" fillId="3" borderId="0" xfId="0" applyFont="1" applyFill="1" applyAlignment="1">
      <alignment horizontal="right"/>
    </xf>
    <xf numFmtId="0" fontId="14" fillId="3" borderId="0" xfId="0" applyFont="1" applyFill="1"/>
    <xf numFmtId="0" fontId="15" fillId="3" borderId="0" xfId="0" applyFont="1" applyFill="1" applyAlignment="1">
      <alignment horizontal="left"/>
    </xf>
    <xf numFmtId="0" fontId="4" fillId="3" borderId="0" xfId="0" applyFont="1" applyFill="1" applyAlignment="1">
      <alignment horizontal="left"/>
    </xf>
    <xf numFmtId="0" fontId="4" fillId="3" borderId="0" xfId="0" applyFont="1" applyFill="1"/>
    <xf numFmtId="0" fontId="13" fillId="3" borderId="0" xfId="0" applyFont="1" applyFill="1"/>
    <xf numFmtId="0" fontId="3" fillId="3" borderId="0" xfId="0" applyFont="1" applyFill="1" applyAlignment="1">
      <alignment horizontal="left"/>
    </xf>
    <xf numFmtId="0" fontId="18" fillId="0" borderId="0" xfId="0" applyFont="1" applyAlignment="1">
      <alignment horizontal="right" vertical="top" wrapText="1" indent="1"/>
    </xf>
    <xf numFmtId="0" fontId="6" fillId="0" borderId="0" xfId="0" applyFont="1" applyAlignment="1">
      <alignment horizontal="left" vertical="top" wrapText="1" indent="1"/>
    </xf>
    <xf numFmtId="0" fontId="4" fillId="0" borderId="0" xfId="0" applyFont="1" applyAlignment="1">
      <alignment horizontal="left" vertical="top" wrapText="1" indent="1"/>
    </xf>
    <xf numFmtId="0" fontId="3" fillId="0" borderId="0" xfId="0" applyFont="1" applyAlignment="1">
      <alignment horizontal="right" vertical="top" wrapText="1" indent="1"/>
    </xf>
    <xf numFmtId="0" fontId="80" fillId="0" borderId="0" xfId="0" applyFont="1" applyAlignment="1">
      <alignment horizontal="left" vertical="top" wrapText="1" indent="1"/>
    </xf>
    <xf numFmtId="0" fontId="18" fillId="0" borderId="2" xfId="0" applyFont="1" applyBorder="1" applyAlignment="1">
      <alignment horizontal="left" vertical="top" wrapText="1" indent="1"/>
    </xf>
    <xf numFmtId="0" fontId="3" fillId="0" borderId="0" xfId="0" applyFont="1" applyAlignment="1">
      <alignment vertical="center"/>
    </xf>
    <xf numFmtId="0" fontId="3" fillId="0" borderId="2" xfId="0" applyFont="1" applyBorder="1" applyAlignment="1">
      <alignment horizontal="left" vertical="top" wrapText="1" indent="1"/>
    </xf>
    <xf numFmtId="0" fontId="11" fillId="2" borderId="1" xfId="5" applyFont="1" applyFill="1" applyBorder="1" applyAlignment="1">
      <alignment horizontal="left"/>
    </xf>
    <xf numFmtId="37" fontId="9" fillId="2" borderId="1" xfId="5" applyNumberFormat="1" applyFont="1" applyFill="1" applyBorder="1" applyAlignment="1">
      <alignment horizontal="left"/>
    </xf>
    <xf numFmtId="167" fontId="4" fillId="2" borderId="1" xfId="1" applyNumberFormat="1" applyFont="1" applyFill="1" applyBorder="1" applyAlignment="1">
      <alignment horizontal="right"/>
    </xf>
    <xf numFmtId="37" fontId="3" fillId="2" borderId="1" xfId="5" applyNumberFormat="1" applyFont="1" applyFill="1" applyBorder="1" applyAlignment="1">
      <alignment horizontal="right"/>
    </xf>
    <xf numFmtId="37" fontId="9" fillId="2" borderId="1" xfId="5" applyNumberFormat="1" applyFont="1" applyFill="1" applyBorder="1" applyAlignment="1">
      <alignment horizontal="right"/>
    </xf>
    <xf numFmtId="0" fontId="3" fillId="0" borderId="0" xfId="5" applyFont="1"/>
    <xf numFmtId="0" fontId="4" fillId="0" borderId="0" xfId="5" applyFont="1"/>
    <xf numFmtId="0" fontId="3" fillId="0" borderId="0" xfId="5" quotePrefix="1" applyFont="1"/>
    <xf numFmtId="167" fontId="3" fillId="0" borderId="0" xfId="5" applyNumberFormat="1" applyFont="1"/>
    <xf numFmtId="167" fontId="3" fillId="0" borderId="0" xfId="5" applyNumberFormat="1" applyFont="1" applyAlignment="1">
      <alignment horizontal="right"/>
    </xf>
    <xf numFmtId="167" fontId="1" fillId="0" borderId="0" xfId="5" applyNumberFormat="1"/>
    <xf numFmtId="0" fontId="1" fillId="0" borderId="0" xfId="5"/>
    <xf numFmtId="167" fontId="3" fillId="0" borderId="0" xfId="1" applyNumberFormat="1" applyFont="1" applyFill="1" applyAlignment="1">
      <alignment horizontal="right"/>
    </xf>
    <xf numFmtId="167" fontId="4" fillId="0" borderId="0" xfId="1" applyNumberFormat="1" applyFont="1" applyAlignment="1">
      <alignment horizontal="right"/>
    </xf>
    <xf numFmtId="0" fontId="1" fillId="0" borderId="0" xfId="0" applyFont="1" applyAlignment="1">
      <alignment horizontal="left" vertical="top"/>
    </xf>
    <xf numFmtId="0" fontId="7" fillId="3" borderId="0" xfId="4" applyFill="1" applyAlignment="1" applyProtection="1"/>
    <xf numFmtId="167" fontId="3" fillId="0" borderId="0" xfId="1" applyNumberFormat="1" applyFont="1" applyBorder="1" applyAlignment="1">
      <alignment horizontal="right"/>
    </xf>
    <xf numFmtId="167" fontId="3" fillId="0" borderId="3" xfId="1" applyNumberFormat="1" applyFont="1" applyBorder="1" applyAlignment="1">
      <alignment horizontal="right"/>
    </xf>
    <xf numFmtId="167" fontId="3" fillId="0" borderId="4" xfId="1" applyNumberFormat="1" applyFont="1" applyBorder="1" applyAlignment="1">
      <alignment horizontal="right"/>
    </xf>
    <xf numFmtId="0" fontId="81" fillId="0" borderId="0" xfId="0" applyFont="1"/>
    <xf numFmtId="0" fontId="4" fillId="0" borderId="5" xfId="1" applyNumberFormat="1" applyFont="1" applyBorder="1" applyAlignment="1">
      <alignment horizontal="right" vertical="top" wrapText="1"/>
    </xf>
    <xf numFmtId="0" fontId="4" fillId="0" borderId="6" xfId="0" applyFont="1" applyBorder="1" applyAlignment="1">
      <alignment horizontal="right" vertical="top" wrapText="1"/>
    </xf>
    <xf numFmtId="0" fontId="3" fillId="0" borderId="2" xfId="0" applyFont="1" applyBorder="1" applyAlignment="1">
      <alignment horizontal="left" wrapText="1" indent="1"/>
    </xf>
    <xf numFmtId="0" fontId="4" fillId="0" borderId="3" xfId="0" applyFont="1" applyBorder="1" applyAlignment="1">
      <alignment horizontal="left" wrapText="1" indent="1"/>
    </xf>
    <xf numFmtId="0" fontId="6" fillId="0" borderId="4" xfId="0" applyFont="1" applyBorder="1" applyAlignment="1">
      <alignment horizontal="left" wrapText="1" indent="1"/>
    </xf>
    <xf numFmtId="167" fontId="3" fillId="0" borderId="1" xfId="1" applyNumberFormat="1" applyFont="1" applyFill="1" applyBorder="1" applyAlignment="1">
      <alignment horizontal="right"/>
    </xf>
    <xf numFmtId="167" fontId="3" fillId="0" borderId="0" xfId="1" applyNumberFormat="1" applyFont="1" applyFill="1" applyAlignment="1"/>
    <xf numFmtId="167" fontId="3" fillId="0" borderId="3" xfId="1" applyNumberFormat="1" applyFont="1" applyFill="1" applyBorder="1" applyAlignment="1"/>
    <xf numFmtId="167" fontId="3" fillId="0" borderId="3" xfId="1" applyNumberFormat="1" applyFont="1" applyBorder="1" applyAlignment="1">
      <alignment vertical="center"/>
    </xf>
    <xf numFmtId="167" fontId="3" fillId="0" borderId="0" xfId="0" applyNumberFormat="1" applyFont="1"/>
    <xf numFmtId="0" fontId="78" fillId="0" borderId="0" xfId="0" applyFont="1" applyAlignment="1">
      <alignment horizontal="left" vertical="top" wrapText="1" indent="1"/>
    </xf>
    <xf numFmtId="167" fontId="4" fillId="0" borderId="0" xfId="1" applyNumberFormat="1" applyFont="1" applyBorder="1" applyAlignment="1">
      <alignment horizontal="right"/>
    </xf>
    <xf numFmtId="167" fontId="4" fillId="0" borderId="0" xfId="1" applyNumberFormat="1" applyFont="1" applyFill="1" applyAlignment="1">
      <alignment horizontal="right"/>
    </xf>
    <xf numFmtId="167" fontId="4" fillId="0" borderId="0" xfId="1" applyNumberFormat="1" applyFont="1" applyFill="1" applyBorder="1" applyAlignment="1">
      <alignment horizontal="right"/>
    </xf>
    <xf numFmtId="167" fontId="4" fillId="0" borderId="4" xfId="1" applyNumberFormat="1" applyFont="1" applyBorder="1" applyAlignment="1">
      <alignment horizontal="right"/>
    </xf>
    <xf numFmtId="167" fontId="4" fillId="0" borderId="1" xfId="1" applyNumberFormat="1" applyFont="1" applyFill="1" applyBorder="1" applyAlignment="1">
      <alignment horizontal="right"/>
    </xf>
    <xf numFmtId="167" fontId="4" fillId="0" borderId="0" xfId="1" applyNumberFormat="1" applyFont="1" applyAlignment="1"/>
    <xf numFmtId="167" fontId="4" fillId="0" borderId="0" xfId="1" applyNumberFormat="1" applyFont="1" applyFill="1" applyAlignment="1"/>
    <xf numFmtId="167" fontId="4" fillId="0" borderId="2" xfId="1" applyNumberFormat="1" applyFont="1" applyBorder="1" applyAlignment="1"/>
    <xf numFmtId="167" fontId="4" fillId="0" borderId="2" xfId="1" applyNumberFormat="1" applyFont="1" applyFill="1" applyBorder="1" applyAlignment="1"/>
    <xf numFmtId="167" fontId="4" fillId="0" borderId="0" xfId="1" applyNumberFormat="1" applyFont="1" applyBorder="1" applyAlignment="1"/>
    <xf numFmtId="167" fontId="4" fillId="0" borderId="3" xfId="1" applyNumberFormat="1" applyFont="1" applyBorder="1" applyAlignment="1">
      <alignment vertical="center"/>
    </xf>
    <xf numFmtId="167" fontId="4" fillId="0" borderId="3" xfId="1" applyNumberFormat="1" applyFont="1" applyBorder="1" applyAlignment="1"/>
    <xf numFmtId="0" fontId="6" fillId="0" borderId="3" xfId="0" applyFont="1" applyBorder="1" applyAlignment="1">
      <alignment horizontal="left" vertical="top" wrapText="1" indent="1"/>
    </xf>
    <xf numFmtId="0" fontId="18" fillId="0" borderId="0" xfId="0" applyFont="1" applyAlignment="1">
      <alignment horizontal="left" vertical="top" indent="1"/>
    </xf>
    <xf numFmtId="37" fontId="3" fillId="0" borderId="0" xfId="0" applyNumberFormat="1" applyFont="1" applyAlignment="1" applyProtection="1">
      <alignment horizontal="right" wrapText="1"/>
      <protection locked="0"/>
    </xf>
    <xf numFmtId="37" fontId="3" fillId="5" borderId="0" xfId="0" applyNumberFormat="1" applyFont="1" applyFill="1" applyAlignment="1" applyProtection="1">
      <alignment horizontal="right" wrapText="1"/>
      <protection locked="0"/>
    </xf>
    <xf numFmtId="37" fontId="3" fillId="6" borderId="0" xfId="0" applyNumberFormat="1" applyFont="1" applyFill="1" applyAlignment="1" applyProtection="1">
      <alignment horizontal="right" wrapText="1"/>
      <protection locked="0"/>
    </xf>
    <xf numFmtId="37" fontId="82" fillId="5" borderId="0" xfId="0" applyNumberFormat="1" applyFont="1" applyFill="1" applyAlignment="1" applyProtection="1">
      <alignment horizontal="right" wrapText="1"/>
      <protection locked="0"/>
    </xf>
    <xf numFmtId="37" fontId="82" fillId="6" borderId="0" xfId="0" applyNumberFormat="1" applyFont="1" applyFill="1" applyAlignment="1" applyProtection="1">
      <alignment horizontal="right" wrapText="1"/>
      <protection locked="0"/>
    </xf>
    <xf numFmtId="167" fontId="4" fillId="5" borderId="0" xfId="1" applyNumberFormat="1" applyFont="1" applyFill="1" applyBorder="1" applyAlignment="1" applyProtection="1">
      <alignment horizontal="right" wrapText="1"/>
      <protection locked="0"/>
    </xf>
    <xf numFmtId="167" fontId="4" fillId="6" borderId="0" xfId="0" applyNumberFormat="1" applyFont="1" applyFill="1" applyAlignment="1" applyProtection="1">
      <alignment horizontal="right" wrapText="1"/>
      <protection locked="0"/>
    </xf>
    <xf numFmtId="167" fontId="3" fillId="5" borderId="7" xfId="1" applyNumberFormat="1" applyFont="1" applyFill="1" applyBorder="1" applyAlignment="1" applyProtection="1">
      <alignment horizontal="right" wrapText="1"/>
      <protection locked="0"/>
    </xf>
    <xf numFmtId="167" fontId="3" fillId="6" borderId="8" xfId="1" applyNumberFormat="1" applyFont="1" applyFill="1" applyBorder="1" applyAlignment="1" applyProtection="1">
      <alignment horizontal="right" wrapText="1"/>
      <protection locked="0"/>
    </xf>
    <xf numFmtId="167" fontId="3" fillId="5" borderId="0" xfId="1" applyNumberFormat="1" applyFont="1" applyFill="1" applyBorder="1" applyAlignment="1" applyProtection="1">
      <alignment horizontal="right" wrapText="1"/>
      <protection locked="0"/>
    </xf>
    <xf numFmtId="167" fontId="3" fillId="6" borderId="9" xfId="1" applyNumberFormat="1" applyFont="1" applyFill="1" applyBorder="1" applyAlignment="1" applyProtection="1">
      <alignment horizontal="right" wrapText="1"/>
      <protection locked="0"/>
    </xf>
    <xf numFmtId="167" fontId="3" fillId="5" borderId="10" xfId="1" applyNumberFormat="1" applyFont="1" applyFill="1" applyBorder="1" applyAlignment="1" applyProtection="1">
      <alignment horizontal="right" wrapText="1"/>
      <protection locked="0"/>
    </xf>
    <xf numFmtId="167" fontId="3" fillId="6" borderId="11" xfId="1" applyNumberFormat="1" applyFont="1" applyFill="1" applyBorder="1" applyAlignment="1" applyProtection="1">
      <alignment horizontal="right" wrapText="1"/>
      <protection locked="0"/>
    </xf>
    <xf numFmtId="167" fontId="4" fillId="6" borderId="12" xfId="1" applyNumberFormat="1" applyFont="1" applyFill="1" applyBorder="1" applyAlignment="1" applyProtection="1">
      <alignment horizontal="right" wrapText="1"/>
      <protection locked="0"/>
    </xf>
    <xf numFmtId="167" fontId="4" fillId="5" borderId="0" xfId="1" applyNumberFormat="1" applyFont="1" applyFill="1" applyAlignment="1" applyProtection="1">
      <alignment horizontal="right" wrapText="1"/>
      <protection locked="0"/>
    </xf>
    <xf numFmtId="167" fontId="4" fillId="6" borderId="0" xfId="1" applyNumberFormat="1" applyFont="1" applyFill="1" applyBorder="1" applyAlignment="1" applyProtection="1">
      <alignment horizontal="right" wrapText="1"/>
      <protection locked="0"/>
    </xf>
    <xf numFmtId="167" fontId="3" fillId="5" borderId="0" xfId="1" applyNumberFormat="1" applyFont="1" applyFill="1" applyAlignment="1" applyProtection="1">
      <alignment horizontal="right" wrapText="1"/>
      <protection locked="0"/>
    </xf>
    <xf numFmtId="167" fontId="3" fillId="6" borderId="0" xfId="1" applyNumberFormat="1" applyFont="1" applyFill="1" applyBorder="1" applyAlignment="1" applyProtection="1">
      <alignment horizontal="right" wrapText="1"/>
      <protection locked="0"/>
    </xf>
    <xf numFmtId="167" fontId="4" fillId="6" borderId="0" xfId="1" applyNumberFormat="1" applyFont="1" applyFill="1" applyAlignment="1" applyProtection="1">
      <alignment horizontal="right" wrapText="1"/>
      <protection locked="0"/>
    </xf>
    <xf numFmtId="167" fontId="4" fillId="0" borderId="0" xfId="1" applyNumberFormat="1" applyFont="1" applyAlignment="1" applyProtection="1">
      <alignment horizontal="right" wrapText="1"/>
      <protection locked="0"/>
    </xf>
    <xf numFmtId="167" fontId="3" fillId="5" borderId="12" xfId="1" applyNumberFormat="1" applyFont="1" applyFill="1" applyBorder="1" applyAlignment="1" applyProtection="1">
      <alignment horizontal="right" wrapText="1"/>
      <protection locked="0"/>
    </xf>
    <xf numFmtId="167" fontId="3" fillId="6" borderId="12" xfId="1" applyNumberFormat="1" applyFont="1" applyFill="1" applyBorder="1" applyAlignment="1" applyProtection="1">
      <alignment horizontal="right" wrapText="1"/>
      <protection locked="0"/>
    </xf>
    <xf numFmtId="167" fontId="3" fillId="5" borderId="13" xfId="1" applyNumberFormat="1" applyFont="1" applyFill="1" applyBorder="1" applyAlignment="1" applyProtection="1">
      <alignment horizontal="right" wrapText="1"/>
      <protection locked="0"/>
    </xf>
    <xf numFmtId="167" fontId="3" fillId="6" borderId="13" xfId="1" applyNumberFormat="1" applyFont="1" applyFill="1" applyBorder="1" applyAlignment="1" applyProtection="1">
      <alignment horizontal="right" wrapText="1"/>
      <protection locked="0"/>
    </xf>
    <xf numFmtId="167" fontId="3" fillId="5" borderId="7" xfId="0" applyNumberFormat="1" applyFont="1" applyFill="1" applyBorder="1" applyAlignment="1" applyProtection="1">
      <alignment horizontal="right" wrapText="1"/>
      <protection locked="0"/>
    </xf>
    <xf numFmtId="167" fontId="3" fillId="6" borderId="8" xfId="0" applyNumberFormat="1" applyFont="1" applyFill="1" applyBorder="1" applyAlignment="1" applyProtection="1">
      <alignment horizontal="right" wrapText="1"/>
      <protection locked="0"/>
    </xf>
    <xf numFmtId="167" fontId="17" fillId="5" borderId="10" xfId="0" applyNumberFormat="1" applyFont="1" applyFill="1" applyBorder="1" applyAlignment="1" applyProtection="1">
      <alignment horizontal="right" wrapText="1"/>
      <protection locked="0"/>
    </xf>
    <xf numFmtId="1" fontId="17" fillId="0" borderId="10" xfId="1" applyNumberFormat="1" applyFont="1" applyFill="1" applyBorder="1" applyAlignment="1" applyProtection="1">
      <alignment horizontal="right" wrapText="1"/>
      <protection locked="0"/>
    </xf>
    <xf numFmtId="167" fontId="17" fillId="0" borderId="14" xfId="1" applyNumberFormat="1" applyFont="1" applyBorder="1" applyAlignment="1" applyProtection="1">
      <alignment horizontal="right" wrapText="1"/>
      <protection locked="0"/>
    </xf>
    <xf numFmtId="167" fontId="17" fillId="6" borderId="11" xfId="0" applyNumberFormat="1" applyFont="1" applyFill="1" applyBorder="1" applyAlignment="1" applyProtection="1">
      <alignment horizontal="right" wrapText="1"/>
      <protection locked="0"/>
    </xf>
    <xf numFmtId="167" fontId="17" fillId="0" borderId="10" xfId="1" applyNumberFormat="1" applyFont="1" applyBorder="1" applyAlignment="1" applyProtection="1">
      <alignment horizontal="right" wrapText="1"/>
      <protection locked="0"/>
    </xf>
    <xf numFmtId="167" fontId="3" fillId="5" borderId="0" xfId="0" applyNumberFormat="1" applyFont="1" applyFill="1" applyAlignment="1" applyProtection="1">
      <alignment horizontal="right" wrapText="1"/>
      <protection locked="0"/>
    </xf>
    <xf numFmtId="167" fontId="3" fillId="6" borderId="0" xfId="0" applyNumberFormat="1" applyFont="1" applyFill="1" applyAlignment="1" applyProtection="1">
      <alignment horizontal="right" wrapText="1"/>
      <protection locked="0"/>
    </xf>
    <xf numFmtId="39" fontId="3" fillId="5" borderId="0" xfId="0" applyNumberFormat="1" applyFont="1" applyFill="1" applyAlignment="1" applyProtection="1">
      <alignment horizontal="right" wrapText="1"/>
      <protection locked="0"/>
    </xf>
    <xf numFmtId="39" fontId="3" fillId="6" borderId="0" xfId="0" applyNumberFormat="1" applyFont="1" applyFill="1" applyAlignment="1" applyProtection="1">
      <alignment horizontal="right" wrapText="1"/>
      <protection locked="0"/>
    </xf>
    <xf numFmtId="165" fontId="3" fillId="5" borderId="0" xfId="0" applyNumberFormat="1" applyFont="1" applyFill="1" applyAlignment="1" applyProtection="1">
      <alignment horizontal="right" wrapText="1"/>
      <protection locked="0"/>
    </xf>
    <xf numFmtId="165" fontId="3" fillId="6" borderId="0" xfId="0" applyNumberFormat="1" applyFont="1" applyFill="1" applyAlignment="1" applyProtection="1">
      <alignment horizontal="right" wrapText="1"/>
      <protection locked="0"/>
    </xf>
    <xf numFmtId="172" fontId="3" fillId="5" borderId="0" xfId="0" applyNumberFormat="1" applyFont="1" applyFill="1" applyAlignment="1" applyProtection="1">
      <alignment horizontal="right" wrapText="1"/>
      <protection locked="0"/>
    </xf>
    <xf numFmtId="172" fontId="3" fillId="6" borderId="0" xfId="0" applyNumberFormat="1" applyFont="1" applyFill="1" applyAlignment="1" applyProtection="1">
      <alignment horizontal="right" wrapText="1"/>
      <protection locked="0"/>
    </xf>
    <xf numFmtId="164" fontId="3" fillId="5" borderId="0" xfId="1" applyFont="1" applyFill="1" applyAlignment="1" applyProtection="1">
      <alignment horizontal="left"/>
      <protection locked="0"/>
    </xf>
    <xf numFmtId="164" fontId="3" fillId="6" borderId="0" xfId="1" applyFont="1" applyFill="1" applyAlignment="1" applyProtection="1">
      <alignment horizontal="left"/>
      <protection locked="0"/>
    </xf>
    <xf numFmtId="164" fontId="3" fillId="6" borderId="0" xfId="1" applyFont="1" applyFill="1" applyBorder="1" applyAlignment="1" applyProtection="1">
      <alignment horizontal="left"/>
      <protection locked="0"/>
    </xf>
    <xf numFmtId="167" fontId="3" fillId="0" borderId="7" xfId="1" applyNumberFormat="1" applyFont="1" applyFill="1" applyBorder="1" applyAlignment="1" applyProtection="1">
      <alignment horizontal="right" wrapText="1"/>
    </xf>
    <xf numFmtId="167" fontId="3" fillId="0" borderId="0" xfId="1" applyNumberFormat="1" applyFont="1" applyFill="1" applyBorder="1" applyAlignment="1" applyProtection="1">
      <alignment horizontal="right" wrapText="1"/>
    </xf>
    <xf numFmtId="167" fontId="3" fillId="0" borderId="10" xfId="1" applyNumberFormat="1" applyFont="1" applyFill="1" applyBorder="1" applyAlignment="1" applyProtection="1">
      <alignment horizontal="right" wrapText="1"/>
    </xf>
    <xf numFmtId="167" fontId="4" fillId="0" borderId="0" xfId="1" applyNumberFormat="1" applyFont="1" applyFill="1" applyBorder="1" applyAlignment="1" applyProtection="1">
      <alignment horizontal="right" wrapText="1"/>
    </xf>
    <xf numFmtId="167" fontId="3" fillId="0" borderId="12" xfId="1" applyNumberFormat="1" applyFont="1" applyFill="1" applyBorder="1" applyAlignment="1" applyProtection="1">
      <alignment horizontal="right" wrapText="1"/>
    </xf>
    <xf numFmtId="167" fontId="3" fillId="0" borderId="13" xfId="1" applyNumberFormat="1" applyFont="1" applyFill="1" applyBorder="1" applyAlignment="1" applyProtection="1">
      <alignment horizontal="right" wrapText="1"/>
    </xf>
    <xf numFmtId="167" fontId="4" fillId="0" borderId="0" xfId="1" applyNumberFormat="1" applyFont="1" applyFill="1" applyAlignment="1" applyProtection="1">
      <alignment horizontal="right" wrapText="1"/>
    </xf>
    <xf numFmtId="164" fontId="3" fillId="0" borderId="0" xfId="1" applyFont="1" applyFill="1" applyBorder="1" applyAlignment="1" applyProtection="1">
      <alignment horizontal="right" wrapText="1"/>
    </xf>
    <xf numFmtId="164" fontId="3" fillId="0" borderId="0" xfId="1" applyFont="1" applyFill="1" applyAlignment="1" applyProtection="1">
      <alignment horizontal="left"/>
    </xf>
    <xf numFmtId="164" fontId="3" fillId="0" borderId="0" xfId="1" applyFont="1" applyFill="1" applyBorder="1" applyAlignment="1" applyProtection="1">
      <alignment horizontal="left"/>
    </xf>
    <xf numFmtId="167" fontId="4" fillId="0" borderId="12" xfId="1" applyNumberFormat="1" applyFont="1" applyFill="1" applyBorder="1" applyAlignment="1" applyProtection="1">
      <alignment horizontal="right" wrapText="1"/>
    </xf>
    <xf numFmtId="167" fontId="4" fillId="0" borderId="0" xfId="1" applyNumberFormat="1" applyFont="1" applyAlignment="1" applyProtection="1">
      <alignment horizontal="right" wrapText="1"/>
    </xf>
    <xf numFmtId="167" fontId="3" fillId="0" borderId="15" xfId="1" applyNumberFormat="1" applyFont="1" applyFill="1" applyBorder="1" applyAlignment="1" applyProtection="1">
      <alignment horizontal="right" wrapText="1"/>
    </xf>
    <xf numFmtId="167" fontId="3" fillId="0" borderId="16" xfId="1" applyNumberFormat="1" applyFont="1" applyFill="1" applyBorder="1" applyAlignment="1" applyProtection="1">
      <alignment horizontal="right" wrapText="1"/>
    </xf>
    <xf numFmtId="9" fontId="3" fillId="0" borderId="0" xfId="6" applyFont="1" applyFill="1" applyBorder="1" applyAlignment="1" applyProtection="1">
      <alignment horizontal="left" wrapText="1"/>
    </xf>
    <xf numFmtId="9" fontId="17" fillId="0" borderId="10" xfId="6" applyFont="1" applyFill="1" applyBorder="1" applyAlignment="1" applyProtection="1">
      <alignment horizontal="left" wrapText="1"/>
    </xf>
    <xf numFmtId="167" fontId="3" fillId="0" borderId="7" xfId="1" applyNumberFormat="1" applyFont="1" applyBorder="1" applyAlignment="1" applyProtection="1">
      <alignment horizontal="right" wrapText="1"/>
    </xf>
    <xf numFmtId="167" fontId="3" fillId="0" borderId="17" xfId="1" applyNumberFormat="1" applyFont="1" applyBorder="1" applyAlignment="1" applyProtection="1">
      <alignment horizontal="right" wrapText="1"/>
    </xf>
    <xf numFmtId="167" fontId="3" fillId="0" borderId="0" xfId="1" applyNumberFormat="1" applyFont="1" applyAlignment="1" applyProtection="1">
      <alignment horizontal="right" wrapText="1"/>
    </xf>
    <xf numFmtId="164" fontId="3" fillId="0" borderId="0" xfId="1" applyFont="1" applyAlignment="1" applyProtection="1">
      <alignment horizontal="right" wrapText="1"/>
    </xf>
    <xf numFmtId="166" fontId="3" fillId="0" borderId="0" xfId="1" applyNumberFormat="1" applyFont="1" applyAlignment="1" applyProtection="1">
      <alignment horizontal="right" wrapText="1"/>
    </xf>
    <xf numFmtId="166" fontId="3" fillId="0" borderId="0" xfId="1" applyNumberFormat="1" applyFont="1" applyFill="1" applyAlignment="1" applyProtection="1">
      <alignment horizontal="right" wrapText="1"/>
    </xf>
    <xf numFmtId="166" fontId="78" fillId="0" borderId="0" xfId="1" applyNumberFormat="1" applyFont="1" applyFill="1" applyAlignment="1" applyProtection="1">
      <alignment horizontal="right" wrapText="1"/>
    </xf>
    <xf numFmtId="37" fontId="3" fillId="5" borderId="0" xfId="0" applyNumberFormat="1" applyFont="1" applyFill="1" applyAlignment="1" applyProtection="1">
      <alignment horizontal="left"/>
      <protection locked="0"/>
    </xf>
    <xf numFmtId="37" fontId="4" fillId="5" borderId="0" xfId="0" applyNumberFormat="1" applyFont="1" applyFill="1" applyAlignment="1" applyProtection="1">
      <alignment horizontal="left"/>
      <protection locked="0"/>
    </xf>
    <xf numFmtId="37" fontId="4" fillId="6" borderId="0" xfId="0" applyNumberFormat="1" applyFont="1" applyFill="1" applyAlignment="1" applyProtection="1">
      <alignment horizontal="right" wrapText="1"/>
      <protection locked="0"/>
    </xf>
    <xf numFmtId="164" fontId="3" fillId="6" borderId="0" xfId="1" applyFont="1" applyFill="1" applyBorder="1" applyAlignment="1" applyProtection="1">
      <alignment horizontal="right" wrapText="1"/>
      <protection locked="0"/>
    </xf>
    <xf numFmtId="0" fontId="13" fillId="5" borderId="0" xfId="0" applyFont="1" applyFill="1" applyProtection="1">
      <protection locked="0"/>
    </xf>
    <xf numFmtId="0" fontId="3" fillId="5" borderId="0" xfId="0" applyFont="1" applyFill="1" applyAlignment="1" applyProtection="1">
      <alignment horizontal="left"/>
      <protection locked="0"/>
    </xf>
    <xf numFmtId="37" fontId="3" fillId="5" borderId="0" xfId="0" applyNumberFormat="1" applyFont="1" applyFill="1" applyProtection="1">
      <protection locked="0"/>
    </xf>
    <xf numFmtId="164" fontId="3" fillId="0" borderId="0" xfId="1" applyFont="1" applyFill="1" applyAlignment="1" applyProtection="1">
      <alignment horizontal="right" wrapText="1"/>
    </xf>
    <xf numFmtId="164" fontId="82" fillId="0" borderId="0" xfId="1" applyFont="1" applyFill="1" applyBorder="1" applyAlignment="1" applyProtection="1">
      <alignment horizontal="right" wrapText="1"/>
    </xf>
    <xf numFmtId="167" fontId="78" fillId="0" borderId="0" xfId="1" applyNumberFormat="1" applyFont="1" applyFill="1" applyBorder="1" applyAlignment="1" applyProtection="1">
      <alignment horizontal="right" wrapText="1"/>
    </xf>
    <xf numFmtId="37" fontId="77" fillId="6" borderId="0" xfId="0" applyNumberFormat="1" applyFont="1" applyFill="1" applyAlignment="1" applyProtection="1">
      <alignment horizontal="right"/>
      <protection locked="0"/>
    </xf>
    <xf numFmtId="167" fontId="4" fillId="6" borderId="0" xfId="1" applyNumberFormat="1" applyFont="1" applyFill="1" applyAlignment="1" applyProtection="1">
      <alignment horizontal="right"/>
      <protection locked="0"/>
    </xf>
    <xf numFmtId="167" fontId="3" fillId="6" borderId="0" xfId="1" applyNumberFormat="1" applyFont="1" applyFill="1" applyAlignment="1" applyProtection="1">
      <alignment horizontal="right" wrapText="1"/>
      <protection locked="0"/>
    </xf>
    <xf numFmtId="167" fontId="4" fillId="6" borderId="0" xfId="0" applyNumberFormat="1" applyFont="1" applyFill="1" applyAlignment="1" applyProtection="1">
      <alignment horizontal="right"/>
      <protection locked="0"/>
    </xf>
    <xf numFmtId="167" fontId="3" fillId="6" borderId="0" xfId="0" applyNumberFormat="1" applyFont="1" applyFill="1" applyAlignment="1" applyProtection="1">
      <alignment horizontal="right"/>
      <protection locked="0"/>
    </xf>
    <xf numFmtId="164" fontId="4" fillId="6" borderId="0" xfId="0" applyNumberFormat="1" applyFont="1" applyFill="1" applyAlignment="1" applyProtection="1">
      <alignment horizontal="right"/>
      <protection locked="0"/>
    </xf>
    <xf numFmtId="164" fontId="3" fillId="6" borderId="0" xfId="0" applyNumberFormat="1" applyFont="1" applyFill="1" applyAlignment="1" applyProtection="1">
      <alignment horizontal="right"/>
      <protection locked="0"/>
    </xf>
    <xf numFmtId="167" fontId="3" fillId="6" borderId="8" xfId="0" applyNumberFormat="1" applyFont="1" applyFill="1" applyBorder="1" applyAlignment="1" applyProtection="1">
      <alignment horizontal="right"/>
      <protection locked="0"/>
    </xf>
    <xf numFmtId="167" fontId="3" fillId="6" borderId="9" xfId="0" applyNumberFormat="1" applyFont="1" applyFill="1" applyBorder="1" applyAlignment="1" applyProtection="1">
      <alignment horizontal="right"/>
      <protection locked="0"/>
    </xf>
    <xf numFmtId="167" fontId="3" fillId="6" borderId="11" xfId="0" applyNumberFormat="1" applyFont="1" applyFill="1" applyBorder="1" applyAlignment="1" applyProtection="1">
      <alignment horizontal="right"/>
      <protection locked="0"/>
    </xf>
    <xf numFmtId="164" fontId="3" fillId="6" borderId="8" xfId="0" applyNumberFormat="1" applyFont="1" applyFill="1" applyBorder="1" applyAlignment="1" applyProtection="1">
      <alignment horizontal="right"/>
      <protection locked="0"/>
    </xf>
    <xf numFmtId="164" fontId="3" fillId="6" borderId="9" xfId="0" applyNumberFormat="1" applyFont="1" applyFill="1" applyBorder="1" applyAlignment="1" applyProtection="1">
      <alignment horizontal="right"/>
      <protection locked="0"/>
    </xf>
    <xf numFmtId="164" fontId="3" fillId="6" borderId="11" xfId="0" applyNumberFormat="1" applyFont="1" applyFill="1" applyBorder="1" applyAlignment="1" applyProtection="1">
      <alignment horizontal="right"/>
      <protection locked="0"/>
    </xf>
    <xf numFmtId="167" fontId="3" fillId="0" borderId="0" xfId="1" applyNumberFormat="1" applyFont="1" applyFill="1" applyAlignment="1" applyProtection="1">
      <alignment horizontal="right" wrapText="1"/>
    </xf>
    <xf numFmtId="10" fontId="4" fillId="0" borderId="0" xfId="6" applyNumberFormat="1" applyFont="1" applyFill="1" applyBorder="1" applyProtection="1"/>
    <xf numFmtId="164" fontId="3" fillId="0" borderId="7" xfId="1" applyFont="1" applyFill="1" applyBorder="1" applyAlignment="1" applyProtection="1">
      <alignment horizontal="right" wrapText="1"/>
    </xf>
    <xf numFmtId="164" fontId="3" fillId="0" borderId="17" xfId="1" applyFont="1" applyFill="1" applyBorder="1" applyAlignment="1" applyProtection="1">
      <alignment horizontal="right" wrapText="1"/>
    </xf>
    <xf numFmtId="164" fontId="3" fillId="0" borderId="18" xfId="1" applyFont="1" applyFill="1" applyBorder="1" applyAlignment="1" applyProtection="1">
      <alignment horizontal="right" wrapText="1"/>
    </xf>
    <xf numFmtId="164" fontId="3" fillId="0" borderId="10" xfId="1" applyFont="1" applyFill="1" applyBorder="1" applyAlignment="1" applyProtection="1">
      <alignment horizontal="right" wrapText="1"/>
    </xf>
    <xf numFmtId="164" fontId="3" fillId="0" borderId="14" xfId="1" applyFont="1" applyFill="1" applyBorder="1" applyAlignment="1" applyProtection="1">
      <alignment horizontal="right" wrapText="1"/>
    </xf>
    <xf numFmtId="164" fontId="3" fillId="5" borderId="0" xfId="1" applyFont="1" applyFill="1" applyBorder="1" applyAlignment="1" applyProtection="1">
      <alignment horizontal="right" wrapText="1"/>
      <protection locked="0"/>
    </xf>
    <xf numFmtId="37" fontId="4" fillId="6" borderId="0" xfId="0" applyNumberFormat="1" applyFont="1" applyFill="1" applyProtection="1">
      <protection locked="0"/>
    </xf>
    <xf numFmtId="167" fontId="4" fillId="6" borderId="0" xfId="0" applyNumberFormat="1" applyFont="1" applyFill="1" applyAlignment="1" applyProtection="1">
      <alignment wrapText="1"/>
      <protection locked="0"/>
    </xf>
    <xf numFmtId="167" fontId="3" fillId="6" borderId="0" xfId="0" applyNumberFormat="1" applyFont="1" applyFill="1" applyAlignment="1" applyProtection="1">
      <alignment wrapText="1"/>
      <protection locked="0"/>
    </xf>
    <xf numFmtId="167" fontId="3" fillId="6" borderId="0" xfId="0" applyNumberFormat="1" applyFont="1" applyFill="1" applyAlignment="1" applyProtection="1">
      <alignment horizontal="left"/>
      <protection locked="0"/>
    </xf>
    <xf numFmtId="167" fontId="3" fillId="6" borderId="0" xfId="0" applyNumberFormat="1" applyFont="1" applyFill="1" applyProtection="1">
      <protection locked="0"/>
    </xf>
    <xf numFmtId="167" fontId="4" fillId="6" borderId="0" xfId="0" applyNumberFormat="1" applyFont="1" applyFill="1" applyProtection="1">
      <protection locked="0"/>
    </xf>
    <xf numFmtId="167" fontId="3" fillId="6" borderId="0" xfId="1" applyNumberFormat="1" applyFont="1" applyFill="1" applyBorder="1" applyAlignment="1" applyProtection="1">
      <protection locked="0"/>
    </xf>
    <xf numFmtId="167" fontId="3" fillId="0" borderId="0" xfId="1" applyNumberFormat="1" applyFont="1" applyFill="1" applyBorder="1" applyAlignment="1" applyProtection="1"/>
    <xf numFmtId="167" fontId="4" fillId="0" borderId="0" xfId="1" applyNumberFormat="1" applyFont="1" applyAlignment="1" applyProtection="1">
      <alignment horizontal="right"/>
      <protection locked="0"/>
    </xf>
    <xf numFmtId="167" fontId="3" fillId="6" borderId="0" xfId="1" applyNumberFormat="1" applyFont="1" applyFill="1" applyAlignment="1" applyProtection="1">
      <alignment wrapText="1"/>
      <protection locked="0"/>
    </xf>
    <xf numFmtId="0" fontId="4" fillId="0" borderId="0" xfId="0" applyFont="1" applyAlignment="1" applyProtection="1">
      <alignment horizontal="right" wrapText="1"/>
      <protection locked="0"/>
    </xf>
    <xf numFmtId="167" fontId="4" fillId="6" borderId="0" xfId="1" applyNumberFormat="1" applyFont="1" applyFill="1" applyAlignment="1" applyProtection="1">
      <alignment wrapText="1"/>
      <protection locked="0"/>
    </xf>
    <xf numFmtId="167" fontId="4" fillId="0" borderId="0" xfId="1" applyNumberFormat="1" applyFont="1" applyAlignment="1" applyProtection="1">
      <alignment horizontal="right"/>
    </xf>
    <xf numFmtId="167" fontId="3" fillId="0" borderId="7" xfId="1" applyNumberFormat="1" applyFont="1" applyBorder="1" applyAlignment="1" applyProtection="1">
      <alignment horizontal="right"/>
    </xf>
    <xf numFmtId="167" fontId="3" fillId="0" borderId="0" xfId="1" applyNumberFormat="1" applyFont="1" applyBorder="1" applyAlignment="1" applyProtection="1">
      <alignment horizontal="right"/>
    </xf>
    <xf numFmtId="167" fontId="3" fillId="0" borderId="0" xfId="1" applyNumberFormat="1" applyFont="1" applyBorder="1" applyAlignment="1" applyProtection="1">
      <alignment horizontal="right" wrapText="1"/>
    </xf>
    <xf numFmtId="167" fontId="3" fillId="0" borderId="18" xfId="1" applyNumberFormat="1" applyFont="1" applyBorder="1" applyAlignment="1" applyProtection="1">
      <alignment horizontal="right" wrapText="1"/>
    </xf>
    <xf numFmtId="167" fontId="3" fillId="0" borderId="10" xfId="1" applyNumberFormat="1" applyFont="1" applyBorder="1" applyAlignment="1" applyProtection="1">
      <alignment horizontal="right"/>
    </xf>
    <xf numFmtId="167" fontId="3" fillId="0" borderId="10" xfId="1" applyNumberFormat="1" applyFont="1" applyBorder="1" applyAlignment="1" applyProtection="1">
      <alignment horizontal="right" wrapText="1"/>
    </xf>
    <xf numFmtId="167" fontId="3" fillId="0" borderId="14" xfId="1" applyNumberFormat="1" applyFont="1" applyBorder="1" applyAlignment="1" applyProtection="1">
      <alignment horizontal="right" wrapText="1"/>
    </xf>
    <xf numFmtId="167" fontId="3" fillId="0" borderId="0" xfId="1" applyNumberFormat="1" applyFont="1" applyAlignment="1" applyProtection="1">
      <alignment horizontal="left"/>
    </xf>
    <xf numFmtId="167" fontId="3" fillId="0" borderId="0" xfId="1" applyNumberFormat="1" applyFont="1" applyFill="1" applyBorder="1" applyAlignment="1" applyProtection="1">
      <alignment horizontal="left"/>
    </xf>
    <xf numFmtId="167" fontId="83" fillId="0" borderId="0" xfId="1" applyNumberFormat="1" applyFont="1" applyProtection="1"/>
    <xf numFmtId="167" fontId="80" fillId="0" borderId="0" xfId="1" applyNumberFormat="1" applyFont="1" applyAlignment="1" applyProtection="1">
      <alignment horizontal="right"/>
    </xf>
    <xf numFmtId="167" fontId="83" fillId="0" borderId="0" xfId="1" applyNumberFormat="1" applyFont="1" applyAlignment="1" applyProtection="1">
      <alignment horizontal="right"/>
    </xf>
    <xf numFmtId="167" fontId="82" fillId="0" borderId="0" xfId="1" applyNumberFormat="1" applyFont="1" applyProtection="1"/>
    <xf numFmtId="167" fontId="82" fillId="0" borderId="0" xfId="1" applyNumberFormat="1" applyFont="1" applyAlignment="1" applyProtection="1">
      <alignment horizontal="left"/>
    </xf>
    <xf numFmtId="167" fontId="80" fillId="0" borderId="0" xfId="1" applyNumberFormat="1" applyFont="1" applyProtection="1"/>
    <xf numFmtId="37" fontId="77" fillId="6" borderId="0" xfId="0" applyNumberFormat="1" applyFont="1" applyFill="1" applyAlignment="1" applyProtection="1">
      <alignment horizontal="right" wrapText="1"/>
      <protection locked="0"/>
    </xf>
    <xf numFmtId="37" fontId="3" fillId="0" borderId="0" xfId="1" applyNumberFormat="1" applyFont="1" applyFill="1" applyBorder="1" applyAlignment="1" applyProtection="1">
      <alignment horizontal="right" wrapText="1"/>
    </xf>
    <xf numFmtId="167" fontId="82" fillId="0" borderId="0" xfId="1" applyNumberFormat="1" applyFont="1" applyFill="1" applyBorder="1" applyAlignment="1" applyProtection="1">
      <alignment horizontal="right"/>
    </xf>
    <xf numFmtId="167" fontId="84" fillId="0" borderId="0" xfId="1" applyNumberFormat="1" applyFont="1" applyFill="1" applyBorder="1" applyAlignment="1" applyProtection="1">
      <alignment horizontal="right"/>
    </xf>
    <xf numFmtId="167" fontId="78" fillId="0" borderId="0" xfId="1" applyNumberFormat="1" applyFont="1" applyFill="1" applyAlignment="1" applyProtection="1">
      <alignment horizontal="right" wrapText="1"/>
    </xf>
    <xf numFmtId="167" fontId="77" fillId="0" borderId="0" xfId="1" applyNumberFormat="1" applyFont="1" applyFill="1" applyBorder="1" applyAlignment="1" applyProtection="1">
      <alignment horizontal="right" wrapText="1"/>
    </xf>
    <xf numFmtId="37" fontId="3" fillId="6" borderId="0" xfId="0" applyNumberFormat="1" applyFont="1" applyFill="1" applyAlignment="1" applyProtection="1">
      <alignment wrapText="1"/>
      <protection locked="0"/>
    </xf>
    <xf numFmtId="165" fontId="4" fillId="6" borderId="0" xfId="0" applyNumberFormat="1" applyFont="1" applyFill="1" applyAlignment="1" applyProtection="1">
      <alignment wrapText="1"/>
      <protection locked="0"/>
    </xf>
    <xf numFmtId="165" fontId="3" fillId="6" borderId="0" xfId="0" applyNumberFormat="1" applyFont="1" applyFill="1" applyAlignment="1" applyProtection="1">
      <alignment wrapText="1"/>
      <protection locked="0"/>
    </xf>
    <xf numFmtId="166" fontId="3" fillId="0" borderId="0" xfId="1" applyNumberFormat="1" applyFont="1" applyAlignment="1" applyProtection="1">
      <alignment horizontal="right"/>
    </xf>
    <xf numFmtId="166" fontId="3" fillId="0" borderId="0" xfId="1" applyNumberFormat="1" applyFont="1" applyFill="1" applyBorder="1" applyAlignment="1" applyProtection="1">
      <alignment horizontal="right" wrapText="1"/>
    </xf>
    <xf numFmtId="167" fontId="3" fillId="0" borderId="0" xfId="1" applyNumberFormat="1" applyFont="1" applyFill="1" applyBorder="1" applyAlignment="1" applyProtection="1">
      <alignment horizontal="right"/>
    </xf>
    <xf numFmtId="37" fontId="15" fillId="6" borderId="0" xfId="0" applyNumberFormat="1" applyFont="1" applyFill="1" applyAlignment="1" applyProtection="1">
      <alignment horizontal="right" wrapText="1"/>
      <protection locked="0"/>
    </xf>
    <xf numFmtId="37" fontId="85" fillId="6" borderId="0" xfId="0" applyNumberFormat="1" applyFont="1" applyFill="1" applyAlignment="1" applyProtection="1">
      <alignment horizontal="right" wrapText="1"/>
      <protection locked="0"/>
    </xf>
    <xf numFmtId="165" fontId="3" fillId="6" borderId="0" xfId="1" applyNumberFormat="1" applyFont="1" applyFill="1" applyBorder="1" applyAlignment="1" applyProtection="1">
      <alignment horizontal="right" wrapText="1"/>
      <protection locked="0"/>
    </xf>
    <xf numFmtId="169" fontId="3" fillId="6" borderId="0" xfId="1" applyNumberFormat="1" applyFont="1" applyFill="1" applyBorder="1" applyAlignment="1" applyProtection="1">
      <alignment horizontal="right" wrapText="1"/>
      <protection locked="0"/>
    </xf>
    <xf numFmtId="167" fontId="82" fillId="0" borderId="0" xfId="1" applyNumberFormat="1" applyFont="1" applyFill="1" applyBorder="1" applyAlignment="1" applyProtection="1">
      <alignment horizontal="right" wrapText="1"/>
    </xf>
    <xf numFmtId="165" fontId="3" fillId="0" borderId="0" xfId="1" applyNumberFormat="1" applyFont="1" applyFill="1" applyBorder="1" applyAlignment="1" applyProtection="1">
      <alignment horizontal="right" wrapText="1"/>
    </xf>
    <xf numFmtId="169" fontId="3" fillId="0" borderId="0" xfId="1" applyNumberFormat="1" applyFont="1" applyFill="1" applyBorder="1" applyAlignment="1" applyProtection="1">
      <alignment horizontal="right" wrapText="1"/>
    </xf>
    <xf numFmtId="0" fontId="16" fillId="6" borderId="0" xfId="0" applyFont="1" applyFill="1" applyAlignment="1" applyProtection="1">
      <alignment horizontal="right" wrapText="1"/>
      <protection locked="0"/>
    </xf>
    <xf numFmtId="0" fontId="14" fillId="6" borderId="0" xfId="0" applyFont="1" applyFill="1" applyAlignment="1" applyProtection="1">
      <alignment horizontal="right" wrapText="1"/>
      <protection locked="0"/>
    </xf>
    <xf numFmtId="167" fontId="86" fillId="6" borderId="0" xfId="1" applyNumberFormat="1" applyFont="1" applyFill="1" applyAlignment="1" applyProtection="1">
      <alignment horizontal="right" wrapText="1"/>
      <protection locked="0"/>
    </xf>
    <xf numFmtId="167" fontId="17" fillId="6" borderId="0" xfId="1" applyNumberFormat="1" applyFont="1" applyFill="1" applyAlignment="1" applyProtection="1">
      <alignment horizontal="right" wrapText="1"/>
      <protection locked="0"/>
    </xf>
    <xf numFmtId="167" fontId="87" fillId="0" borderId="0" xfId="1" applyNumberFormat="1" applyFont="1" applyFill="1" applyAlignment="1" applyProtection="1">
      <alignment horizontal="right" wrapText="1"/>
    </xf>
    <xf numFmtId="37" fontId="3" fillId="0" borderId="0" xfId="1" applyNumberFormat="1" applyFont="1" applyFill="1" applyAlignment="1" applyProtection="1">
      <alignment horizontal="right" wrapText="1"/>
    </xf>
    <xf numFmtId="167" fontId="23" fillId="0" borderId="0" xfId="1" applyNumberFormat="1" applyFont="1" applyFill="1" applyAlignment="1" applyProtection="1">
      <alignment horizontal="right" wrapText="1"/>
    </xf>
    <xf numFmtId="167" fontId="14" fillId="0" borderId="0" xfId="1" applyNumberFormat="1" applyFont="1" applyFill="1" applyAlignment="1" applyProtection="1">
      <alignment horizontal="right" wrapText="1"/>
    </xf>
    <xf numFmtId="171" fontId="3" fillId="0" borderId="0" xfId="1" applyNumberFormat="1" applyFont="1" applyFill="1" applyAlignment="1" applyProtection="1">
      <alignment horizontal="right" wrapText="1"/>
    </xf>
    <xf numFmtId="37" fontId="88" fillId="6" borderId="0" xfId="0" applyNumberFormat="1" applyFont="1" applyFill="1" applyAlignment="1" applyProtection="1">
      <alignment horizontal="right" wrapText="1"/>
      <protection locked="0"/>
    </xf>
    <xf numFmtId="167" fontId="4" fillId="0" borderId="0" xfId="1" applyNumberFormat="1" applyFont="1" applyFill="1" applyBorder="1" applyAlignment="1" applyProtection="1"/>
    <xf numFmtId="167" fontId="4" fillId="0" borderId="0" xfId="1" applyNumberFormat="1" applyFont="1" applyFill="1" applyBorder="1" applyProtection="1"/>
    <xf numFmtId="167" fontId="3" fillId="0" borderId="0" xfId="1" applyNumberFormat="1" applyFont="1" applyFill="1" applyAlignment="1" applyProtection="1">
      <alignment wrapText="1"/>
    </xf>
    <xf numFmtId="37" fontId="85" fillId="6" borderId="0" xfId="0" applyNumberFormat="1" applyFont="1" applyFill="1" applyProtection="1">
      <protection locked="0"/>
    </xf>
    <xf numFmtId="167" fontId="82" fillId="0" borderId="0" xfId="1" applyNumberFormat="1" applyFont="1" applyFill="1" applyBorder="1" applyAlignment="1" applyProtection="1"/>
    <xf numFmtId="167" fontId="3" fillId="0" borderId="0" xfId="1" applyNumberFormat="1" applyFont="1" applyFill="1" applyProtection="1"/>
    <xf numFmtId="167" fontId="4" fillId="0" borderId="0" xfId="1" applyNumberFormat="1" applyFont="1" applyFill="1" applyProtection="1"/>
    <xf numFmtId="37" fontId="89" fillId="6" borderId="0" xfId="0" applyNumberFormat="1" applyFont="1" applyFill="1" applyAlignment="1" applyProtection="1">
      <alignment horizontal="right" wrapText="1"/>
      <protection locked="0"/>
    </xf>
    <xf numFmtId="167" fontId="3" fillId="0" borderId="0" xfId="1" applyNumberFormat="1" applyFont="1" applyProtection="1"/>
    <xf numFmtId="167" fontId="4" fillId="0" borderId="0" xfId="1" applyNumberFormat="1" applyFont="1" applyProtection="1"/>
    <xf numFmtId="167" fontId="4" fillId="0" borderId="0" xfId="0" applyNumberFormat="1" applyFont="1" applyAlignment="1" applyProtection="1">
      <alignment horizontal="right"/>
      <protection locked="0"/>
    </xf>
    <xf numFmtId="167" fontId="3" fillId="0" borderId="0" xfId="1" applyNumberFormat="1" applyFont="1" applyAlignment="1" applyProtection="1">
      <protection locked="0"/>
    </xf>
    <xf numFmtId="167" fontId="4" fillId="0" borderId="3" xfId="0" applyNumberFormat="1" applyFont="1" applyBorder="1" applyAlignment="1" applyProtection="1">
      <alignment horizontal="right"/>
      <protection locked="0"/>
    </xf>
    <xf numFmtId="167" fontId="3" fillId="0" borderId="0" xfId="1" applyNumberFormat="1" applyFont="1" applyAlignment="1" applyProtection="1">
      <alignment horizontal="right"/>
      <protection locked="0"/>
    </xf>
    <xf numFmtId="167" fontId="4" fillId="0" borderId="0" xfId="1" applyNumberFormat="1" applyFont="1" applyFill="1" applyAlignment="1" applyProtection="1">
      <alignment horizontal="right"/>
      <protection locked="0"/>
    </xf>
    <xf numFmtId="167" fontId="4" fillId="0" borderId="3" xfId="1" applyNumberFormat="1" applyFont="1" applyFill="1" applyBorder="1" applyAlignment="1" applyProtection="1">
      <alignment horizontal="right"/>
      <protection locked="0"/>
    </xf>
    <xf numFmtId="167" fontId="4" fillId="0" borderId="2" xfId="1" applyNumberFormat="1" applyFont="1" applyFill="1" applyBorder="1" applyAlignment="1" applyProtection="1">
      <alignment horizontal="right"/>
      <protection locked="0"/>
    </xf>
    <xf numFmtId="167" fontId="4" fillId="0" borderId="0" xfId="1" applyNumberFormat="1" applyFont="1" applyFill="1" applyBorder="1" applyAlignment="1" applyProtection="1">
      <alignment horizontal="right"/>
      <protection locked="0"/>
    </xf>
    <xf numFmtId="167" fontId="4" fillId="0" borderId="4" xfId="0" applyNumberFormat="1" applyFont="1" applyBorder="1" applyAlignment="1" applyProtection="1">
      <alignment horizontal="right"/>
      <protection locked="0"/>
    </xf>
    <xf numFmtId="167" fontId="78" fillId="0" borderId="0" xfId="1" applyNumberFormat="1" applyFont="1" applyAlignment="1" applyProtection="1">
      <protection locked="0"/>
    </xf>
    <xf numFmtId="167" fontId="4" fillId="0" borderId="2" xfId="1" applyNumberFormat="1" applyFont="1" applyBorder="1" applyAlignment="1" applyProtection="1">
      <alignment horizontal="right"/>
      <protection locked="0"/>
    </xf>
    <xf numFmtId="167" fontId="4" fillId="0" borderId="4" xfId="1" applyNumberFormat="1" applyFont="1" applyBorder="1" applyAlignment="1" applyProtection="1">
      <alignment horizontal="right"/>
      <protection locked="0"/>
    </xf>
    <xf numFmtId="167" fontId="1" fillId="0" borderId="0" xfId="0" applyNumberFormat="1" applyFont="1" applyProtection="1">
      <protection locked="0"/>
    </xf>
    <xf numFmtId="167" fontId="25" fillId="0" borderId="0" xfId="0" applyNumberFormat="1" applyFont="1" applyProtection="1">
      <protection locked="0"/>
    </xf>
    <xf numFmtId="167" fontId="4" fillId="0" borderId="0" xfId="1" applyNumberFormat="1" applyFont="1" applyBorder="1" applyAlignment="1" applyProtection="1">
      <alignment horizontal="right"/>
      <protection locked="0"/>
    </xf>
    <xf numFmtId="167" fontId="25" fillId="0" borderId="0" xfId="1" applyNumberFormat="1" applyFont="1" applyAlignment="1" applyProtection="1">
      <protection locked="0"/>
    </xf>
    <xf numFmtId="167" fontId="4" fillId="0" borderId="0" xfId="1" applyNumberFormat="1" applyFont="1" applyAlignment="1" applyProtection="1">
      <protection locked="0"/>
    </xf>
    <xf numFmtId="167" fontId="3" fillId="0" borderId="0" xfId="1" applyNumberFormat="1" applyFont="1" applyAlignment="1" applyProtection="1"/>
    <xf numFmtId="167" fontId="3" fillId="0" borderId="0" xfId="1" applyNumberFormat="1" applyFont="1" applyFill="1" applyAlignment="1" applyProtection="1">
      <alignment horizontal="right"/>
    </xf>
    <xf numFmtId="167" fontId="3" fillId="0" borderId="3" xfId="1" applyNumberFormat="1" applyFont="1" applyBorder="1" applyAlignment="1" applyProtection="1"/>
    <xf numFmtId="167" fontId="3" fillId="0" borderId="3" xfId="1" applyNumberFormat="1" applyFont="1" applyBorder="1" applyAlignment="1" applyProtection="1">
      <alignment horizontal="right"/>
    </xf>
    <xf numFmtId="167" fontId="3" fillId="0" borderId="3" xfId="1" applyNumberFormat="1" applyFont="1" applyFill="1" applyBorder="1" applyAlignment="1" applyProtection="1">
      <alignment horizontal="right"/>
    </xf>
    <xf numFmtId="167" fontId="3" fillId="0" borderId="0" xfId="1" applyNumberFormat="1" applyFont="1" applyAlignment="1" applyProtection="1">
      <alignment horizontal="right"/>
    </xf>
    <xf numFmtId="167" fontId="3" fillId="0" borderId="2" xfId="1" applyNumberFormat="1" applyFont="1" applyBorder="1" applyAlignment="1" applyProtection="1">
      <alignment horizontal="right"/>
    </xf>
    <xf numFmtId="167" fontId="3" fillId="0" borderId="3" xfId="1" applyNumberFormat="1" applyFont="1" applyFill="1" applyBorder="1" applyAlignment="1" applyProtection="1">
      <alignment horizontal="right" wrapText="1"/>
    </xf>
    <xf numFmtId="167" fontId="3" fillId="0" borderId="2" xfId="1" applyNumberFormat="1" applyFont="1" applyFill="1" applyBorder="1" applyAlignment="1" applyProtection="1">
      <alignment horizontal="right"/>
    </xf>
    <xf numFmtId="167" fontId="3" fillId="0" borderId="2" xfId="1" applyNumberFormat="1" applyFont="1" applyBorder="1" applyAlignment="1" applyProtection="1"/>
    <xf numFmtId="167" fontId="3" fillId="0" borderId="1" xfId="1" applyNumberFormat="1" applyFont="1" applyFill="1" applyBorder="1" applyAlignment="1" applyProtection="1">
      <alignment horizontal="right" wrapText="1"/>
    </xf>
    <xf numFmtId="167" fontId="3" fillId="0" borderId="4" xfId="1" applyNumberFormat="1" applyFont="1" applyBorder="1" applyAlignment="1" applyProtection="1"/>
    <xf numFmtId="167" fontId="3" fillId="0" borderId="4" xfId="1" applyNumberFormat="1" applyFont="1" applyBorder="1" applyAlignment="1" applyProtection="1">
      <alignment horizontal="right"/>
    </xf>
    <xf numFmtId="3" fontId="3" fillId="0" borderId="0" xfId="1" applyNumberFormat="1" applyFont="1" applyAlignment="1" applyProtection="1"/>
    <xf numFmtId="167" fontId="3" fillId="0" borderId="2" xfId="1" applyNumberFormat="1" applyFont="1" applyBorder="1" applyAlignment="1" applyProtection="1">
      <alignment horizontal="right" wrapText="1"/>
    </xf>
    <xf numFmtId="167" fontId="3" fillId="0" borderId="4" xfId="1" applyNumberFormat="1" applyFont="1" applyBorder="1" applyAlignment="1" applyProtection="1">
      <alignment horizontal="right" wrapText="1"/>
    </xf>
    <xf numFmtId="167" fontId="78" fillId="0" borderId="0" xfId="1" applyNumberFormat="1" applyFont="1" applyAlignment="1" applyProtection="1">
      <alignment horizontal="right"/>
    </xf>
    <xf numFmtId="37" fontId="78" fillId="0" borderId="0" xfId="1" applyNumberFormat="1" applyFont="1" applyAlignment="1" applyProtection="1">
      <alignment horizontal="right"/>
    </xf>
    <xf numFmtId="167" fontId="90" fillId="7" borderId="0" xfId="1" applyNumberFormat="1" applyFont="1" applyFill="1" applyAlignment="1" applyProtection="1">
      <alignment horizontal="right"/>
    </xf>
    <xf numFmtId="37" fontId="90" fillId="7" borderId="0" xfId="1" applyNumberFormat="1" applyFont="1" applyFill="1" applyAlignment="1" applyProtection="1">
      <alignment horizontal="right"/>
    </xf>
    <xf numFmtId="167" fontId="4" fillId="0" borderId="5" xfId="1" applyNumberFormat="1" applyFont="1" applyBorder="1" applyAlignment="1" applyProtection="1">
      <alignment horizontal="right" vertical="top"/>
    </xf>
    <xf numFmtId="167" fontId="4" fillId="0" borderId="6" xfId="1" applyNumberFormat="1" applyFont="1" applyBorder="1" applyAlignment="1" applyProtection="1">
      <alignment horizontal="right" vertical="top"/>
    </xf>
    <xf numFmtId="3" fontId="3" fillId="0" borderId="0" xfId="1" applyNumberFormat="1" applyFont="1" applyAlignment="1" applyProtection="1">
      <alignment horizontal="right"/>
    </xf>
    <xf numFmtId="167" fontId="78" fillId="0" borderId="0" xfId="1" applyNumberFormat="1" applyFont="1" applyAlignment="1" applyProtection="1"/>
    <xf numFmtId="167" fontId="3" fillId="0" borderId="0" xfId="1" applyNumberFormat="1" applyFont="1" applyBorder="1" applyAlignment="1" applyProtection="1"/>
    <xf numFmtId="167" fontId="3" fillId="0" borderId="4" xfId="1" applyNumberFormat="1" applyFont="1" applyFill="1" applyBorder="1" applyAlignment="1" applyProtection="1">
      <alignment horizontal="right"/>
    </xf>
    <xf numFmtId="167" fontId="3" fillId="0" borderId="4" xfId="1" applyNumberFormat="1" applyFont="1" applyFill="1" applyBorder="1" applyAlignment="1" applyProtection="1"/>
    <xf numFmtId="0" fontId="3" fillId="0" borderId="0" xfId="0" applyFont="1" applyAlignment="1" applyProtection="1">
      <alignment horizontal="center" wrapText="1"/>
      <protection locked="0"/>
    </xf>
    <xf numFmtId="0" fontId="85" fillId="0" borderId="0" xfId="0" applyFont="1" applyAlignment="1" applyProtection="1">
      <alignment horizontal="right" wrapText="1"/>
      <protection locked="0"/>
    </xf>
    <xf numFmtId="167" fontId="4" fillId="0" borderId="0" xfId="0" applyNumberFormat="1" applyFont="1" applyAlignment="1" applyProtection="1">
      <alignment horizontal="center" vertical="top"/>
      <protection locked="0"/>
    </xf>
    <xf numFmtId="167" fontId="3" fillId="0" borderId="0" xfId="0" applyNumberFormat="1" applyFont="1" applyAlignment="1" applyProtection="1">
      <alignment horizontal="center"/>
      <protection locked="0"/>
    </xf>
    <xf numFmtId="167" fontId="4" fillId="0" borderId="6" xfId="0" applyNumberFormat="1" applyFont="1" applyBorder="1" applyAlignment="1" applyProtection="1">
      <alignment horizontal="right"/>
      <protection locked="0"/>
    </xf>
    <xf numFmtId="167" fontId="4" fillId="0" borderId="2" xfId="0" applyNumberFormat="1" applyFont="1" applyBorder="1" applyAlignment="1" applyProtection="1">
      <alignment horizontal="right"/>
      <protection locked="0"/>
    </xf>
    <xf numFmtId="164" fontId="4" fillId="0" borderId="0" xfId="0" applyNumberFormat="1" applyFont="1" applyAlignment="1" applyProtection="1">
      <alignment horizontal="right" wrapText="1"/>
      <protection locked="0"/>
    </xf>
    <xf numFmtId="164" fontId="4" fillId="0" borderId="0" xfId="1" applyFont="1" applyFill="1" applyBorder="1" applyAlignment="1" applyProtection="1">
      <alignment horizontal="right" wrapText="1"/>
      <protection locked="0"/>
    </xf>
    <xf numFmtId="167" fontId="82" fillId="0" borderId="0" xfId="1" applyNumberFormat="1" applyFont="1" applyAlignment="1" applyProtection="1">
      <alignment horizontal="right"/>
    </xf>
    <xf numFmtId="167" fontId="82" fillId="0" borderId="0" xfId="1" applyNumberFormat="1" applyFont="1" applyFill="1" applyAlignment="1" applyProtection="1">
      <alignment horizontal="right"/>
    </xf>
    <xf numFmtId="167" fontId="82" fillId="0" borderId="0" xfId="1" applyNumberFormat="1" applyFont="1" applyAlignment="1" applyProtection="1">
      <alignment horizontal="right" wrapText="1"/>
    </xf>
    <xf numFmtId="167" fontId="4" fillId="0" borderId="0" xfId="1" applyNumberFormat="1" applyFont="1" applyFill="1" applyAlignment="1" applyProtection="1">
      <alignment horizontal="right"/>
    </xf>
    <xf numFmtId="37" fontId="3" fillId="2" borderId="1" xfId="0" applyNumberFormat="1" applyFont="1" applyFill="1" applyBorder="1" applyAlignment="1">
      <alignment horizontal="right" wrapText="1"/>
    </xf>
    <xf numFmtId="37" fontId="8" fillId="2" borderId="0" xfId="0" applyNumberFormat="1" applyFont="1" applyFill="1" applyAlignment="1">
      <alignment horizontal="right" wrapText="1"/>
    </xf>
    <xf numFmtId="37" fontId="8" fillId="2" borderId="0" xfId="0" applyNumberFormat="1" applyFont="1" applyFill="1" applyAlignment="1">
      <alignment horizontal="center"/>
    </xf>
    <xf numFmtId="37" fontId="3" fillId="0" borderId="0" xfId="0" applyNumberFormat="1" applyFont="1" applyAlignment="1">
      <alignment horizontal="left"/>
    </xf>
    <xf numFmtId="37" fontId="3" fillId="0" borderId="0" xfId="0" applyNumberFormat="1" applyFont="1"/>
    <xf numFmtId="37" fontId="37" fillId="0" borderId="0" xfId="4" applyNumberFormat="1" applyFont="1" applyFill="1" applyBorder="1" applyAlignment="1" applyProtection="1">
      <alignment wrapText="1"/>
    </xf>
    <xf numFmtId="37" fontId="3" fillId="6" borderId="0" xfId="0" applyNumberFormat="1" applyFont="1" applyFill="1" applyAlignment="1">
      <alignment horizontal="right" wrapText="1"/>
    </xf>
    <xf numFmtId="37" fontId="35" fillId="0" borderId="0" xfId="0" applyNumberFormat="1" applyFont="1" applyAlignment="1">
      <alignment horizontal="left"/>
    </xf>
    <xf numFmtId="37" fontId="10" fillId="0" borderId="0" xfId="0" applyNumberFormat="1" applyFont="1"/>
    <xf numFmtId="37" fontId="82" fillId="0" borderId="0" xfId="0" applyNumberFormat="1" applyFont="1" applyAlignment="1">
      <alignment horizontal="right" wrapText="1"/>
    </xf>
    <xf numFmtId="37" fontId="78" fillId="0" borderId="0" xfId="0" applyNumberFormat="1" applyFont="1" applyAlignment="1">
      <alignment horizontal="right" wrapText="1"/>
    </xf>
    <xf numFmtId="37" fontId="4" fillId="0" borderId="0" xfId="0" applyNumberFormat="1" applyFont="1" applyAlignment="1">
      <alignment horizontal="left"/>
    </xf>
    <xf numFmtId="37" fontId="4" fillId="0" borderId="0" xfId="0" applyNumberFormat="1" applyFont="1" applyAlignment="1">
      <alignment horizontal="right" wrapText="1"/>
    </xf>
    <xf numFmtId="167" fontId="3" fillId="0" borderId="0" xfId="0" applyNumberFormat="1" applyFont="1" applyAlignment="1">
      <alignment horizontal="right" wrapText="1"/>
    </xf>
    <xf numFmtId="37" fontId="3" fillId="0" borderId="0" xfId="0" applyNumberFormat="1" applyFont="1" applyAlignment="1">
      <alignment horizontal="left" wrapText="1"/>
    </xf>
    <xf numFmtId="167" fontId="3" fillId="0" borderId="7" xfId="0" applyNumberFormat="1" applyFont="1" applyBorder="1" applyAlignment="1">
      <alignment horizontal="right" wrapText="1"/>
    </xf>
    <xf numFmtId="167" fontId="3" fillId="0" borderId="17" xfId="0" applyNumberFormat="1" applyFont="1" applyBorder="1" applyAlignment="1">
      <alignment horizontal="right" wrapText="1"/>
    </xf>
    <xf numFmtId="167" fontId="3" fillId="0" borderId="18" xfId="0" applyNumberFormat="1" applyFont="1" applyBorder="1" applyAlignment="1">
      <alignment horizontal="right" wrapText="1"/>
    </xf>
    <xf numFmtId="167" fontId="82" fillId="0" borderId="0" xfId="0" applyNumberFormat="1" applyFont="1" applyAlignment="1">
      <alignment horizontal="right" wrapText="1"/>
    </xf>
    <xf numFmtId="37" fontId="3" fillId="0" borderId="0" xfId="0" applyNumberFormat="1" applyFont="1" applyAlignment="1">
      <alignment wrapText="1"/>
    </xf>
    <xf numFmtId="167" fontId="3" fillId="0" borderId="10" xfId="0" applyNumberFormat="1" applyFont="1" applyBorder="1" applyAlignment="1">
      <alignment horizontal="right" wrapText="1"/>
    </xf>
    <xf numFmtId="167" fontId="3" fillId="0" borderId="14" xfId="0" applyNumberFormat="1" applyFont="1" applyBorder="1" applyAlignment="1">
      <alignment horizontal="right" wrapText="1"/>
    </xf>
    <xf numFmtId="37" fontId="4" fillId="0" borderId="0" xfId="0" applyNumberFormat="1" applyFont="1" applyAlignment="1">
      <alignment horizontal="left" wrapText="1"/>
    </xf>
    <xf numFmtId="37" fontId="4" fillId="0" borderId="0" xfId="0" applyNumberFormat="1" applyFont="1" applyAlignment="1">
      <alignment wrapText="1"/>
    </xf>
    <xf numFmtId="0" fontId="17" fillId="0" borderId="0" xfId="0" applyFont="1"/>
    <xf numFmtId="167" fontId="82" fillId="0" borderId="12" xfId="1" applyNumberFormat="1" applyFont="1" applyFill="1" applyBorder="1" applyAlignment="1" applyProtection="1">
      <alignment horizontal="right" wrapText="1"/>
    </xf>
    <xf numFmtId="167" fontId="82" fillId="0" borderId="13" xfId="1" applyNumberFormat="1" applyFont="1" applyFill="1" applyBorder="1" applyAlignment="1" applyProtection="1">
      <alignment horizontal="right" wrapText="1"/>
    </xf>
    <xf numFmtId="37" fontId="78" fillId="0" borderId="0" xfId="0" applyNumberFormat="1" applyFont="1" applyAlignment="1">
      <alignment horizontal="right"/>
    </xf>
    <xf numFmtId="9" fontId="3" fillId="0" borderId="0" xfId="6" applyFont="1" applyAlignment="1" applyProtection="1">
      <alignment horizontal="left" wrapText="1"/>
    </xf>
    <xf numFmtId="37" fontId="17" fillId="0" borderId="0" xfId="0" applyNumberFormat="1" applyFont="1" applyAlignment="1">
      <alignment horizontal="left" wrapText="1"/>
    </xf>
    <xf numFmtId="37" fontId="17" fillId="0" borderId="0" xfId="0" applyNumberFormat="1" applyFont="1" applyAlignment="1">
      <alignment horizontal="right" wrapText="1"/>
    </xf>
    <xf numFmtId="37" fontId="78" fillId="0" borderId="0" xfId="0" applyNumberFormat="1" applyFont="1" applyAlignment="1">
      <alignment horizontal="left"/>
    </xf>
    <xf numFmtId="0" fontId="10" fillId="0" borderId="0" xfId="0" applyFont="1"/>
    <xf numFmtId="39" fontId="37" fillId="0" borderId="0" xfId="4" applyNumberFormat="1" applyFont="1" applyFill="1" applyBorder="1" applyAlignment="1" applyProtection="1">
      <alignment wrapText="1"/>
    </xf>
    <xf numFmtId="39" fontId="3" fillId="0" borderId="0" xfId="0" applyNumberFormat="1" applyFont="1" applyAlignment="1">
      <alignment horizontal="right" wrapText="1"/>
    </xf>
    <xf numFmtId="165" fontId="3" fillId="0" borderId="0" xfId="0" applyNumberFormat="1" applyFont="1" applyAlignment="1">
      <alignment wrapText="1"/>
    </xf>
    <xf numFmtId="166" fontId="82" fillId="0" borderId="0" xfId="1" applyNumberFormat="1" applyFont="1" applyFill="1" applyAlignment="1" applyProtection="1">
      <alignment horizontal="right" wrapText="1"/>
    </xf>
    <xf numFmtId="0" fontId="3" fillId="0" borderId="0" xfId="0" applyFont="1" applyAlignment="1">
      <alignment horizontal="left"/>
    </xf>
    <xf numFmtId="39" fontId="3" fillId="0" borderId="0" xfId="0" applyNumberFormat="1" applyFont="1" applyAlignment="1">
      <alignment horizontal="left"/>
    </xf>
    <xf numFmtId="37" fontId="1" fillId="0" borderId="0" xfId="0" applyNumberFormat="1" applyFont="1" applyAlignment="1">
      <alignment horizontal="left"/>
    </xf>
    <xf numFmtId="37" fontId="1" fillId="0" borderId="0" xfId="0" applyNumberFormat="1" applyFont="1"/>
    <xf numFmtId="37" fontId="1" fillId="0" borderId="0" xfId="0" applyNumberFormat="1" applyFont="1" applyAlignment="1">
      <alignment horizontal="right" wrapText="1"/>
    </xf>
    <xf numFmtId="37" fontId="91" fillId="0" borderId="0" xfId="0" applyNumberFormat="1" applyFont="1" applyAlignment="1">
      <alignment horizontal="right" wrapText="1"/>
    </xf>
    <xf numFmtId="0" fontId="1" fillId="0" borderId="0" xfId="0" applyFont="1" applyAlignment="1">
      <alignment horizontal="left"/>
    </xf>
    <xf numFmtId="37" fontId="0" fillId="0" borderId="0" xfId="0" applyNumberFormat="1" applyAlignment="1">
      <alignment horizontal="left"/>
    </xf>
    <xf numFmtId="37" fontId="35" fillId="0" borderId="0" xfId="0" applyNumberFormat="1" applyFont="1" applyAlignment="1">
      <alignment horizontal="right" wrapText="1"/>
    </xf>
    <xf numFmtId="37" fontId="9" fillId="2" borderId="1" xfId="0" applyNumberFormat="1" applyFont="1" applyFill="1" applyBorder="1" applyAlignment="1">
      <alignment horizontal="right" wrapText="1"/>
    </xf>
    <xf numFmtId="37" fontId="8" fillId="2" borderId="2" xfId="0" applyNumberFormat="1" applyFont="1" applyFill="1" applyBorder="1" applyAlignment="1">
      <alignment horizontal="right" wrapText="1"/>
    </xf>
    <xf numFmtId="37" fontId="3" fillId="0" borderId="0" xfId="0" quotePrefix="1" applyNumberFormat="1" applyFont="1" applyAlignment="1">
      <alignment horizontal="left"/>
    </xf>
    <xf numFmtId="37" fontId="10" fillId="0" borderId="0" xfId="0" applyNumberFormat="1" applyFont="1" applyAlignment="1">
      <alignment horizontal="left"/>
    </xf>
    <xf numFmtId="39" fontId="82" fillId="0" borderId="0" xfId="0" applyNumberFormat="1" applyFont="1" applyAlignment="1">
      <alignment horizontal="right" wrapText="1"/>
    </xf>
    <xf numFmtId="39" fontId="78" fillId="0" borderId="0" xfId="0" applyNumberFormat="1" applyFont="1" applyAlignment="1">
      <alignment horizontal="right" wrapText="1"/>
    </xf>
    <xf numFmtId="0" fontId="13" fillId="0" borderId="0" xfId="0" applyFont="1"/>
    <xf numFmtId="0" fontId="92" fillId="0" borderId="0" xfId="0" applyFont="1"/>
    <xf numFmtId="167" fontId="78" fillId="0" borderId="0" xfId="0" applyNumberFormat="1" applyFont="1" applyAlignment="1">
      <alignment horizontal="right" wrapText="1"/>
    </xf>
    <xf numFmtId="0" fontId="78" fillId="0" borderId="0" xfId="0" applyFont="1" applyAlignment="1">
      <alignment horizontal="left"/>
    </xf>
    <xf numFmtId="37" fontId="4" fillId="0" borderId="0" xfId="0" applyNumberFormat="1" applyFont="1"/>
    <xf numFmtId="37" fontId="78" fillId="0" borderId="0" xfId="0" applyNumberFormat="1" applyFont="1"/>
    <xf numFmtId="37" fontId="13" fillId="0" borderId="0" xfId="0" applyNumberFormat="1" applyFont="1" applyAlignment="1">
      <alignment horizontal="left"/>
    </xf>
    <xf numFmtId="37" fontId="82" fillId="2" borderId="1" xfId="0" applyNumberFormat="1" applyFont="1" applyFill="1" applyBorder="1" applyAlignment="1">
      <alignment horizontal="right"/>
    </xf>
    <xf numFmtId="37" fontId="8" fillId="2" borderId="2" xfId="0" applyNumberFormat="1" applyFont="1" applyFill="1" applyBorder="1" applyAlignment="1">
      <alignment horizontal="right"/>
    </xf>
    <xf numFmtId="0" fontId="4" fillId="0" borderId="0" xfId="0" applyFont="1" applyAlignment="1">
      <alignment horizontal="left"/>
    </xf>
    <xf numFmtId="37" fontId="77" fillId="0" borderId="0" xfId="0" applyNumberFormat="1" applyFont="1" applyAlignment="1">
      <alignment horizontal="right"/>
    </xf>
    <xf numFmtId="37" fontId="4" fillId="0" borderId="0" xfId="0" applyNumberFormat="1" applyFont="1" applyAlignment="1">
      <alignment horizontal="right"/>
    </xf>
    <xf numFmtId="37" fontId="3" fillId="0" borderId="0" xfId="0" applyNumberFormat="1" applyFont="1" applyAlignment="1">
      <alignment horizontal="right"/>
    </xf>
    <xf numFmtId="39" fontId="10" fillId="0" borderId="0" xfId="0" applyNumberFormat="1" applyFont="1"/>
    <xf numFmtId="39" fontId="4" fillId="0" borderId="0" xfId="0" applyNumberFormat="1" applyFont="1"/>
    <xf numFmtId="39" fontId="4" fillId="0" borderId="0" xfId="0" applyNumberFormat="1" applyFont="1" applyAlignment="1">
      <alignment horizontal="right"/>
    </xf>
    <xf numFmtId="164" fontId="3" fillId="0" borderId="0" xfId="0" applyNumberFormat="1" applyFont="1" applyAlignment="1">
      <alignment horizontal="right" wrapText="1"/>
    </xf>
    <xf numFmtId="39" fontId="3" fillId="0" borderId="0" xfId="0" applyNumberFormat="1" applyFont="1" applyAlignment="1">
      <alignment horizontal="right"/>
    </xf>
    <xf numFmtId="37" fontId="85" fillId="0" borderId="0" xfId="0" applyNumberFormat="1" applyFont="1"/>
    <xf numFmtId="37" fontId="3" fillId="0" borderId="7" xfId="0" applyNumberFormat="1" applyFont="1" applyBorder="1" applyAlignment="1">
      <alignment horizontal="right"/>
    </xf>
    <xf numFmtId="37" fontId="82" fillId="0" borderId="0" xfId="0" applyNumberFormat="1" applyFont="1"/>
    <xf numFmtId="37" fontId="3" fillId="0" borderId="10" xfId="0" applyNumberFormat="1" applyFont="1" applyBorder="1" applyAlignment="1">
      <alignment horizontal="right"/>
    </xf>
    <xf numFmtId="37" fontId="82" fillId="0" borderId="0" xfId="0" applyNumberFormat="1" applyFont="1" applyAlignment="1">
      <alignment horizontal="right"/>
    </xf>
    <xf numFmtId="0" fontId="3" fillId="0" borderId="0" xfId="0" applyFont="1" applyAlignment="1">
      <alignment wrapText="1"/>
    </xf>
    <xf numFmtId="39" fontId="85" fillId="0" borderId="0" xfId="0" applyNumberFormat="1" applyFont="1"/>
    <xf numFmtId="39" fontId="82" fillId="0" borderId="0" xfId="0" applyNumberFormat="1" applyFont="1" applyAlignment="1">
      <alignment horizontal="right"/>
    </xf>
    <xf numFmtId="39" fontId="3" fillId="0" borderId="0" xfId="0" applyNumberFormat="1" applyFont="1"/>
    <xf numFmtId="39" fontId="3" fillId="0" borderId="7" xfId="0" applyNumberFormat="1" applyFont="1" applyBorder="1" applyAlignment="1">
      <alignment horizontal="right"/>
    </xf>
    <xf numFmtId="39" fontId="82" fillId="0" borderId="0" xfId="0" applyNumberFormat="1" applyFont="1"/>
    <xf numFmtId="39" fontId="3" fillId="0" borderId="10" xfId="0" applyNumberFormat="1" applyFont="1" applyBorder="1" applyAlignment="1">
      <alignment horizontal="right"/>
    </xf>
    <xf numFmtId="37" fontId="85" fillId="0" borderId="0" xfId="0" applyNumberFormat="1" applyFont="1" applyAlignment="1">
      <alignment horizontal="left"/>
    </xf>
    <xf numFmtId="167" fontId="4" fillId="0" borderId="0" xfId="0" applyNumberFormat="1" applyFont="1" applyAlignment="1">
      <alignment horizontal="right" wrapText="1"/>
    </xf>
    <xf numFmtId="9" fontId="4" fillId="0" borderId="0" xfId="6" applyFont="1" applyAlignment="1" applyProtection="1">
      <alignment horizontal="left"/>
    </xf>
    <xf numFmtId="9" fontId="4" fillId="0" borderId="0" xfId="6" applyFont="1" applyFill="1" applyBorder="1" applyAlignment="1" applyProtection="1">
      <alignment horizontal="left"/>
    </xf>
    <xf numFmtId="164" fontId="4" fillId="0" borderId="0" xfId="1" applyFont="1" applyFill="1" applyBorder="1" applyAlignment="1" applyProtection="1">
      <alignment horizontal="left"/>
    </xf>
    <xf numFmtId="164" fontId="4" fillId="0" borderId="0" xfId="1" applyFont="1" applyAlignment="1" applyProtection="1">
      <alignment horizontal="left"/>
    </xf>
    <xf numFmtId="37" fontId="82" fillId="0" borderId="0" xfId="0" applyNumberFormat="1" applyFont="1" applyAlignment="1">
      <alignment horizontal="left"/>
    </xf>
    <xf numFmtId="37" fontId="83" fillId="0" borderId="0" xfId="0" applyNumberFormat="1" applyFont="1" applyAlignment="1">
      <alignment horizontal="right" wrapText="1"/>
    </xf>
    <xf numFmtId="167" fontId="80" fillId="0" borderId="0" xfId="0" applyNumberFormat="1" applyFont="1" applyAlignment="1">
      <alignment horizontal="right" wrapText="1"/>
    </xf>
    <xf numFmtId="37" fontId="80" fillId="0" borderId="0" xfId="0" applyNumberFormat="1" applyFont="1" applyAlignment="1">
      <alignment horizontal="right" wrapText="1"/>
    </xf>
    <xf numFmtId="37" fontId="5" fillId="0" borderId="0" xfId="0" applyNumberFormat="1" applyFont="1" applyAlignment="1">
      <alignment horizontal="left"/>
    </xf>
    <xf numFmtId="37" fontId="93" fillId="0" borderId="0" xfId="0" applyNumberFormat="1" applyFont="1" applyAlignment="1">
      <alignment horizontal="left"/>
    </xf>
    <xf numFmtId="37" fontId="94" fillId="0" borderId="0" xfId="0" applyNumberFormat="1" applyFont="1"/>
    <xf numFmtId="37" fontId="80" fillId="0" borderId="0" xfId="0" applyNumberFormat="1" applyFont="1" applyAlignment="1">
      <alignment wrapText="1"/>
    </xf>
    <xf numFmtId="37" fontId="80" fillId="0" borderId="0" xfId="0" applyNumberFormat="1" applyFont="1"/>
    <xf numFmtId="37" fontId="17" fillId="0" borderId="0" xfId="0" applyNumberFormat="1" applyFont="1" applyAlignment="1">
      <alignment horizontal="left"/>
    </xf>
    <xf numFmtId="167" fontId="95" fillId="0" borderId="0" xfId="1" applyNumberFormat="1" applyFont="1" applyFill="1" applyBorder="1" applyAlignment="1" applyProtection="1">
      <alignment horizontal="right" wrapText="1"/>
    </xf>
    <xf numFmtId="167" fontId="95" fillId="0" borderId="0" xfId="1" applyNumberFormat="1" applyFont="1" applyFill="1" applyAlignment="1" applyProtection="1">
      <alignment horizontal="right" wrapText="1"/>
    </xf>
    <xf numFmtId="164" fontId="17" fillId="0" borderId="0" xfId="1" applyFont="1" applyAlignment="1" applyProtection="1">
      <alignment horizontal="right" wrapText="1"/>
    </xf>
    <xf numFmtId="167" fontId="96" fillId="0" borderId="0" xfId="1" applyNumberFormat="1" applyFont="1" applyFill="1" applyBorder="1" applyAlignment="1" applyProtection="1">
      <alignment horizontal="left"/>
    </xf>
    <xf numFmtId="37" fontId="96" fillId="0" borderId="0" xfId="0" applyNumberFormat="1" applyFont="1" applyAlignment="1">
      <alignment horizontal="right" wrapText="1"/>
    </xf>
    <xf numFmtId="167" fontId="96" fillId="0" borderId="0" xfId="1" applyNumberFormat="1" applyFont="1" applyFill="1" applyAlignment="1" applyProtection="1">
      <alignment horizontal="left"/>
    </xf>
    <xf numFmtId="0" fontId="5" fillId="0" borderId="0" xfId="0" applyFont="1" applyAlignment="1">
      <alignment horizontal="left"/>
    </xf>
    <xf numFmtId="37" fontId="39" fillId="2" borderId="1" xfId="0" applyNumberFormat="1" applyFont="1" applyFill="1" applyBorder="1" applyAlignment="1">
      <alignment horizontal="left"/>
    </xf>
    <xf numFmtId="37" fontId="40" fillId="2" borderId="2" xfId="0" applyNumberFormat="1" applyFont="1" applyFill="1" applyBorder="1" applyAlignment="1">
      <alignment horizontal="center"/>
    </xf>
    <xf numFmtId="37" fontId="41" fillId="0" borderId="0" xfId="0" applyNumberFormat="1" applyFont="1"/>
    <xf numFmtId="37" fontId="85" fillId="0" borderId="0" xfId="0" applyNumberFormat="1" applyFont="1" applyAlignment="1">
      <alignment horizontal="right" wrapText="1"/>
    </xf>
    <xf numFmtId="167" fontId="4" fillId="0" borderId="0" xfId="1" applyNumberFormat="1" applyFont="1" applyAlignment="1" applyProtection="1">
      <alignment horizontal="left"/>
    </xf>
    <xf numFmtId="37" fontId="41" fillId="0" borderId="0" xfId="0" applyNumberFormat="1" applyFont="1" applyAlignment="1">
      <alignment horizontal="left"/>
    </xf>
    <xf numFmtId="167" fontId="13" fillId="0" borderId="0" xfId="1" applyNumberFormat="1" applyFont="1" applyAlignment="1" applyProtection="1">
      <alignment horizontal="left"/>
    </xf>
    <xf numFmtId="37" fontId="42" fillId="0" borderId="0" xfId="0" applyNumberFormat="1" applyFont="1" applyAlignment="1">
      <alignment horizontal="left"/>
    </xf>
    <xf numFmtId="37" fontId="3" fillId="0" borderId="0" xfId="0" applyNumberFormat="1" applyFont="1" applyAlignment="1">
      <alignment horizontal="left" vertical="top" wrapText="1" indent="1"/>
    </xf>
    <xf numFmtId="37" fontId="43" fillId="0" borderId="0" xfId="0" applyNumberFormat="1" applyFont="1" applyAlignment="1">
      <alignment horizontal="left"/>
    </xf>
    <xf numFmtId="37" fontId="6" fillId="0" borderId="0" xfId="0" applyNumberFormat="1" applyFont="1" applyAlignment="1">
      <alignment horizontal="left"/>
    </xf>
    <xf numFmtId="167" fontId="3" fillId="0" borderId="0" xfId="0" applyNumberFormat="1" applyFont="1" applyAlignment="1">
      <alignment horizontal="left"/>
    </xf>
    <xf numFmtId="37" fontId="3" fillId="0" borderId="0" xfId="0" applyNumberFormat="1" applyFont="1" applyAlignment="1">
      <alignment vertical="top" wrapText="1"/>
    </xf>
    <xf numFmtId="0" fontId="78" fillId="0" borderId="0" xfId="0" applyFont="1" applyAlignment="1">
      <alignment horizontal="right" wrapText="1"/>
    </xf>
    <xf numFmtId="0" fontId="82" fillId="0" borderId="0" xfId="0" applyFont="1" applyAlignment="1">
      <alignment horizontal="right" wrapText="1"/>
    </xf>
    <xf numFmtId="167" fontId="78" fillId="0" borderId="0" xfId="1" applyNumberFormat="1" applyFont="1" applyAlignment="1" applyProtection="1">
      <alignment horizontal="left"/>
    </xf>
    <xf numFmtId="167" fontId="82" fillId="0" borderId="0" xfId="1" applyNumberFormat="1" applyFont="1" applyFill="1" applyAlignment="1" applyProtection="1">
      <alignment horizontal="right" wrapText="1"/>
    </xf>
    <xf numFmtId="37" fontId="1" fillId="0" borderId="0" xfId="0" applyNumberFormat="1" applyFont="1" applyAlignment="1">
      <alignment horizontal="left" vertical="top"/>
    </xf>
    <xf numFmtId="0" fontId="43" fillId="0" borderId="0" xfId="0" applyFont="1" applyAlignment="1">
      <alignment horizontal="left"/>
    </xf>
    <xf numFmtId="37" fontId="43" fillId="0" borderId="0" xfId="0" applyNumberFormat="1" applyFont="1" applyAlignment="1">
      <alignment horizontal="right" wrapText="1"/>
    </xf>
    <xf numFmtId="37" fontId="9" fillId="2" borderId="1" xfId="0" applyNumberFormat="1" applyFont="1" applyFill="1" applyBorder="1" applyAlignment="1">
      <alignment horizontal="left" wrapText="1"/>
    </xf>
    <xf numFmtId="170" fontId="97" fillId="2" borderId="0" xfId="0" applyNumberFormat="1" applyFont="1" applyFill="1" applyAlignment="1">
      <alignment horizontal="right" wrapText="1"/>
    </xf>
    <xf numFmtId="170" fontId="97" fillId="2" borderId="0" xfId="5" applyNumberFormat="1" applyFont="1" applyFill="1" applyAlignment="1">
      <alignment horizontal="right" wrapText="1"/>
    </xf>
    <xf numFmtId="37" fontId="77" fillId="0" borderId="0" xfId="5" applyNumberFormat="1" applyFont="1" applyAlignment="1">
      <alignment horizontal="right" wrapText="1"/>
    </xf>
    <xf numFmtId="37" fontId="4" fillId="0" borderId="0" xfId="5" applyNumberFormat="1" applyFont="1" applyAlignment="1">
      <alignment horizontal="right" wrapText="1"/>
    </xf>
    <xf numFmtId="37" fontId="13" fillId="0" borderId="0" xfId="0" applyNumberFormat="1" applyFont="1"/>
    <xf numFmtId="37" fontId="3" fillId="0" borderId="0" xfId="5" applyNumberFormat="1" applyFont="1" applyAlignment="1">
      <alignment horizontal="right" wrapText="1"/>
    </xf>
    <xf numFmtId="165" fontId="13" fillId="0" borderId="0" xfId="0" applyNumberFormat="1" applyFont="1" applyAlignment="1">
      <alignment horizontal="left"/>
    </xf>
    <xf numFmtId="37" fontId="1" fillId="0" borderId="0" xfId="0" applyNumberFormat="1" applyFont="1" applyAlignment="1">
      <alignment vertical="top"/>
    </xf>
    <xf numFmtId="0" fontId="81" fillId="0" borderId="0" xfId="0" applyFont="1" applyAlignment="1">
      <alignment horizontal="left" vertical="top"/>
    </xf>
    <xf numFmtId="37" fontId="81" fillId="0" borderId="0" xfId="0" applyNumberFormat="1" applyFont="1" applyAlignment="1">
      <alignment horizontal="right" vertical="top" wrapText="1"/>
    </xf>
    <xf numFmtId="37" fontId="81" fillId="0" borderId="0" xfId="0" applyNumberFormat="1" applyFont="1" applyAlignment="1">
      <alignment horizontal="right" wrapText="1"/>
    </xf>
    <xf numFmtId="0" fontId="22" fillId="0" borderId="0" xfId="0" applyFont="1" applyAlignment="1">
      <alignment horizontal="left" wrapText="1"/>
    </xf>
    <xf numFmtId="37" fontId="5" fillId="0" borderId="0" xfId="0" applyNumberFormat="1" applyFont="1" applyAlignment="1">
      <alignment horizontal="left" wrapText="1"/>
    </xf>
    <xf numFmtId="37" fontId="5" fillId="0" borderId="0" xfId="0" applyNumberFormat="1" applyFont="1" applyAlignment="1">
      <alignment horizontal="right" wrapText="1"/>
    </xf>
    <xf numFmtId="37" fontId="98" fillId="0" borderId="0" xfId="0" applyNumberFormat="1" applyFont="1" applyAlignment="1">
      <alignment horizontal="right" wrapText="1"/>
    </xf>
    <xf numFmtId="37" fontId="12" fillId="2" borderId="0" xfId="4" applyNumberFormat="1" applyFont="1" applyFill="1" applyBorder="1" applyAlignment="1" applyProtection="1"/>
    <xf numFmtId="37" fontId="12" fillId="2" borderId="2" xfId="4" applyNumberFormat="1" applyFont="1" applyFill="1" applyBorder="1" applyAlignment="1" applyProtection="1"/>
    <xf numFmtId="167" fontId="99" fillId="8" borderId="0" xfId="1" applyNumberFormat="1" applyFont="1" applyFill="1" applyBorder="1" applyAlignment="1" applyProtection="1">
      <alignment horizontal="right" wrapText="1"/>
    </xf>
    <xf numFmtId="167" fontId="9" fillId="2" borderId="1" xfId="1" applyNumberFormat="1" applyFont="1" applyFill="1" applyBorder="1" applyAlignment="1" applyProtection="1">
      <alignment horizontal="right" wrapText="1"/>
    </xf>
    <xf numFmtId="170" fontId="8" fillId="2" borderId="0" xfId="0" applyNumberFormat="1" applyFont="1" applyFill="1" applyAlignment="1">
      <alignment horizontal="right" wrapText="1"/>
    </xf>
    <xf numFmtId="37" fontId="20" fillId="0" borderId="0" xfId="0" applyNumberFormat="1" applyFont="1" applyAlignment="1">
      <alignment horizontal="right" wrapText="1"/>
    </xf>
    <xf numFmtId="9" fontId="3" fillId="0" borderId="0" xfId="6" applyFont="1" applyAlignment="1" applyProtection="1">
      <alignment horizontal="left"/>
    </xf>
    <xf numFmtId="173" fontId="3" fillId="0" borderId="0" xfId="6" applyNumberFormat="1" applyFont="1" applyAlignment="1" applyProtection="1">
      <alignment horizontal="left"/>
    </xf>
    <xf numFmtId="37" fontId="19" fillId="0" borderId="0" xfId="0" applyNumberFormat="1" applyFont="1" applyAlignment="1">
      <alignment horizontal="right" wrapText="1"/>
    </xf>
    <xf numFmtId="0" fontId="1" fillId="0" borderId="0" xfId="0" applyFont="1" applyAlignment="1">
      <alignment vertical="center"/>
    </xf>
    <xf numFmtId="37" fontId="81" fillId="0" borderId="0" xfId="0" applyNumberFormat="1" applyFont="1" applyAlignment="1">
      <alignment vertical="top"/>
    </xf>
    <xf numFmtId="167" fontId="5" fillId="0" borderId="0" xfId="1" applyNumberFormat="1" applyFont="1" applyFill="1" applyBorder="1" applyAlignment="1" applyProtection="1">
      <alignment horizontal="right" wrapText="1"/>
    </xf>
    <xf numFmtId="37" fontId="78" fillId="0" borderId="0" xfId="1" applyNumberFormat="1" applyFont="1" applyFill="1" applyBorder="1" applyAlignment="1" applyProtection="1">
      <alignment horizontal="right" wrapText="1"/>
    </xf>
    <xf numFmtId="37" fontId="1" fillId="0" borderId="0" xfId="0" applyNumberFormat="1" applyFont="1" applyAlignment="1">
      <alignment horizontal="left" wrapText="1"/>
    </xf>
    <xf numFmtId="37" fontId="82" fillId="0" borderId="0" xfId="0" applyNumberFormat="1" applyFont="1" applyAlignment="1">
      <alignment wrapText="1"/>
    </xf>
    <xf numFmtId="165" fontId="4" fillId="0" borderId="0" xfId="0" applyNumberFormat="1" applyFont="1" applyAlignment="1">
      <alignment horizontal="left"/>
    </xf>
    <xf numFmtId="165" fontId="4" fillId="0" borderId="0" xfId="0" applyNumberFormat="1" applyFont="1" applyAlignment="1">
      <alignment wrapText="1"/>
    </xf>
    <xf numFmtId="165" fontId="13" fillId="0" borderId="0" xfId="0" applyNumberFormat="1" applyFont="1"/>
    <xf numFmtId="165" fontId="3" fillId="0" borderId="0" xfId="0" applyNumberFormat="1" applyFont="1" applyAlignment="1">
      <alignment horizontal="left"/>
    </xf>
    <xf numFmtId="166" fontId="3" fillId="0" borderId="0" xfId="0" applyNumberFormat="1" applyFont="1" applyAlignment="1">
      <alignment horizontal="right"/>
    </xf>
    <xf numFmtId="165" fontId="5" fillId="0" borderId="0" xfId="0" applyNumberFormat="1" applyFont="1" applyAlignment="1">
      <alignment horizontal="left"/>
    </xf>
    <xf numFmtId="165" fontId="3" fillId="0" borderId="0" xfId="0" applyNumberFormat="1" applyFont="1" applyAlignment="1">
      <alignment horizontal="right"/>
    </xf>
    <xf numFmtId="165" fontId="3" fillId="0" borderId="0" xfId="0" applyNumberFormat="1" applyFont="1"/>
    <xf numFmtId="165" fontId="3" fillId="0" borderId="0" xfId="0" applyNumberFormat="1" applyFont="1" applyAlignment="1">
      <alignment vertical="top"/>
    </xf>
    <xf numFmtId="167" fontId="3" fillId="0" borderId="0" xfId="0" applyNumberFormat="1" applyFont="1" applyAlignment="1">
      <alignment horizontal="right"/>
    </xf>
    <xf numFmtId="0" fontId="4" fillId="0" borderId="0" xfId="0" applyFont="1" applyAlignment="1">
      <alignment vertical="top" wrapText="1"/>
    </xf>
    <xf numFmtId="37" fontId="77" fillId="0" borderId="0" xfId="0" applyNumberFormat="1" applyFont="1" applyAlignment="1">
      <alignment wrapText="1"/>
    </xf>
    <xf numFmtId="37" fontId="77" fillId="0" borderId="0" xfId="0" applyNumberFormat="1" applyFont="1"/>
    <xf numFmtId="37" fontId="77" fillId="0" borderId="0" xfId="0" applyNumberFormat="1" applyFont="1" applyAlignment="1">
      <alignment horizontal="left"/>
    </xf>
    <xf numFmtId="37" fontId="78" fillId="0" borderId="0" xfId="0" applyNumberFormat="1" applyFont="1" applyAlignment="1">
      <alignment wrapText="1"/>
    </xf>
    <xf numFmtId="37" fontId="1" fillId="0" borderId="0" xfId="0" applyNumberFormat="1" applyFont="1" applyAlignment="1">
      <alignment wrapText="1"/>
    </xf>
    <xf numFmtId="37" fontId="5" fillId="0" borderId="0" xfId="0" applyNumberFormat="1" applyFont="1" applyAlignment="1">
      <alignment horizontal="right"/>
    </xf>
    <xf numFmtId="37" fontId="48" fillId="2" borderId="1" xfId="0" applyNumberFormat="1" applyFont="1" applyFill="1" applyBorder="1" applyAlignment="1">
      <alignment horizontal="left"/>
    </xf>
    <xf numFmtId="37" fontId="50" fillId="2" borderId="2" xfId="0" applyNumberFormat="1" applyFont="1" applyFill="1" applyBorder="1" applyAlignment="1">
      <alignment horizontal="center"/>
    </xf>
    <xf numFmtId="37" fontId="51" fillId="0" borderId="0" xfId="0" applyNumberFormat="1" applyFont="1" applyAlignment="1">
      <alignment horizontal="left"/>
    </xf>
    <xf numFmtId="37" fontId="49" fillId="0" borderId="0" xfId="0" applyNumberFormat="1" applyFont="1" applyAlignment="1">
      <alignment horizontal="left"/>
    </xf>
    <xf numFmtId="0" fontId="3" fillId="0" borderId="0" xfId="0" applyFont="1" applyAlignment="1">
      <alignment vertical="top"/>
    </xf>
    <xf numFmtId="0" fontId="3" fillId="0" borderId="0" xfId="0" applyFont="1" applyAlignment="1">
      <alignment horizontal="left" vertical="top" wrapText="1"/>
    </xf>
    <xf numFmtId="37" fontId="3" fillId="7" borderId="0" xfId="0" applyNumberFormat="1" applyFont="1" applyFill="1" applyAlignment="1">
      <alignment horizontal="left"/>
    </xf>
    <xf numFmtId="0" fontId="3" fillId="7" borderId="0" xfId="0" applyFont="1" applyFill="1" applyAlignment="1">
      <alignment horizontal="left"/>
    </xf>
    <xf numFmtId="170" fontId="97" fillId="7" borderId="0" xfId="0" applyNumberFormat="1" applyFont="1" applyFill="1" applyAlignment="1">
      <alignment horizontal="right" wrapText="1"/>
    </xf>
    <xf numFmtId="37" fontId="49" fillId="7" borderId="0" xfId="0" applyNumberFormat="1" applyFont="1" applyFill="1" applyAlignment="1">
      <alignment horizontal="left"/>
    </xf>
    <xf numFmtId="37" fontId="82" fillId="8" borderId="0" xfId="0" applyNumberFormat="1" applyFont="1" applyFill="1" applyAlignment="1">
      <alignment horizontal="right" wrapText="1"/>
    </xf>
    <xf numFmtId="167" fontId="78" fillId="0" borderId="0" xfId="1" applyNumberFormat="1" applyFont="1" applyFill="1" applyBorder="1" applyAlignment="1" applyProtection="1">
      <alignment horizontal="right"/>
    </xf>
    <xf numFmtId="167" fontId="78" fillId="0" borderId="0" xfId="1" applyNumberFormat="1" applyFont="1" applyAlignment="1" applyProtection="1">
      <alignment horizontal="right" wrapText="1"/>
    </xf>
    <xf numFmtId="37" fontId="81" fillId="0" borderId="0" xfId="0" applyNumberFormat="1" applyFont="1" applyAlignment="1">
      <alignment horizontal="left" vertical="top"/>
    </xf>
    <xf numFmtId="0" fontId="22" fillId="0" borderId="0" xfId="0" applyFont="1" applyAlignment="1">
      <alignment horizontal="left"/>
    </xf>
    <xf numFmtId="0" fontId="49" fillId="0" borderId="0" xfId="0" applyFont="1" applyAlignment="1">
      <alignment horizontal="left"/>
    </xf>
    <xf numFmtId="37" fontId="49" fillId="0" borderId="0" xfId="0" applyNumberFormat="1" applyFont="1" applyAlignment="1">
      <alignment horizontal="right" wrapText="1"/>
    </xf>
    <xf numFmtId="167" fontId="8" fillId="2" borderId="1" xfId="1" applyNumberFormat="1" applyFont="1" applyFill="1" applyBorder="1" applyAlignment="1" applyProtection="1">
      <alignment horizontal="right" wrapText="1"/>
    </xf>
    <xf numFmtId="37" fontId="15" fillId="0" borderId="0" xfId="0" applyNumberFormat="1" applyFont="1" applyAlignment="1">
      <alignment horizontal="right" wrapText="1"/>
    </xf>
    <xf numFmtId="37" fontId="80" fillId="0" borderId="0" xfId="0" applyNumberFormat="1" applyFont="1" applyAlignment="1">
      <alignment horizontal="left"/>
    </xf>
    <xf numFmtId="37" fontId="3" fillId="0" borderId="0" xfId="0" applyNumberFormat="1" applyFont="1" applyAlignment="1">
      <alignment vertical="top"/>
    </xf>
    <xf numFmtId="37" fontId="83" fillId="0" borderId="0" xfId="0" applyNumberFormat="1" applyFont="1" applyAlignment="1">
      <alignment horizontal="left"/>
    </xf>
    <xf numFmtId="167" fontId="83" fillId="0" borderId="0" xfId="1" applyNumberFormat="1" applyFont="1" applyFill="1" applyBorder="1" applyAlignment="1" applyProtection="1">
      <alignment horizontal="right" wrapText="1"/>
    </xf>
    <xf numFmtId="37" fontId="44" fillId="2" borderId="1" xfId="0" applyNumberFormat="1" applyFont="1" applyFill="1" applyBorder="1" applyAlignment="1">
      <alignment horizontal="left"/>
    </xf>
    <xf numFmtId="37" fontId="45" fillId="2" borderId="2" xfId="0" applyNumberFormat="1" applyFont="1" applyFill="1" applyBorder="1" applyAlignment="1">
      <alignment horizontal="center"/>
    </xf>
    <xf numFmtId="37" fontId="46" fillId="0" borderId="0" xfId="0" applyNumberFormat="1" applyFont="1"/>
    <xf numFmtId="37" fontId="47" fillId="0" borderId="0" xfId="0" applyNumberFormat="1" applyFont="1" applyAlignment="1">
      <alignment horizontal="left"/>
    </xf>
    <xf numFmtId="37" fontId="46" fillId="0" borderId="0" xfId="0" applyNumberFormat="1" applyFont="1" applyAlignment="1">
      <alignment horizontal="left"/>
    </xf>
    <xf numFmtId="37" fontId="47" fillId="0" borderId="0" xfId="0" applyNumberFormat="1" applyFont="1"/>
    <xf numFmtId="0" fontId="47" fillId="0" borderId="0" xfId="0" applyFont="1" applyAlignment="1">
      <alignment horizontal="left"/>
    </xf>
    <xf numFmtId="37" fontId="47" fillId="0" borderId="0" xfId="0" applyNumberFormat="1" applyFont="1" applyAlignment="1">
      <alignment horizontal="right" wrapText="1"/>
    </xf>
    <xf numFmtId="167" fontId="47" fillId="0" borderId="0" xfId="1" applyNumberFormat="1" applyFont="1" applyFill="1" applyBorder="1" applyAlignment="1" applyProtection="1">
      <alignment horizontal="right" wrapText="1"/>
    </xf>
    <xf numFmtId="37" fontId="9" fillId="4" borderId="1" xfId="0" applyNumberFormat="1" applyFont="1" applyFill="1" applyBorder="1" applyAlignment="1">
      <alignment horizontal="right" wrapText="1"/>
    </xf>
    <xf numFmtId="0" fontId="16" fillId="0" borderId="0" xfId="0" applyFont="1" applyAlignment="1">
      <alignment horizontal="right" wrapText="1"/>
    </xf>
    <xf numFmtId="0" fontId="14" fillId="0" borderId="0" xfId="0" applyFont="1" applyAlignment="1">
      <alignment horizontal="right" wrapText="1"/>
    </xf>
    <xf numFmtId="0" fontId="5" fillId="0" borderId="0" xfId="0" applyFont="1"/>
    <xf numFmtId="167" fontId="14" fillId="0" borderId="0" xfId="0" applyNumberFormat="1" applyFont="1" applyAlignment="1">
      <alignment horizontal="right" wrapText="1"/>
    </xf>
    <xf numFmtId="0" fontId="91" fillId="0" borderId="0" xfId="0" applyFont="1" applyAlignment="1">
      <alignment horizontal="right" wrapText="1"/>
    </xf>
    <xf numFmtId="37" fontId="1" fillId="0" borderId="0" xfId="0" applyNumberFormat="1" applyFont="1" applyAlignment="1">
      <alignment horizontal="right" vertical="top"/>
    </xf>
    <xf numFmtId="0" fontId="1" fillId="0" borderId="0" xfId="0" applyFont="1" applyAlignment="1">
      <alignment vertical="top"/>
    </xf>
    <xf numFmtId="0" fontId="1" fillId="0" borderId="0" xfId="0" applyFont="1" applyAlignment="1">
      <alignment horizontal="right" vertical="top" wrapText="1"/>
    </xf>
    <xf numFmtId="0" fontId="1" fillId="0" borderId="0" xfId="0" applyFont="1" applyAlignment="1">
      <alignment horizontal="right" vertical="top"/>
    </xf>
    <xf numFmtId="0" fontId="21" fillId="0" borderId="0" xfId="0" applyFont="1" applyAlignment="1">
      <alignment horizontal="right" wrapText="1"/>
    </xf>
    <xf numFmtId="0" fontId="0" fillId="0" borderId="0" xfId="0" applyAlignment="1">
      <alignment horizontal="right" wrapText="1"/>
    </xf>
    <xf numFmtId="37" fontId="0" fillId="0" borderId="0" xfId="0" applyNumberFormat="1" applyAlignment="1">
      <alignment horizontal="right" wrapText="1"/>
    </xf>
    <xf numFmtId="37" fontId="80" fillId="0" borderId="0" xfId="0" applyNumberFormat="1" applyFont="1" applyAlignment="1">
      <alignment vertical="top"/>
    </xf>
    <xf numFmtId="167" fontId="3" fillId="0" borderId="0" xfId="0" applyNumberFormat="1" applyFont="1" applyAlignment="1">
      <alignment wrapText="1"/>
    </xf>
    <xf numFmtId="37" fontId="83" fillId="0" borderId="0" xfId="0" applyNumberFormat="1" applyFont="1" applyAlignment="1">
      <alignment vertical="top"/>
    </xf>
    <xf numFmtId="167" fontId="4" fillId="0" borderId="0" xfId="0" applyNumberFormat="1" applyFont="1" applyAlignment="1">
      <alignment wrapText="1"/>
    </xf>
    <xf numFmtId="167" fontId="78" fillId="0" borderId="0" xfId="0" applyNumberFormat="1" applyFont="1" applyAlignment="1">
      <alignment horizontal="left"/>
    </xf>
    <xf numFmtId="167" fontId="78" fillId="0" borderId="0" xfId="0" applyNumberFormat="1" applyFont="1" applyAlignment="1">
      <alignment wrapText="1"/>
    </xf>
    <xf numFmtId="167" fontId="78" fillId="0" borderId="0" xfId="0" applyNumberFormat="1" applyFont="1"/>
    <xf numFmtId="37" fontId="0" fillId="0" borderId="0" xfId="0" applyNumberFormat="1" applyAlignment="1">
      <alignment horizontal="left" vertical="top"/>
    </xf>
    <xf numFmtId="0" fontId="0" fillId="0" borderId="0" xfId="0" applyAlignment="1">
      <alignment horizontal="left" vertical="top"/>
    </xf>
    <xf numFmtId="164" fontId="3" fillId="0" borderId="0" xfId="1" applyFont="1" applyFill="1" applyBorder="1" applyAlignment="1" applyProtection="1"/>
    <xf numFmtId="164" fontId="78" fillId="0" borderId="0" xfId="1" applyFont="1" applyFill="1" applyBorder="1" applyAlignment="1" applyProtection="1"/>
    <xf numFmtId="164" fontId="3" fillId="0" borderId="0" xfId="1" applyFont="1" applyAlignment="1" applyProtection="1">
      <alignment horizontal="left"/>
    </xf>
    <xf numFmtId="37" fontId="22" fillId="0" borderId="0" xfId="0" applyNumberFormat="1" applyFont="1" applyAlignment="1">
      <alignment horizontal="left"/>
    </xf>
    <xf numFmtId="37" fontId="4" fillId="0" borderId="0" xfId="0" applyNumberFormat="1" applyFont="1" applyAlignment="1">
      <alignment vertical="top"/>
    </xf>
    <xf numFmtId="164" fontId="82" fillId="0" borderId="0" xfId="1" applyFont="1" applyFill="1" applyBorder="1" applyAlignment="1" applyProtection="1"/>
    <xf numFmtId="0" fontId="4" fillId="0" borderId="0" xfId="0" applyFont="1" applyAlignment="1">
      <alignment vertical="top"/>
    </xf>
    <xf numFmtId="167" fontId="77" fillId="0" borderId="0" xfId="0" applyNumberFormat="1" applyFont="1"/>
    <xf numFmtId="37" fontId="3" fillId="0" borderId="0" xfId="1" applyNumberFormat="1" applyFont="1" applyFill="1" applyBorder="1" applyAlignment="1" applyProtection="1">
      <alignment horizontal="left"/>
    </xf>
    <xf numFmtId="3" fontId="100" fillId="0" borderId="0" xfId="0" applyNumberFormat="1" applyFont="1" applyAlignment="1">
      <alignment horizontal="right" vertical="center" wrapText="1" indent="2"/>
    </xf>
    <xf numFmtId="3" fontId="101" fillId="0" borderId="0" xfId="0" applyNumberFormat="1" applyFont="1" applyAlignment="1">
      <alignment horizontal="right" vertical="center" wrapText="1" indent="2"/>
    </xf>
    <xf numFmtId="3" fontId="72" fillId="0" borderId="0" xfId="0" applyNumberFormat="1" applyFont="1" applyAlignment="1">
      <alignment horizontal="right" vertical="center" wrapText="1" indent="2"/>
    </xf>
    <xf numFmtId="1" fontId="3" fillId="0" borderId="0" xfId="0" applyNumberFormat="1" applyFont="1" applyAlignment="1">
      <alignment horizontal="right" wrapText="1"/>
    </xf>
    <xf numFmtId="3" fontId="102" fillId="0" borderId="0" xfId="0" applyNumberFormat="1" applyFont="1" applyAlignment="1">
      <alignment horizontal="right" vertical="center" indent="2"/>
    </xf>
    <xf numFmtId="3" fontId="101" fillId="0" borderId="0" xfId="0" applyNumberFormat="1" applyFont="1" applyAlignment="1">
      <alignment horizontal="right" vertical="center" indent="2"/>
    </xf>
    <xf numFmtId="0" fontId="101" fillId="0" borderId="0" xfId="0" applyFont="1" applyAlignment="1">
      <alignment horizontal="right" vertical="center" indent="2"/>
    </xf>
    <xf numFmtId="3" fontId="22" fillId="0" borderId="0" xfId="0" applyNumberFormat="1" applyFont="1" applyAlignment="1">
      <alignment horizontal="right" vertical="center" indent="2"/>
    </xf>
    <xf numFmtId="0" fontId="22" fillId="0" borderId="0" xfId="0" applyFont="1" applyAlignment="1">
      <alignment horizontal="right" vertical="center" indent="2"/>
    </xf>
    <xf numFmtId="167" fontId="85" fillId="0" borderId="0" xfId="0" applyNumberFormat="1" applyFont="1" applyAlignment="1">
      <alignment horizontal="right" wrapText="1"/>
    </xf>
    <xf numFmtId="3" fontId="72" fillId="0" borderId="0" xfId="0" applyNumberFormat="1" applyFont="1" applyAlignment="1">
      <alignment horizontal="right" vertical="center" indent="2"/>
    </xf>
    <xf numFmtId="167" fontId="103" fillId="7" borderId="1" xfId="1" applyNumberFormat="1" applyFont="1" applyFill="1" applyBorder="1" applyAlignment="1" applyProtection="1">
      <alignment horizontal="left"/>
    </xf>
    <xf numFmtId="37" fontId="103" fillId="7" borderId="1" xfId="1" applyNumberFormat="1" applyFont="1" applyFill="1" applyBorder="1" applyAlignment="1" applyProtection="1">
      <alignment horizontal="left"/>
    </xf>
    <xf numFmtId="167" fontId="78" fillId="7" borderId="1" xfId="1" applyNumberFormat="1" applyFont="1" applyFill="1" applyBorder="1" applyAlignment="1" applyProtection="1">
      <alignment horizontal="right"/>
    </xf>
    <xf numFmtId="167" fontId="77" fillId="7" borderId="0" xfId="1" applyNumberFormat="1" applyFont="1" applyFill="1" applyBorder="1" applyAlignment="1" applyProtection="1">
      <alignment horizontal="center"/>
    </xf>
    <xf numFmtId="37" fontId="77" fillId="7" borderId="0" xfId="1" applyNumberFormat="1" applyFont="1" applyFill="1" applyBorder="1" applyAlignment="1" applyProtection="1">
      <alignment horizontal="center"/>
    </xf>
    <xf numFmtId="167" fontId="78" fillId="0" borderId="0" xfId="1" applyNumberFormat="1" applyFont="1" applyBorder="1" applyProtection="1"/>
    <xf numFmtId="37" fontId="78" fillId="0" borderId="0" xfId="1" applyNumberFormat="1" applyFont="1" applyBorder="1" applyProtection="1"/>
    <xf numFmtId="167" fontId="4" fillId="0" borderId="5" xfId="1" applyNumberFormat="1" applyFont="1" applyBorder="1" applyAlignment="1" applyProtection="1">
      <alignment horizontal="right" vertical="top" wrapText="1"/>
    </xf>
    <xf numFmtId="167" fontId="4" fillId="0" borderId="6" xfId="1" applyNumberFormat="1" applyFont="1" applyBorder="1" applyAlignment="1" applyProtection="1">
      <alignment horizontal="right" wrapText="1"/>
    </xf>
    <xf numFmtId="167" fontId="4" fillId="0" borderId="6" xfId="1" applyNumberFormat="1" applyFont="1" applyBorder="1" applyAlignment="1" applyProtection="1">
      <alignment horizontal="right" vertical="top" wrapText="1"/>
    </xf>
    <xf numFmtId="0" fontId="3" fillId="0" borderId="0" xfId="0" applyFont="1" applyAlignment="1">
      <alignment vertical="top" wrapText="1"/>
    </xf>
    <xf numFmtId="167" fontId="82" fillId="0" borderId="0" xfId="1" applyNumberFormat="1" applyFont="1" applyAlignment="1" applyProtection="1">
      <alignment horizontal="right" vertical="top" wrapText="1"/>
    </xf>
    <xf numFmtId="167" fontId="77" fillId="0" borderId="0" xfId="1" applyNumberFormat="1" applyFont="1" applyAlignment="1" applyProtection="1">
      <alignment horizontal="center" vertical="top" wrapText="1"/>
    </xf>
    <xf numFmtId="0" fontId="4" fillId="0" borderId="0" xfId="0" applyFont="1" applyAlignment="1">
      <alignment wrapText="1"/>
    </xf>
    <xf numFmtId="0" fontId="3" fillId="0" borderId="2" xfId="0" applyFont="1" applyBorder="1" applyAlignment="1">
      <alignment wrapText="1"/>
    </xf>
    <xf numFmtId="0" fontId="4" fillId="0" borderId="2" xfId="0" applyFont="1" applyBorder="1" applyAlignment="1">
      <alignment wrapText="1"/>
    </xf>
    <xf numFmtId="0" fontId="4" fillId="0" borderId="4" xfId="0" applyFont="1" applyBorder="1" applyAlignment="1">
      <alignment wrapText="1"/>
    </xf>
    <xf numFmtId="37" fontId="77" fillId="0" borderId="0" xfId="1" applyNumberFormat="1" applyFont="1" applyBorder="1" applyAlignment="1" applyProtection="1">
      <alignment wrapText="1"/>
    </xf>
    <xf numFmtId="37" fontId="78" fillId="0" borderId="0" xfId="1" applyNumberFormat="1" applyFont="1" applyBorder="1" applyAlignment="1" applyProtection="1">
      <alignment wrapText="1"/>
    </xf>
    <xf numFmtId="37" fontId="82" fillId="0" borderId="0" xfId="1" applyNumberFormat="1" applyFont="1" applyFill="1" applyBorder="1" applyAlignment="1" applyProtection="1">
      <alignment horizontal="right" wrapText="1"/>
    </xf>
    <xf numFmtId="0" fontId="78" fillId="0" borderId="0" xfId="0" applyFont="1"/>
    <xf numFmtId="167" fontId="77" fillId="0" borderId="0" xfId="1" applyNumberFormat="1" applyFont="1" applyAlignment="1" applyProtection="1">
      <alignment horizontal="right"/>
    </xf>
    <xf numFmtId="37" fontId="3" fillId="0" borderId="0" xfId="1" applyNumberFormat="1" applyFont="1" applyBorder="1" applyAlignment="1" applyProtection="1">
      <alignment wrapText="1"/>
    </xf>
    <xf numFmtId="37" fontId="4" fillId="0" borderId="0" xfId="1" applyNumberFormat="1" applyFont="1" applyBorder="1" applyAlignment="1" applyProtection="1">
      <alignment wrapText="1"/>
    </xf>
    <xf numFmtId="37" fontId="3" fillId="0" borderId="0" xfId="1" applyNumberFormat="1" applyFont="1" applyFill="1" applyBorder="1" applyAlignment="1" applyProtection="1">
      <alignment wrapText="1"/>
    </xf>
    <xf numFmtId="167" fontId="104" fillId="0" borderId="0" xfId="1" applyNumberFormat="1" applyFont="1" applyAlignment="1" applyProtection="1">
      <alignment horizontal="right"/>
    </xf>
    <xf numFmtId="167" fontId="81" fillId="0" borderId="0" xfId="1" applyNumberFormat="1" applyFont="1" applyAlignment="1" applyProtection="1">
      <alignment horizontal="right"/>
    </xf>
    <xf numFmtId="37" fontId="81" fillId="0" borderId="0" xfId="1" applyNumberFormat="1" applyFont="1" applyAlignment="1" applyProtection="1">
      <alignment horizontal="right"/>
    </xf>
    <xf numFmtId="37" fontId="81" fillId="0" borderId="0" xfId="0" applyNumberFormat="1" applyFont="1"/>
    <xf numFmtId="167" fontId="81" fillId="0" borderId="0" xfId="1" applyNumberFormat="1" applyFont="1" applyProtection="1"/>
    <xf numFmtId="0" fontId="105" fillId="2" borderId="1" xfId="0" applyFont="1" applyFill="1" applyBorder="1" applyAlignment="1">
      <alignment horizontal="left"/>
    </xf>
    <xf numFmtId="37" fontId="3" fillId="2" borderId="1" xfId="0" applyNumberFormat="1" applyFont="1" applyFill="1" applyBorder="1" applyAlignment="1">
      <alignment horizontal="left"/>
    </xf>
    <xf numFmtId="37" fontId="3" fillId="2" borderId="1" xfId="0" applyNumberFormat="1" applyFont="1" applyFill="1" applyBorder="1" applyAlignment="1">
      <alignment horizontal="right"/>
    </xf>
    <xf numFmtId="37" fontId="26" fillId="2" borderId="0" xfId="4" applyNumberFormat="1" applyFont="1" applyFill="1" applyBorder="1" applyAlignment="1" applyProtection="1">
      <alignment horizontal="left"/>
    </xf>
    <xf numFmtId="37" fontId="4" fillId="2" borderId="2" xfId="0" applyNumberFormat="1" applyFont="1" applyFill="1" applyBorder="1" applyAlignment="1">
      <alignment horizontal="center"/>
    </xf>
    <xf numFmtId="0" fontId="3" fillId="0" borderId="5"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horizontal="centerContinuous" vertical="top" wrapText="1"/>
    </xf>
    <xf numFmtId="0" fontId="4" fillId="0" borderId="5" xfId="0" applyFont="1" applyBorder="1" applyAlignment="1">
      <alignment horizontal="left" vertical="top" wrapText="1"/>
    </xf>
    <xf numFmtId="0" fontId="4" fillId="0" borderId="5" xfId="0" applyFont="1" applyBorder="1" applyAlignment="1">
      <alignment horizontal="center" vertical="top" wrapText="1"/>
    </xf>
    <xf numFmtId="0" fontId="4" fillId="0" borderId="5" xfId="0" applyFont="1" applyBorder="1" applyAlignment="1">
      <alignment horizontal="left" vertical="top"/>
    </xf>
    <xf numFmtId="0" fontId="4" fillId="0" borderId="5" xfId="0" applyFont="1" applyBorder="1" applyAlignment="1">
      <alignment horizontal="centerContinuous" vertical="top"/>
    </xf>
    <xf numFmtId="168" fontId="3" fillId="0" borderId="0" xfId="0" applyNumberFormat="1" applyFont="1"/>
    <xf numFmtId="0" fontId="4" fillId="0" borderId="0" xfId="0" applyFont="1" applyAlignment="1">
      <alignment horizontal="center" wrapText="1"/>
    </xf>
    <xf numFmtId="16" fontId="4" fillId="0" borderId="0" xfId="0" quotePrefix="1" applyNumberFormat="1" applyFont="1" applyAlignment="1">
      <alignment horizontal="right" wrapText="1"/>
    </xf>
    <xf numFmtId="16" fontId="6" fillId="0" borderId="0" xfId="0" applyNumberFormat="1" applyFont="1" applyAlignment="1">
      <alignment horizontal="right" wrapText="1"/>
    </xf>
    <xf numFmtId="16" fontId="4" fillId="0" borderId="0" xfId="0" applyNumberFormat="1" applyFont="1" applyAlignment="1">
      <alignment horizontal="right" wrapText="1"/>
    </xf>
    <xf numFmtId="168" fontId="0" fillId="0" borderId="0" xfId="0" applyNumberFormat="1"/>
    <xf numFmtId="49" fontId="3" fillId="0" borderId="0" xfId="0" applyNumberFormat="1" applyFont="1"/>
    <xf numFmtId="0" fontId="4" fillId="0" borderId="6" xfId="0" applyFont="1" applyBorder="1" applyAlignment="1">
      <alignment wrapText="1"/>
    </xf>
    <xf numFmtId="0" fontId="4" fillId="0" borderId="6" xfId="0" applyFont="1" applyBorder="1" applyAlignment="1">
      <alignment horizontal="center" wrapText="1"/>
    </xf>
    <xf numFmtId="0" fontId="4" fillId="0" borderId="6" xfId="0" applyFont="1" applyBorder="1" applyAlignment="1">
      <alignment horizontal="right" wrapText="1"/>
    </xf>
    <xf numFmtId="49" fontId="0" fillId="0" borderId="0" xfId="0" applyNumberFormat="1"/>
    <xf numFmtId="0" fontId="3" fillId="0" borderId="0" xfId="0" applyFont="1" applyAlignment="1">
      <alignment horizontal="center" wrapText="1"/>
    </xf>
    <xf numFmtId="0" fontId="4" fillId="0" borderId="0" xfId="0" applyFont="1" applyAlignment="1">
      <alignment horizontal="right" wrapText="1"/>
    </xf>
    <xf numFmtId="0" fontId="85" fillId="0" borderId="0" xfId="0" applyFont="1" applyAlignment="1">
      <alignment horizontal="right" wrapText="1"/>
    </xf>
    <xf numFmtId="0" fontId="106" fillId="0" borderId="0" xfId="0" applyFont="1" applyAlignment="1">
      <alignment horizontal="right" wrapText="1"/>
    </xf>
    <xf numFmtId="167" fontId="80" fillId="0" borderId="0" xfId="0" applyNumberFormat="1" applyFont="1" applyAlignment="1">
      <alignment horizontal="right"/>
    </xf>
    <xf numFmtId="3" fontId="3" fillId="0" borderId="0" xfId="0" applyNumberFormat="1" applyFont="1"/>
    <xf numFmtId="3" fontId="101" fillId="0" borderId="0" xfId="0" applyNumberFormat="1" applyFont="1" applyAlignment="1">
      <alignment horizontal="right" vertical="center" wrapText="1"/>
    </xf>
    <xf numFmtId="0" fontId="107" fillId="0" borderId="0" xfId="0" applyFont="1" applyAlignment="1">
      <alignment horizontal="center" wrapText="1"/>
    </xf>
    <xf numFmtId="167" fontId="78" fillId="0" borderId="0" xfId="0" applyNumberFormat="1" applyFont="1" applyAlignment="1">
      <alignment horizontal="right"/>
    </xf>
    <xf numFmtId="0" fontId="101" fillId="0" borderId="0" xfId="0" applyFont="1" applyAlignment="1">
      <alignment horizontal="right" vertical="center" wrapText="1"/>
    </xf>
    <xf numFmtId="0" fontId="3" fillId="0" borderId="2" xfId="0" applyFont="1" applyBorder="1" applyAlignment="1">
      <alignment horizontal="center" wrapText="1"/>
    </xf>
    <xf numFmtId="167" fontId="3" fillId="0" borderId="2" xfId="0" applyNumberFormat="1" applyFont="1" applyBorder="1" applyAlignment="1">
      <alignment horizontal="right"/>
    </xf>
    <xf numFmtId="0" fontId="108" fillId="0" borderId="6" xfId="0" applyFont="1" applyBorder="1" applyAlignment="1">
      <alignment horizontal="right" wrapText="1"/>
    </xf>
    <xf numFmtId="167" fontId="3" fillId="0" borderId="4" xfId="0" applyNumberFormat="1" applyFont="1" applyBorder="1" applyAlignment="1">
      <alignment horizontal="right"/>
    </xf>
    <xf numFmtId="167" fontId="80" fillId="0" borderId="4" xfId="0" applyNumberFormat="1" applyFont="1" applyBorder="1" applyAlignment="1">
      <alignment horizontal="right"/>
    </xf>
    <xf numFmtId="167" fontId="3" fillId="0" borderId="6" xfId="0" applyNumberFormat="1" applyFont="1" applyBorder="1" applyAlignment="1">
      <alignment horizontal="right"/>
    </xf>
    <xf numFmtId="0" fontId="4" fillId="0" borderId="0" xfId="0" applyFont="1" applyAlignment="1">
      <alignment horizontal="center" vertical="top" wrapText="1"/>
    </xf>
    <xf numFmtId="167" fontId="82" fillId="0" borderId="0" xfId="0" applyNumberFormat="1" applyFont="1" applyAlignment="1">
      <alignment horizontal="center" vertical="top"/>
    </xf>
    <xf numFmtId="167" fontId="3" fillId="0" borderId="0" xfId="0" applyNumberFormat="1" applyFont="1" applyAlignment="1">
      <alignment horizontal="center" vertical="top"/>
    </xf>
    <xf numFmtId="167" fontId="3" fillId="0" borderId="0" xfId="0" applyNumberFormat="1" applyFont="1" applyAlignment="1">
      <alignment horizontal="center"/>
    </xf>
    <xf numFmtId="167" fontId="82" fillId="0" borderId="0" xfId="0" applyNumberFormat="1" applyFont="1" applyAlignment="1">
      <alignment horizontal="center"/>
    </xf>
    <xf numFmtId="0" fontId="3" fillId="0" borderId="2" xfId="0" applyFont="1" applyBorder="1" applyAlignment="1">
      <alignment horizontal="justify" wrapText="1"/>
    </xf>
    <xf numFmtId="0" fontId="108" fillId="0" borderId="2" xfId="0" applyFont="1" applyBorder="1" applyAlignment="1">
      <alignment wrapText="1"/>
    </xf>
    <xf numFmtId="167" fontId="3" fillId="0" borderId="3" xfId="0" applyNumberFormat="1" applyFont="1" applyBorder="1" applyAlignment="1">
      <alignment horizontal="right"/>
    </xf>
    <xf numFmtId="0" fontId="107" fillId="0" borderId="6" xfId="0" applyFont="1" applyBorder="1" applyAlignment="1">
      <alignment horizontal="center" wrapText="1"/>
    </xf>
    <xf numFmtId="0" fontId="3" fillId="0" borderId="0" xfId="0" applyFont="1" applyAlignment="1">
      <alignment horizontal="right" wrapText="1"/>
    </xf>
    <xf numFmtId="0" fontId="18" fillId="0" borderId="0" xfId="0" applyFont="1" applyAlignment="1">
      <alignment horizontal="center" wrapText="1"/>
    </xf>
    <xf numFmtId="167" fontId="82" fillId="0" borderId="0" xfId="0" applyNumberFormat="1" applyFont="1" applyAlignment="1">
      <alignment horizontal="right"/>
    </xf>
    <xf numFmtId="0" fontId="107" fillId="0" borderId="2" xfId="0" applyFont="1" applyBorder="1" applyAlignment="1">
      <alignment horizontal="center" wrapText="1"/>
    </xf>
    <xf numFmtId="0" fontId="107" fillId="0" borderId="4" xfId="0" applyFont="1" applyBorder="1" applyAlignment="1">
      <alignment wrapText="1"/>
    </xf>
    <xf numFmtId="0" fontId="18" fillId="0" borderId="2" xfId="0" applyFont="1" applyBorder="1" applyAlignment="1">
      <alignment horizontal="center" wrapText="1"/>
    </xf>
    <xf numFmtId="0" fontId="18" fillId="0" borderId="0" xfId="0" applyFont="1" applyAlignment="1">
      <alignment horizontal="right" wrapText="1"/>
    </xf>
    <xf numFmtId="0" fontId="18" fillId="0" borderId="0" xfId="0" applyFont="1" applyAlignment="1">
      <alignment wrapText="1"/>
    </xf>
    <xf numFmtId="0" fontId="109" fillId="0" borderId="0" xfId="0" applyFont="1" applyAlignment="1">
      <alignment horizontal="right" vertical="center" wrapText="1"/>
    </xf>
    <xf numFmtId="164" fontId="4" fillId="0" borderId="0" xfId="0" applyNumberFormat="1" applyFont="1" applyAlignment="1">
      <alignment horizontal="right" wrapText="1"/>
    </xf>
    <xf numFmtId="0" fontId="18" fillId="0" borderId="6" xfId="0" applyFont="1" applyBorder="1" applyAlignment="1">
      <alignment horizontal="left" wrapText="1" indent="2"/>
    </xf>
    <xf numFmtId="0" fontId="18" fillId="0" borderId="6" xfId="0" applyFont="1" applyBorder="1" applyAlignment="1">
      <alignment horizontal="center" wrapText="1"/>
    </xf>
    <xf numFmtId="0" fontId="77" fillId="0" borderId="6" xfId="0" applyFont="1" applyBorder="1" applyAlignment="1">
      <alignment horizontal="center" wrapText="1"/>
    </xf>
    <xf numFmtId="0" fontId="83" fillId="0" borderId="6" xfId="0" applyFont="1" applyBorder="1" applyAlignment="1">
      <alignment horizontal="center" wrapText="1"/>
    </xf>
    <xf numFmtId="0" fontId="110" fillId="0" borderId="6" xfId="0" applyFont="1" applyBorder="1" applyAlignment="1">
      <alignment horizontal="center" wrapText="1"/>
    </xf>
    <xf numFmtId="0" fontId="3" fillId="0" borderId="6" xfId="0" applyFont="1" applyBorder="1" applyAlignment="1">
      <alignment horizontal="right" wrapText="1"/>
    </xf>
    <xf numFmtId="0" fontId="110" fillId="0" borderId="6" xfId="0" applyFont="1" applyBorder="1" applyAlignment="1">
      <alignment horizontal="right" wrapText="1"/>
    </xf>
    <xf numFmtId="0" fontId="110" fillId="0" borderId="0" xfId="0" applyFont="1"/>
    <xf numFmtId="0" fontId="77" fillId="0" borderId="0" xfId="0" applyFont="1"/>
    <xf numFmtId="0" fontId="72" fillId="0" borderId="0" xfId="0" applyFont="1" applyAlignment="1">
      <alignment horizontal="right" vertical="center" wrapText="1"/>
    </xf>
    <xf numFmtId="0" fontId="82" fillId="0" borderId="0" xfId="0" applyFont="1"/>
    <xf numFmtId="0" fontId="25" fillId="0" borderId="0" xfId="0" applyFont="1"/>
    <xf numFmtId="37" fontId="61" fillId="2" borderId="1" xfId="0" applyNumberFormat="1" applyFont="1" applyFill="1" applyBorder="1" applyAlignment="1">
      <alignment horizontal="left"/>
    </xf>
    <xf numFmtId="37" fontId="62" fillId="2" borderId="2" xfId="0" applyNumberFormat="1" applyFont="1" applyFill="1" applyBorder="1" applyAlignment="1">
      <alignment horizontal="center"/>
    </xf>
    <xf numFmtId="37" fontId="63" fillId="0" borderId="0" xfId="0" applyNumberFormat="1" applyFont="1" applyAlignment="1">
      <alignment horizontal="left"/>
    </xf>
    <xf numFmtId="37" fontId="64" fillId="0" borderId="0" xfId="0" applyNumberFormat="1" applyFont="1" applyAlignment="1">
      <alignment horizontal="left"/>
    </xf>
    <xf numFmtId="4" fontId="4" fillId="0" borderId="0" xfId="0" applyNumberFormat="1" applyFont="1" applyAlignment="1">
      <alignment horizontal="left"/>
    </xf>
    <xf numFmtId="39" fontId="63" fillId="0" borderId="0" xfId="0" applyNumberFormat="1" applyFont="1" applyAlignment="1">
      <alignment horizontal="left"/>
    </xf>
    <xf numFmtId="37" fontId="63" fillId="0" borderId="0" xfId="0" applyNumberFormat="1" applyFont="1"/>
    <xf numFmtId="37" fontId="81" fillId="0" borderId="0" xfId="0" applyNumberFormat="1" applyFont="1" applyAlignment="1">
      <alignment horizontal="left"/>
    </xf>
    <xf numFmtId="37" fontId="63" fillId="0" borderId="0" xfId="0" applyNumberFormat="1" applyFont="1" applyAlignment="1">
      <alignment horizontal="right" wrapText="1"/>
    </xf>
    <xf numFmtId="164" fontId="9" fillId="2" borderId="1" xfId="1" applyFont="1" applyFill="1" applyBorder="1" applyAlignment="1" applyProtection="1">
      <alignment horizontal="left"/>
    </xf>
    <xf numFmtId="37" fontId="57" fillId="2" borderId="1" xfId="0" applyNumberFormat="1" applyFont="1" applyFill="1" applyBorder="1" applyAlignment="1">
      <alignment horizontal="left"/>
    </xf>
    <xf numFmtId="164" fontId="8" fillId="2" borderId="2" xfId="1" applyFont="1" applyFill="1" applyBorder="1" applyAlignment="1" applyProtection="1">
      <alignment horizontal="center"/>
    </xf>
    <xf numFmtId="37" fontId="59" fillId="2" borderId="2" xfId="0" applyNumberFormat="1" applyFont="1" applyFill="1" applyBorder="1" applyAlignment="1">
      <alignment horizontal="center"/>
    </xf>
    <xf numFmtId="37" fontId="60" fillId="0" borderId="0" xfId="0" applyNumberFormat="1" applyFont="1" applyAlignment="1">
      <alignment horizontal="left"/>
    </xf>
    <xf numFmtId="37" fontId="60" fillId="0" borderId="0" xfId="0" applyNumberFormat="1" applyFont="1"/>
    <xf numFmtId="37" fontId="58" fillId="0" borderId="0" xfId="0" applyNumberFormat="1" applyFont="1"/>
    <xf numFmtId="39" fontId="60" fillId="0" borderId="0" xfId="0" applyNumberFormat="1" applyFont="1"/>
    <xf numFmtId="0" fontId="4" fillId="0" borderId="0" xfId="6" applyNumberFormat="1" applyFont="1" applyAlignment="1" applyProtection="1">
      <alignment horizontal="left"/>
    </xf>
    <xf numFmtId="39" fontId="58" fillId="0" borderId="0" xfId="0" applyNumberFormat="1" applyFont="1"/>
    <xf numFmtId="164" fontId="3" fillId="0" borderId="0" xfId="1" applyFont="1" applyProtection="1"/>
    <xf numFmtId="164" fontId="78" fillId="0" borderId="0" xfId="1" applyFont="1" applyProtection="1"/>
    <xf numFmtId="0" fontId="58" fillId="0" borderId="0" xfId="0" applyFont="1"/>
    <xf numFmtId="37" fontId="58" fillId="0" borderId="0" xfId="0" applyNumberFormat="1" applyFont="1" applyAlignment="1">
      <alignment horizontal="right"/>
    </xf>
    <xf numFmtId="164" fontId="58" fillId="0" borderId="0" xfId="1" applyFont="1" applyProtection="1"/>
    <xf numFmtId="167" fontId="3" fillId="0" borderId="0" xfId="0" applyNumberFormat="1" applyFont="1" applyAlignment="1" applyProtection="1">
      <alignment horizontal="right" wrapText="1"/>
      <protection locked="0"/>
    </xf>
    <xf numFmtId="37" fontId="3" fillId="0" borderId="0" xfId="0" applyNumberFormat="1" applyFont="1" applyAlignment="1" applyProtection="1">
      <alignment horizontal="right"/>
      <protection locked="0"/>
    </xf>
    <xf numFmtId="37" fontId="68" fillId="2" borderId="1" xfId="0" applyNumberFormat="1" applyFont="1" applyFill="1" applyBorder="1" applyAlignment="1">
      <alignment horizontal="left"/>
    </xf>
    <xf numFmtId="37" fontId="69" fillId="2" borderId="2" xfId="0" applyNumberFormat="1" applyFont="1" applyFill="1" applyBorder="1" applyAlignment="1">
      <alignment horizontal="center"/>
    </xf>
    <xf numFmtId="37" fontId="70" fillId="0" borderId="0" xfId="0" applyNumberFormat="1" applyFont="1" applyAlignment="1">
      <alignment horizontal="left"/>
    </xf>
    <xf numFmtId="37" fontId="71" fillId="0" borderId="0" xfId="0" applyNumberFormat="1" applyFont="1" applyAlignment="1">
      <alignment horizontal="left"/>
    </xf>
    <xf numFmtId="0" fontId="71" fillId="0" borderId="0" xfId="0" applyFont="1" applyAlignment="1">
      <alignment horizontal="left"/>
    </xf>
    <xf numFmtId="37" fontId="71" fillId="0" borderId="0" xfId="0" applyNumberFormat="1" applyFont="1" applyAlignment="1">
      <alignment horizontal="right" wrapText="1"/>
    </xf>
    <xf numFmtId="0" fontId="11" fillId="7" borderId="1" xfId="0" applyFont="1" applyFill="1" applyBorder="1" applyAlignment="1">
      <alignment horizontal="left"/>
    </xf>
    <xf numFmtId="37" fontId="9" fillId="7" borderId="1" xfId="0" applyNumberFormat="1" applyFont="1" applyFill="1" applyBorder="1" applyAlignment="1">
      <alignment horizontal="left"/>
    </xf>
    <xf numFmtId="37" fontId="77" fillId="7" borderId="1" xfId="0" applyNumberFormat="1" applyFont="1" applyFill="1" applyBorder="1" applyAlignment="1">
      <alignment horizontal="left"/>
    </xf>
    <xf numFmtId="37" fontId="103" fillId="7" borderId="1" xfId="0" applyNumberFormat="1" applyFont="1" applyFill="1" applyBorder="1" applyAlignment="1">
      <alignment horizontal="left"/>
    </xf>
    <xf numFmtId="37" fontId="77" fillId="7" borderId="0" xfId="0" applyNumberFormat="1" applyFont="1" applyFill="1" applyAlignment="1">
      <alignment horizontal="center"/>
    </xf>
    <xf numFmtId="37" fontId="8" fillId="7" borderId="2" xfId="0" applyNumberFormat="1" applyFont="1" applyFill="1" applyBorder="1" applyAlignment="1">
      <alignment horizontal="center"/>
    </xf>
    <xf numFmtId="0" fontId="4" fillId="0" borderId="5" xfId="0" applyFont="1" applyBorder="1" applyAlignment="1">
      <alignment vertical="top" wrapText="1"/>
    </xf>
    <xf numFmtId="37" fontId="4" fillId="0" borderId="5" xfId="0" applyNumberFormat="1" applyFont="1" applyBorder="1" applyAlignment="1">
      <alignment horizontal="center" vertical="top"/>
    </xf>
    <xf numFmtId="0" fontId="4" fillId="0" borderId="6" xfId="0" applyFont="1" applyBorder="1" applyAlignment="1">
      <alignment vertical="top" wrapText="1"/>
    </xf>
    <xf numFmtId="1" fontId="4" fillId="0" borderId="6" xfId="0" quotePrefix="1" applyNumberFormat="1" applyFont="1" applyBorder="1" applyAlignment="1">
      <alignment horizontal="center"/>
    </xf>
    <xf numFmtId="1" fontId="4" fillId="0" borderId="6" xfId="0" applyNumberFormat="1" applyFont="1" applyBorder="1" applyAlignment="1">
      <alignment horizontal="center"/>
    </xf>
    <xf numFmtId="37" fontId="77" fillId="0" borderId="0" xfId="0" applyNumberFormat="1" applyFont="1" applyAlignment="1">
      <alignment horizontal="center" vertical="top" wrapText="1"/>
    </xf>
    <xf numFmtId="37" fontId="78" fillId="0" borderId="0" xfId="0" applyNumberFormat="1" applyFont="1" applyAlignment="1">
      <alignment horizontal="center" vertical="top" wrapText="1"/>
    </xf>
    <xf numFmtId="37" fontId="77" fillId="0" borderId="0" xfId="0" applyNumberFormat="1" applyFont="1" applyAlignment="1">
      <alignment horizontal="right" vertical="top" wrapText="1"/>
    </xf>
    <xf numFmtId="37" fontId="78" fillId="0" borderId="0" xfId="0" applyNumberFormat="1" applyFont="1" applyAlignment="1">
      <alignment horizontal="right" vertical="top" wrapText="1"/>
    </xf>
    <xf numFmtId="0" fontId="4" fillId="0" borderId="3" xfId="0" applyFont="1" applyBorder="1" applyAlignment="1">
      <alignment wrapText="1"/>
    </xf>
    <xf numFmtId="167" fontId="3" fillId="0" borderId="3" xfId="0" applyNumberFormat="1" applyFont="1" applyBorder="1" applyAlignment="1">
      <alignment horizontal="right" wrapText="1"/>
    </xf>
    <xf numFmtId="0" fontId="4" fillId="0" borderId="1" xfId="0" applyFont="1" applyBorder="1" applyAlignment="1">
      <alignment wrapText="1"/>
    </xf>
    <xf numFmtId="167" fontId="3" fillId="0" borderId="1" xfId="0" applyNumberFormat="1" applyFont="1" applyBorder="1" applyAlignment="1">
      <alignment horizontal="right" wrapText="1"/>
    </xf>
    <xf numFmtId="167" fontId="3" fillId="0" borderId="4" xfId="0" applyNumberFormat="1" applyFont="1" applyBorder="1" applyAlignment="1">
      <alignment horizontal="right" wrapText="1"/>
    </xf>
    <xf numFmtId="0" fontId="6" fillId="0" borderId="4" xfId="0" applyFont="1" applyBorder="1" applyAlignment="1">
      <alignment vertical="top" wrapText="1"/>
    </xf>
    <xf numFmtId="0" fontId="105" fillId="7" borderId="0" xfId="0" applyFont="1" applyFill="1"/>
    <xf numFmtId="0" fontId="105" fillId="7" borderId="0" xfId="0" applyFont="1" applyFill="1"/>
    <xf numFmtId="37" fontId="90" fillId="7" borderId="0" xfId="0" applyNumberFormat="1" applyFont="1" applyFill="1" applyAlignment="1">
      <alignment horizontal="right"/>
    </xf>
    <xf numFmtId="0" fontId="75" fillId="7" borderId="0" xfId="0" applyFont="1" applyFill="1"/>
    <xf numFmtId="1" fontId="4" fillId="0" borderId="6" xfId="0" applyNumberFormat="1" applyFont="1" applyBorder="1" applyAlignment="1">
      <alignment horizontal="center" vertical="top"/>
    </xf>
    <xf numFmtId="3" fontId="3" fillId="0" borderId="0" xfId="0" applyNumberFormat="1" applyFont="1" applyAlignment="1">
      <alignment horizontal="right"/>
    </xf>
    <xf numFmtId="0" fontId="3" fillId="0" borderId="0" xfId="0" applyFont="1" applyAlignment="1">
      <alignment horizontal="left" wrapText="1"/>
    </xf>
    <xf numFmtId="0" fontId="17" fillId="0" borderId="0" xfId="0" applyFont="1" applyAlignment="1">
      <alignment wrapText="1"/>
    </xf>
    <xf numFmtId="0" fontId="17" fillId="0" borderId="0" xfId="0" applyFont="1" applyAlignment="1">
      <alignment horizontal="left" wrapText="1" indent="1"/>
    </xf>
    <xf numFmtId="0" fontId="3" fillId="0" borderId="2" xfId="0" applyFont="1" applyBorder="1" applyAlignment="1">
      <alignment horizontal="left" wrapText="1"/>
    </xf>
    <xf numFmtId="37" fontId="104" fillId="0" borderId="0" xfId="0" applyNumberFormat="1" applyFont="1" applyAlignment="1">
      <alignment horizontal="right"/>
    </xf>
    <xf numFmtId="37" fontId="81" fillId="0" borderId="0" xfId="0" applyNumberFormat="1" applyFont="1" applyAlignment="1">
      <alignment horizontal="right"/>
    </xf>
    <xf numFmtId="37" fontId="104" fillId="0" borderId="0" xfId="0" applyNumberFormat="1" applyFont="1"/>
    <xf numFmtId="0" fontId="81" fillId="0" borderId="0" xfId="0" applyFont="1" applyProtection="1">
      <protection locked="0"/>
    </xf>
    <xf numFmtId="0" fontId="90" fillId="7" borderId="0" xfId="0" applyFont="1" applyFill="1" applyProtection="1">
      <protection locked="0"/>
    </xf>
    <xf numFmtId="0" fontId="91" fillId="0" borderId="0" xfId="0" applyFont="1" applyProtection="1">
      <protection locked="0"/>
    </xf>
    <xf numFmtId="37" fontId="4" fillId="0" borderId="5" xfId="0" applyNumberFormat="1" applyFont="1" applyBorder="1" applyAlignment="1" applyProtection="1">
      <alignment horizontal="center" vertical="top"/>
      <protection locked="0"/>
    </xf>
    <xf numFmtId="1" fontId="4" fillId="0" borderId="6" xfId="0" quotePrefix="1" applyNumberFormat="1" applyFont="1" applyBorder="1" applyAlignment="1" applyProtection="1">
      <alignment horizontal="center"/>
      <protection locked="0"/>
    </xf>
    <xf numFmtId="0" fontId="1" fillId="0" borderId="0" xfId="0" applyFont="1" applyProtection="1">
      <protection locked="0"/>
    </xf>
    <xf numFmtId="1" fontId="4" fillId="0" borderId="6" xfId="0" applyNumberFormat="1" applyFont="1" applyBorder="1" applyAlignment="1" applyProtection="1">
      <alignment horizontal="center" vertical="top"/>
      <protection locked="0"/>
    </xf>
    <xf numFmtId="170" fontId="97" fillId="2" borderId="2" xfId="0" applyNumberFormat="1" applyFont="1" applyFill="1" applyBorder="1" applyAlignment="1">
      <alignment horizontal="right" wrapText="1"/>
    </xf>
    <xf numFmtId="37" fontId="99" fillId="8" borderId="0" xfId="0" applyNumberFormat="1" applyFont="1" applyFill="1" applyAlignment="1">
      <alignment horizontal="right" wrapText="1"/>
    </xf>
    <xf numFmtId="37" fontId="84" fillId="0" borderId="0" xfId="0" applyNumberFormat="1" applyFont="1" applyAlignment="1">
      <alignment horizontal="right" wrapText="1"/>
    </xf>
    <xf numFmtId="37" fontId="84" fillId="0" borderId="0" xfId="0" applyNumberFormat="1" applyFont="1" applyAlignment="1">
      <alignment horizontal="left"/>
    </xf>
    <xf numFmtId="167" fontId="4" fillId="0" borderId="2" xfId="1" applyNumberFormat="1" applyFont="1" applyBorder="1" applyAlignment="1">
      <alignment horizontal="right"/>
    </xf>
    <xf numFmtId="37" fontId="34" fillId="2" borderId="1" xfId="0" applyNumberFormat="1" applyFont="1" applyFill="1" applyBorder="1" applyAlignment="1">
      <alignment horizontal="left"/>
    </xf>
    <xf numFmtId="37" fontId="36" fillId="2" borderId="0" xfId="0" applyNumberFormat="1" applyFont="1" applyFill="1" applyAlignment="1">
      <alignment horizontal="center"/>
    </xf>
    <xf numFmtId="37" fontId="3" fillId="0" borderId="0" xfId="0" applyNumberFormat="1" applyFont="1" applyAlignment="1">
      <alignment horizontal="left" wrapText="1" indent="1"/>
    </xf>
    <xf numFmtId="37" fontId="35" fillId="0" borderId="0" xfId="0" applyNumberFormat="1" applyFont="1" applyAlignment="1">
      <alignment horizontal="left" wrapText="1"/>
    </xf>
    <xf numFmtId="167" fontId="3" fillId="0" borderId="12" xfId="0" applyNumberFormat="1" applyFont="1" applyBorder="1" applyAlignment="1">
      <alignment horizontal="right" wrapText="1"/>
    </xf>
    <xf numFmtId="37" fontId="3" fillId="0" borderId="12" xfId="0" applyNumberFormat="1" applyFont="1" applyBorder="1" applyAlignment="1">
      <alignment horizontal="left" wrapText="1"/>
    </xf>
    <xf numFmtId="167" fontId="3" fillId="0" borderId="13" xfId="0" applyNumberFormat="1" applyFont="1" applyBorder="1" applyAlignment="1">
      <alignment horizontal="right" wrapText="1"/>
    </xf>
    <xf numFmtId="37" fontId="3" fillId="0" borderId="13" xfId="0" applyNumberFormat="1" applyFont="1" applyBorder="1" applyAlignment="1">
      <alignment horizontal="left" wrapText="1"/>
    </xf>
    <xf numFmtId="37" fontId="99" fillId="0" borderId="0" xfId="0" applyNumberFormat="1" applyFont="1" applyAlignment="1">
      <alignment horizontal="right" wrapText="1"/>
    </xf>
    <xf numFmtId="3" fontId="3" fillId="0" borderId="7" xfId="0" applyNumberFormat="1" applyFont="1" applyBorder="1" applyAlignment="1">
      <alignment horizontal="right" wrapText="1"/>
    </xf>
    <xf numFmtId="37" fontId="3" fillId="0" borderId="7" xfId="0" applyNumberFormat="1" applyFont="1" applyBorder="1" applyAlignment="1">
      <alignment horizontal="right" wrapText="1"/>
    </xf>
    <xf numFmtId="37" fontId="17" fillId="0" borderId="0" xfId="0" applyNumberFormat="1" applyFont="1" applyAlignment="1">
      <alignment horizontal="left" wrapText="1" indent="1"/>
    </xf>
    <xf numFmtId="37" fontId="17" fillId="0" borderId="0" xfId="0" applyNumberFormat="1" applyFont="1" applyAlignment="1">
      <alignment wrapText="1"/>
    </xf>
    <xf numFmtId="3" fontId="17" fillId="0" borderId="10" xfId="0" applyNumberFormat="1" applyFont="1" applyBorder="1" applyAlignment="1">
      <alignment horizontal="right" wrapText="1"/>
    </xf>
    <xf numFmtId="37" fontId="38" fillId="0" borderId="0" xfId="0" applyNumberFormat="1" applyFont="1" applyAlignment="1">
      <alignment horizontal="left" wrapText="1"/>
    </xf>
    <xf numFmtId="3" fontId="3" fillId="0" borderId="0" xfId="0" applyNumberFormat="1" applyFont="1" applyAlignment="1">
      <alignment horizontal="right" wrapText="1"/>
    </xf>
    <xf numFmtId="39" fontId="3" fillId="0" borderId="0" xfId="0" applyNumberFormat="1" applyFont="1" applyAlignment="1">
      <alignment horizontal="left" wrapText="1"/>
    </xf>
    <xf numFmtId="39" fontId="3" fillId="0" borderId="0" xfId="0" applyNumberFormat="1" applyFont="1" applyAlignment="1">
      <alignment wrapText="1"/>
    </xf>
    <xf numFmtId="39" fontId="35" fillId="0" borderId="0" xfId="0" applyNumberFormat="1" applyFont="1" applyAlignment="1">
      <alignment horizontal="left" wrapText="1"/>
    </xf>
    <xf numFmtId="165" fontId="3" fillId="0" borderId="0" xfId="0" applyNumberFormat="1" applyFont="1" applyAlignment="1">
      <alignment horizontal="left" wrapText="1"/>
    </xf>
    <xf numFmtId="165" fontId="3" fillId="0" borderId="0" xfId="0" applyNumberFormat="1" applyFont="1" applyAlignment="1">
      <alignment horizontal="right" wrapText="1"/>
    </xf>
    <xf numFmtId="165" fontId="35" fillId="0" borderId="0" xfId="0" applyNumberFormat="1" applyFont="1" applyAlignment="1">
      <alignment horizontal="left" wrapText="1"/>
    </xf>
    <xf numFmtId="172" fontId="3" fillId="0" borderId="0" xfId="0" applyNumberFormat="1" applyFont="1" applyAlignment="1">
      <alignment horizontal="right" wrapText="1"/>
    </xf>
    <xf numFmtId="39" fontId="3" fillId="0" borderId="0" xfId="0" quotePrefix="1" applyNumberFormat="1" applyFont="1" applyAlignment="1">
      <alignment horizontal="left"/>
    </xf>
    <xf numFmtId="0" fontId="0" fillId="0" borderId="0" xfId="0" applyAlignment="1">
      <alignment horizontal="left"/>
    </xf>
    <xf numFmtId="165" fontId="1" fillId="0" borderId="0" xfId="0" applyNumberFormat="1" applyFont="1" applyAlignment="1">
      <alignment horizontal="right" wrapText="1"/>
    </xf>
    <xf numFmtId="0" fontId="1" fillId="0" borderId="0" xfId="0" applyFont="1" applyAlignment="1">
      <alignment horizontal="left" vertical="top" wrapText="1"/>
    </xf>
    <xf numFmtId="37" fontId="0" fillId="0" borderId="0" xfId="0" applyNumberFormat="1"/>
    <xf numFmtId="0" fontId="35" fillId="0" borderId="0" xfId="0" applyFont="1" applyAlignment="1">
      <alignment horizontal="left"/>
    </xf>
    <xf numFmtId="164" fontId="3" fillId="0" borderId="0" xfId="1" applyFont="1" applyFill="1" applyAlignment="1" applyProtection="1">
      <alignment horizontal="left"/>
      <protection locked="0"/>
    </xf>
    <xf numFmtId="164" fontId="3" fillId="0" borderId="0" xfId="1" applyFont="1" applyFill="1" applyBorder="1" applyAlignment="1" applyProtection="1">
      <alignment horizontal="left"/>
      <protection locked="0"/>
    </xf>
    <xf numFmtId="10" fontId="3" fillId="0" borderId="0" xfId="0" applyNumberFormat="1" applyFont="1" applyAlignment="1">
      <alignment horizontal="left"/>
    </xf>
    <xf numFmtId="166" fontId="3" fillId="0" borderId="0" xfId="1" applyNumberFormat="1" applyFont="1" applyFill="1" applyBorder="1" applyAlignment="1" applyProtection="1">
      <alignment horizontal="right"/>
    </xf>
    <xf numFmtId="37" fontId="9" fillId="2" borderId="0" xfId="0" applyNumberFormat="1" applyFont="1" applyFill="1" applyAlignment="1">
      <alignment horizontal="left"/>
    </xf>
    <xf numFmtId="166" fontId="3" fillId="0" borderId="0" xfId="1" applyNumberFormat="1" applyFont="1" applyBorder="1" applyAlignment="1" applyProtection="1">
      <alignment horizontal="right"/>
    </xf>
    <xf numFmtId="0" fontId="32" fillId="3" borderId="0" xfId="4" applyFont="1" applyFill="1" applyAlignment="1" applyProtection="1">
      <alignment horizontal="left"/>
    </xf>
    <xf numFmtId="37" fontId="12" fillId="2" borderId="0" xfId="4" applyNumberFormat="1" applyFont="1" applyFill="1" applyBorder="1" applyAlignment="1" applyProtection="1">
      <alignment horizontal="left"/>
    </xf>
    <xf numFmtId="37" fontId="12" fillId="2" borderId="2" xfId="4" applyNumberFormat="1" applyFont="1" applyFill="1" applyBorder="1" applyAlignment="1" applyProtection="1">
      <alignment horizontal="left"/>
    </xf>
    <xf numFmtId="0" fontId="3" fillId="0" borderId="0" xfId="0" applyFont="1" applyAlignment="1">
      <alignment horizontal="left" vertical="top" wrapText="1"/>
    </xf>
    <xf numFmtId="37" fontId="12" fillId="7" borderId="0" xfId="4" applyNumberFormat="1" applyFont="1" applyFill="1" applyBorder="1" applyAlignment="1" applyProtection="1">
      <alignment horizontal="left"/>
    </xf>
    <xf numFmtId="37" fontId="111" fillId="2" borderId="0" xfId="4" applyNumberFormat="1" applyFont="1" applyFill="1" applyBorder="1" applyAlignment="1" applyProtection="1">
      <alignment horizontal="left"/>
    </xf>
    <xf numFmtId="0" fontId="6" fillId="0" borderId="5" xfId="0" applyFont="1" applyBorder="1" applyAlignment="1">
      <alignment horizontal="left" wrapText="1" indent="1"/>
    </xf>
    <xf numFmtId="0" fontId="6" fillId="0" borderId="6" xfId="0" applyFont="1" applyBorder="1" applyAlignment="1">
      <alignment horizontal="left" wrapText="1" indent="1"/>
    </xf>
  </cellXfs>
  <cellStyles count="8">
    <cellStyle name="Comma" xfId="1" builtinId="3"/>
    <cellStyle name="Comma 2" xfId="2" xr:uid="{3597F6D4-2919-48C8-87D8-5897C3EFF14C}"/>
    <cellStyle name="Comma 2 2" xfId="3" xr:uid="{E5D65110-E068-40A2-9119-25BB48EE2988}"/>
    <cellStyle name="Hyperlink" xfId="4" builtinId="8"/>
    <cellStyle name="Normal" xfId="0" builtinId="0"/>
    <cellStyle name="Normal 2" xfId="5" xr:uid="{C15A3580-4E6D-473C-A53C-73E1DB62BAF8}"/>
    <cellStyle name="Percent" xfId="6" builtinId="5"/>
    <cellStyle name="Percent 2" xfId="7" xr:uid="{AB075B3C-98DF-420F-A8A4-05E6267677E9}"/>
  </cellStyles>
  <dxfs count="0"/>
  <tableStyles count="1" defaultTableStyle="TableStyleMedium9" defaultPivotStyle="PivotStyleLight16">
    <tableStyle name="Invisible" pivot="0" table="0" count="0" xr9:uid="{6CA48366-024B-4CFC-AC76-BB5030877031}"/>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BE050A"/>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BE050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FF3F-4831-40B3-838F-DCCA73DB551C}">
  <sheetPr>
    <tabColor indexed="25"/>
    <pageSetUpPr fitToPage="1"/>
  </sheetPr>
  <dimension ref="A1:M59"/>
  <sheetViews>
    <sheetView tabSelected="1" zoomScale="85" zoomScaleNormal="85" workbookViewId="0">
      <pane ySplit="2" topLeftCell="A3" activePane="bottomLeft" state="frozen"/>
      <selection activeCell="AP36" sqref="AP36"/>
      <selection pane="bottomLeft" activeCell="C33" sqref="C33"/>
    </sheetView>
  </sheetViews>
  <sheetFormatPr defaultColWidth="9.42578125" defaultRowHeight="12.75" x14ac:dyDescent="0.2"/>
  <cols>
    <col min="1" max="1" width="15.42578125" style="12" customWidth="1"/>
    <col min="2" max="2" width="3.42578125" style="18" customWidth="1"/>
    <col min="3" max="3" width="68.42578125" style="12" customWidth="1"/>
    <col min="4" max="10" width="5.42578125" style="12" customWidth="1"/>
    <col min="11" max="12" width="8.42578125" style="12" customWidth="1"/>
    <col min="13" max="16384" width="9.42578125" style="12"/>
  </cols>
  <sheetData>
    <row r="1" spans="1:13" ht="20.25" x14ac:dyDescent="0.3">
      <c r="A1" s="38"/>
      <c r="B1" s="13" t="s">
        <v>0</v>
      </c>
      <c r="C1" s="38"/>
      <c r="D1" s="38"/>
      <c r="E1" s="38"/>
      <c r="F1" s="38"/>
      <c r="G1" s="38"/>
      <c r="H1" s="38"/>
      <c r="I1" s="38"/>
      <c r="J1" s="38"/>
      <c r="K1" s="38"/>
      <c r="L1" s="38"/>
      <c r="M1" s="38"/>
    </row>
    <row r="2" spans="1:13" ht="20.25" x14ac:dyDescent="0.3">
      <c r="A2" s="38"/>
      <c r="B2" s="14" t="s">
        <v>379</v>
      </c>
      <c r="C2" s="38"/>
      <c r="D2" s="38"/>
      <c r="E2" s="38"/>
      <c r="F2" s="38"/>
      <c r="G2" s="38"/>
      <c r="H2" s="38"/>
      <c r="I2" s="38"/>
      <c r="J2" s="38"/>
      <c r="K2" s="38"/>
      <c r="L2" s="38"/>
      <c r="M2" s="38"/>
    </row>
    <row r="3" spans="1:13" s="15" customFormat="1" ht="15" x14ac:dyDescent="0.25">
      <c r="A3" s="39"/>
      <c r="B3" s="40"/>
      <c r="C3" s="39"/>
      <c r="D3" s="39"/>
      <c r="E3" s="39"/>
      <c r="F3" s="39"/>
      <c r="G3" s="39"/>
      <c r="H3" s="39"/>
      <c r="I3" s="39"/>
      <c r="J3" s="39"/>
      <c r="K3" s="39"/>
      <c r="L3" s="39"/>
      <c r="M3" s="39"/>
    </row>
    <row r="4" spans="1:13" s="15" customFormat="1" ht="15" x14ac:dyDescent="0.25">
      <c r="A4" s="39"/>
      <c r="B4" s="40"/>
      <c r="C4" s="39"/>
      <c r="D4" s="39"/>
      <c r="E4" s="39"/>
      <c r="F4" s="39"/>
      <c r="G4" s="39"/>
      <c r="H4" s="39"/>
      <c r="I4" s="39"/>
      <c r="J4" s="39"/>
      <c r="K4" s="41" t="s">
        <v>1</v>
      </c>
      <c r="L4" s="39"/>
      <c r="M4" s="39"/>
    </row>
    <row r="5" spans="1:13" s="15" customFormat="1" ht="14.25" x14ac:dyDescent="0.2">
      <c r="A5" s="39"/>
      <c r="B5" s="780" t="s">
        <v>2</v>
      </c>
      <c r="C5" s="780"/>
      <c r="D5" s="780"/>
      <c r="E5" s="780"/>
      <c r="F5" s="780"/>
      <c r="G5" s="780"/>
      <c r="H5" s="780"/>
      <c r="I5" s="780"/>
      <c r="J5" s="780"/>
      <c r="K5" s="16">
        <v>1</v>
      </c>
      <c r="L5" s="42"/>
      <c r="M5" s="42"/>
    </row>
    <row r="6" spans="1:13" s="15" customFormat="1" ht="14.25" x14ac:dyDescent="0.2">
      <c r="A6" s="39"/>
      <c r="B6" s="780" t="s">
        <v>3</v>
      </c>
      <c r="C6" s="780"/>
      <c r="D6" s="780"/>
      <c r="E6" s="780"/>
      <c r="F6" s="780"/>
      <c r="G6" s="780"/>
      <c r="H6" s="780"/>
      <c r="I6" s="780"/>
      <c r="J6" s="780"/>
      <c r="K6" s="16">
        <v>2</v>
      </c>
      <c r="L6" s="42"/>
      <c r="M6" s="42"/>
    </row>
    <row r="7" spans="1:13" s="15" customFormat="1" ht="11.25" customHeight="1" x14ac:dyDescent="0.25">
      <c r="A7" s="39"/>
      <c r="B7" s="43"/>
      <c r="C7" s="42"/>
      <c r="D7" s="42"/>
      <c r="E7" s="42"/>
      <c r="F7" s="42"/>
      <c r="G7" s="42"/>
      <c r="H7" s="42"/>
      <c r="I7" s="42"/>
      <c r="J7" s="42"/>
      <c r="K7" s="42"/>
      <c r="L7" s="42"/>
      <c r="M7" s="42"/>
    </row>
    <row r="8" spans="1:13" s="15" customFormat="1" ht="15" x14ac:dyDescent="0.25">
      <c r="A8" s="39"/>
      <c r="B8" s="44" t="s">
        <v>4</v>
      </c>
      <c r="C8" s="39"/>
      <c r="D8" s="39"/>
      <c r="E8" s="39"/>
      <c r="F8" s="39"/>
      <c r="G8" s="39"/>
      <c r="H8" s="39"/>
      <c r="I8" s="39"/>
      <c r="J8" s="39"/>
      <c r="K8" s="39"/>
      <c r="L8" s="39"/>
      <c r="M8" s="39"/>
    </row>
    <row r="9" spans="1:13" s="15" customFormat="1" ht="15" x14ac:dyDescent="0.2">
      <c r="A9" s="17"/>
      <c r="B9" s="39"/>
      <c r="C9" s="16" t="s">
        <v>5</v>
      </c>
      <c r="D9" s="39"/>
      <c r="E9" s="39"/>
      <c r="F9" s="39"/>
      <c r="G9" s="39"/>
      <c r="H9" s="39"/>
      <c r="I9" s="39"/>
      <c r="J9" s="39"/>
      <c r="K9" s="16">
        <v>3</v>
      </c>
      <c r="L9" s="39"/>
      <c r="M9" s="39"/>
    </row>
    <row r="10" spans="1:13" s="15" customFormat="1" ht="14.25" x14ac:dyDescent="0.2">
      <c r="A10" s="39"/>
      <c r="B10" s="39"/>
      <c r="C10" s="16" t="s">
        <v>6</v>
      </c>
      <c r="D10" s="39"/>
      <c r="E10" s="39"/>
      <c r="F10" s="39"/>
      <c r="G10" s="39"/>
      <c r="H10" s="39"/>
      <c r="I10" s="39"/>
      <c r="J10" s="39"/>
      <c r="K10" s="16">
        <v>4</v>
      </c>
      <c r="L10" s="39"/>
      <c r="M10" s="39"/>
    </row>
    <row r="11" spans="1:13" s="15" customFormat="1" ht="14.25" x14ac:dyDescent="0.2">
      <c r="A11" s="39"/>
      <c r="B11" s="39"/>
      <c r="C11" s="16" t="s">
        <v>7</v>
      </c>
      <c r="D11" s="39"/>
      <c r="E11" s="39"/>
      <c r="F11" s="39"/>
      <c r="G11" s="39"/>
      <c r="H11" s="39"/>
      <c r="I11" s="39"/>
      <c r="J11" s="39"/>
      <c r="K11" s="16">
        <v>5</v>
      </c>
      <c r="L11" s="39"/>
      <c r="M11" s="39"/>
    </row>
    <row r="12" spans="1:13" s="15" customFormat="1" ht="14.25" x14ac:dyDescent="0.2">
      <c r="A12" s="39"/>
      <c r="B12" s="39"/>
      <c r="C12" s="16" t="s">
        <v>8</v>
      </c>
      <c r="D12" s="39"/>
      <c r="E12" s="39"/>
      <c r="F12" s="39"/>
      <c r="G12" s="39"/>
      <c r="H12" s="39"/>
      <c r="I12" s="39"/>
      <c r="J12" s="39"/>
      <c r="K12" s="16">
        <v>6</v>
      </c>
      <c r="L12" s="39"/>
      <c r="M12" s="39"/>
    </row>
    <row r="13" spans="1:13" s="15" customFormat="1" ht="14.25" x14ac:dyDescent="0.2">
      <c r="A13" s="39"/>
      <c r="B13" s="39"/>
      <c r="C13" s="16" t="s">
        <v>9</v>
      </c>
      <c r="D13" s="39"/>
      <c r="E13" s="39"/>
      <c r="F13" s="39"/>
      <c r="G13" s="39"/>
      <c r="H13" s="39"/>
      <c r="I13" s="39"/>
      <c r="J13" s="39"/>
      <c r="K13" s="16">
        <v>7</v>
      </c>
      <c r="L13" s="39"/>
      <c r="M13" s="39"/>
    </row>
    <row r="14" spans="1:13" s="39" customFormat="1" ht="14.25" x14ac:dyDescent="0.2">
      <c r="C14" s="16" t="s">
        <v>10</v>
      </c>
      <c r="K14" s="16">
        <v>8</v>
      </c>
    </row>
    <row r="15" spans="1:13" s="15" customFormat="1" ht="14.25" x14ac:dyDescent="0.2">
      <c r="A15" s="39"/>
      <c r="B15" s="39"/>
      <c r="C15" s="16" t="s">
        <v>11</v>
      </c>
      <c r="D15" s="39"/>
      <c r="E15" s="39"/>
      <c r="F15" s="39"/>
      <c r="G15" s="39"/>
      <c r="H15" s="39"/>
      <c r="I15" s="39"/>
      <c r="J15" s="39"/>
      <c r="K15" s="16">
        <v>9</v>
      </c>
      <c r="L15" s="39"/>
      <c r="M15" s="39"/>
    </row>
    <row r="16" spans="1:13" s="15" customFormat="1" ht="14.25" x14ac:dyDescent="0.2">
      <c r="A16" s="39"/>
      <c r="B16" s="39"/>
      <c r="C16" s="16" t="s">
        <v>12</v>
      </c>
      <c r="D16" s="39"/>
      <c r="E16" s="39"/>
      <c r="F16" s="39"/>
      <c r="G16" s="39"/>
      <c r="H16" s="39"/>
      <c r="I16" s="39"/>
      <c r="J16" s="39"/>
      <c r="K16" s="71">
        <v>10</v>
      </c>
      <c r="L16" s="39"/>
      <c r="M16" s="39"/>
    </row>
    <row r="17" spans="2:11" s="15" customFormat="1" ht="14.25" x14ac:dyDescent="0.2">
      <c r="B17" s="39"/>
      <c r="C17" s="16" t="s">
        <v>13</v>
      </c>
      <c r="D17" s="39"/>
      <c r="E17" s="39"/>
      <c r="F17" s="39"/>
      <c r="G17" s="39"/>
      <c r="H17" s="39"/>
      <c r="I17" s="39"/>
      <c r="J17" s="39"/>
      <c r="K17" s="71">
        <v>11</v>
      </c>
    </row>
    <row r="18" spans="2:11" s="15" customFormat="1" ht="14.25" x14ac:dyDescent="0.2">
      <c r="B18" s="39"/>
      <c r="C18" s="16" t="s">
        <v>14</v>
      </c>
      <c r="D18" s="39"/>
      <c r="E18" s="39"/>
      <c r="F18" s="39"/>
      <c r="G18" s="39"/>
      <c r="H18" s="39"/>
      <c r="I18" s="39"/>
      <c r="J18" s="39"/>
      <c r="K18" s="71">
        <v>12</v>
      </c>
    </row>
    <row r="19" spans="2:11" s="15" customFormat="1" ht="14.25" x14ac:dyDescent="0.2">
      <c r="B19" s="39"/>
      <c r="C19" s="16" t="s">
        <v>15</v>
      </c>
      <c r="D19" s="39"/>
      <c r="E19" s="39"/>
      <c r="F19" s="39"/>
      <c r="G19" s="39"/>
      <c r="H19" s="39"/>
      <c r="I19" s="39"/>
      <c r="J19" s="39"/>
      <c r="K19" s="71">
        <v>13</v>
      </c>
    </row>
    <row r="20" spans="2:11" s="15" customFormat="1" ht="14.25" x14ac:dyDescent="0.2">
      <c r="B20" s="39"/>
      <c r="C20" s="16" t="s">
        <v>16</v>
      </c>
      <c r="D20" s="39"/>
      <c r="E20" s="39"/>
      <c r="F20" s="39"/>
      <c r="G20" s="39"/>
      <c r="H20" s="39"/>
      <c r="I20" s="39"/>
      <c r="J20" s="39"/>
      <c r="K20" s="71">
        <v>14</v>
      </c>
    </row>
    <row r="21" spans="2:11" s="15" customFormat="1" ht="14.25" x14ac:dyDescent="0.2">
      <c r="B21" s="39"/>
      <c r="C21" s="39"/>
      <c r="D21" s="39"/>
      <c r="E21" s="39"/>
      <c r="F21" s="39"/>
      <c r="G21" s="39"/>
      <c r="H21" s="39"/>
      <c r="I21" s="39"/>
      <c r="J21" s="39"/>
      <c r="K21" s="39"/>
    </row>
    <row r="22" spans="2:11" s="15" customFormat="1" ht="15" x14ac:dyDescent="0.25">
      <c r="B22" s="45" t="s">
        <v>17</v>
      </c>
      <c r="C22" s="39"/>
      <c r="D22" s="39"/>
      <c r="E22" s="39"/>
      <c r="F22" s="39"/>
      <c r="G22" s="39"/>
      <c r="H22" s="39"/>
      <c r="I22" s="39"/>
      <c r="J22" s="39"/>
      <c r="K22" s="39"/>
    </row>
    <row r="23" spans="2:11" s="15" customFormat="1" ht="15" x14ac:dyDescent="0.25">
      <c r="B23" s="45"/>
      <c r="C23" s="16" t="s">
        <v>18</v>
      </c>
      <c r="D23" s="39"/>
      <c r="E23" s="39"/>
      <c r="F23" s="39"/>
      <c r="G23" s="39"/>
      <c r="H23" s="39"/>
      <c r="I23" s="39"/>
      <c r="J23" s="39"/>
      <c r="K23" s="71">
        <v>15</v>
      </c>
    </row>
    <row r="24" spans="2:11" s="15" customFormat="1" ht="14.25" x14ac:dyDescent="0.2">
      <c r="B24" s="39"/>
      <c r="C24" s="46" t="s">
        <v>19</v>
      </c>
      <c r="D24" s="39"/>
      <c r="E24" s="39"/>
      <c r="F24" s="39"/>
      <c r="G24" s="39"/>
      <c r="H24" s="39"/>
      <c r="I24" s="39"/>
      <c r="J24" s="39"/>
      <c r="K24" s="39"/>
    </row>
    <row r="25" spans="2:11" s="15" customFormat="1" ht="15" x14ac:dyDescent="0.25">
      <c r="B25" s="45"/>
      <c r="C25" s="16" t="s">
        <v>20</v>
      </c>
      <c r="D25" s="39"/>
      <c r="E25" s="39"/>
      <c r="F25" s="39"/>
      <c r="G25" s="39"/>
      <c r="H25" s="39"/>
      <c r="I25" s="39"/>
      <c r="J25" s="39"/>
      <c r="K25" s="71">
        <v>16</v>
      </c>
    </row>
    <row r="26" spans="2:11" s="15" customFormat="1" ht="15" x14ac:dyDescent="0.25">
      <c r="B26" s="45"/>
      <c r="C26" s="16" t="s">
        <v>21</v>
      </c>
      <c r="D26" s="39"/>
      <c r="E26" s="39"/>
      <c r="F26" s="39"/>
      <c r="G26" s="39"/>
      <c r="H26" s="39"/>
      <c r="I26" s="39"/>
      <c r="J26" s="39"/>
      <c r="K26" s="71">
        <v>17</v>
      </c>
    </row>
    <row r="27" spans="2:11" s="39" customFormat="1" ht="15" x14ac:dyDescent="0.25">
      <c r="B27" s="45"/>
      <c r="C27" s="16" t="s">
        <v>22</v>
      </c>
      <c r="K27" s="71">
        <v>18</v>
      </c>
    </row>
    <row r="28" spans="2:11" s="15" customFormat="1" ht="15" x14ac:dyDescent="0.25">
      <c r="B28" s="45"/>
      <c r="C28" s="16" t="s">
        <v>23</v>
      </c>
      <c r="D28" s="39"/>
      <c r="E28" s="39"/>
      <c r="F28" s="39"/>
      <c r="G28" s="39"/>
      <c r="H28" s="39"/>
      <c r="I28" s="39"/>
      <c r="J28" s="39"/>
      <c r="K28" s="71">
        <v>19</v>
      </c>
    </row>
    <row r="29" spans="2:11" s="15" customFormat="1" ht="15" x14ac:dyDescent="0.25">
      <c r="B29" s="45"/>
      <c r="C29" s="46" t="s">
        <v>24</v>
      </c>
      <c r="D29" s="39"/>
      <c r="E29" s="39"/>
      <c r="F29" s="39"/>
      <c r="G29" s="39"/>
      <c r="H29" s="39"/>
      <c r="I29" s="39"/>
      <c r="J29" s="39"/>
      <c r="K29" s="39"/>
    </row>
    <row r="30" spans="2:11" s="15" customFormat="1" ht="15" x14ac:dyDescent="0.25">
      <c r="B30" s="45"/>
      <c r="C30" s="16" t="s">
        <v>25</v>
      </c>
      <c r="D30" s="39"/>
      <c r="E30" s="39"/>
      <c r="F30" s="39"/>
      <c r="G30" s="39"/>
      <c r="H30" s="39"/>
      <c r="I30" s="39"/>
      <c r="J30" s="39"/>
      <c r="K30" s="71">
        <v>20</v>
      </c>
    </row>
    <row r="31" spans="2:11" s="15" customFormat="1" ht="15" x14ac:dyDescent="0.25">
      <c r="B31" s="45"/>
      <c r="C31" s="16" t="s">
        <v>26</v>
      </c>
      <c r="D31" s="39"/>
      <c r="E31" s="39"/>
      <c r="F31" s="39"/>
      <c r="G31" s="39"/>
      <c r="H31" s="39"/>
      <c r="I31" s="39"/>
      <c r="J31" s="39"/>
      <c r="K31" s="71">
        <v>21</v>
      </c>
    </row>
    <row r="32" spans="2:11" s="15" customFormat="1" ht="15" x14ac:dyDescent="0.25">
      <c r="B32" s="45"/>
      <c r="C32" s="16" t="s">
        <v>27</v>
      </c>
      <c r="D32" s="39"/>
      <c r="E32" s="39"/>
      <c r="F32" s="39"/>
      <c r="G32" s="39"/>
      <c r="H32" s="39"/>
      <c r="I32" s="39"/>
      <c r="J32" s="39"/>
      <c r="K32" s="71">
        <v>22</v>
      </c>
    </row>
    <row r="33" spans="1:11" s="15" customFormat="1" ht="15" x14ac:dyDescent="0.25">
      <c r="A33" s="39"/>
      <c r="B33" s="45"/>
      <c r="C33" s="16" t="s">
        <v>28</v>
      </c>
      <c r="D33" s="39"/>
      <c r="E33" s="39"/>
      <c r="F33" s="39"/>
      <c r="G33" s="39"/>
      <c r="H33" s="39"/>
      <c r="I33" s="39"/>
      <c r="J33" s="39"/>
      <c r="K33" s="71">
        <v>23</v>
      </c>
    </row>
    <row r="34" spans="1:11" s="15" customFormat="1" ht="15" x14ac:dyDescent="0.25">
      <c r="A34" s="39"/>
      <c r="B34" s="45"/>
      <c r="C34" s="16" t="s">
        <v>29</v>
      </c>
      <c r="D34" s="39"/>
      <c r="E34" s="39"/>
      <c r="F34" s="39"/>
      <c r="G34" s="39"/>
      <c r="H34" s="39"/>
      <c r="I34" s="39"/>
      <c r="J34" s="39"/>
      <c r="K34" s="71">
        <v>24</v>
      </c>
    </row>
    <row r="35" spans="1:11" s="15" customFormat="1" ht="15" x14ac:dyDescent="0.25">
      <c r="A35" s="39"/>
      <c r="B35" s="45"/>
      <c r="C35" s="39"/>
      <c r="D35" s="39"/>
      <c r="E35" s="39"/>
      <c r="F35" s="39"/>
      <c r="G35" s="39"/>
      <c r="H35" s="39"/>
      <c r="I35" s="39"/>
      <c r="J35" s="39"/>
      <c r="K35" s="39"/>
    </row>
    <row r="36" spans="1:11" s="15" customFormat="1" ht="14.25" x14ac:dyDescent="0.2">
      <c r="A36" s="39"/>
      <c r="B36" s="780" t="s">
        <v>378</v>
      </c>
      <c r="C36" s="780"/>
      <c r="D36" s="780"/>
      <c r="E36" s="780"/>
      <c r="F36" s="780"/>
      <c r="G36" s="780"/>
      <c r="H36" s="780"/>
      <c r="I36" s="780"/>
      <c r="J36" s="780"/>
      <c r="K36" s="71">
        <v>25</v>
      </c>
    </row>
    <row r="37" spans="1:11" s="15" customFormat="1" ht="15" x14ac:dyDescent="0.2">
      <c r="A37" s="17"/>
      <c r="B37" s="780" t="s">
        <v>30</v>
      </c>
      <c r="C37" s="780"/>
      <c r="D37" s="780"/>
      <c r="E37" s="780"/>
      <c r="F37" s="780"/>
      <c r="G37" s="780"/>
      <c r="H37" s="780"/>
      <c r="I37" s="780"/>
      <c r="J37" s="780"/>
      <c r="K37" s="71">
        <v>26</v>
      </c>
    </row>
    <row r="38" spans="1:11" s="15" customFormat="1" ht="14.25" x14ac:dyDescent="0.2">
      <c r="A38" s="39"/>
      <c r="B38" s="780" t="s">
        <v>31</v>
      </c>
      <c r="C38" s="780"/>
      <c r="D38" s="780"/>
      <c r="E38" s="780"/>
      <c r="F38" s="780"/>
      <c r="G38" s="780"/>
      <c r="H38" s="780"/>
      <c r="I38" s="780"/>
      <c r="J38" s="780"/>
      <c r="K38" s="71">
        <v>27</v>
      </c>
    </row>
    <row r="39" spans="1:11" s="15" customFormat="1" ht="14.25" x14ac:dyDescent="0.2">
      <c r="A39" s="39"/>
      <c r="B39" s="780" t="s">
        <v>32</v>
      </c>
      <c r="C39" s="780"/>
      <c r="D39" s="780"/>
      <c r="E39" s="780"/>
      <c r="F39" s="780"/>
      <c r="G39" s="780"/>
      <c r="H39" s="780"/>
      <c r="I39" s="780"/>
      <c r="J39" s="780"/>
      <c r="K39" s="71">
        <v>28</v>
      </c>
    </row>
    <row r="40" spans="1:11" s="15" customFormat="1" ht="14.25" x14ac:dyDescent="0.2">
      <c r="A40" s="39"/>
      <c r="B40" s="39"/>
      <c r="C40" s="39"/>
      <c r="D40" s="39"/>
      <c r="E40" s="39"/>
      <c r="F40" s="39"/>
      <c r="G40" s="39"/>
      <c r="H40" s="39"/>
      <c r="I40" s="39"/>
      <c r="J40" s="39"/>
      <c r="K40" s="39"/>
    </row>
    <row r="41" spans="1:11" s="15" customFormat="1" ht="14.25" x14ac:dyDescent="0.2">
      <c r="A41" s="39"/>
      <c r="B41" s="47"/>
      <c r="C41" s="39"/>
      <c r="D41" s="39"/>
      <c r="E41" s="39"/>
      <c r="F41" s="39"/>
      <c r="G41" s="39"/>
      <c r="H41" s="39"/>
      <c r="I41" s="39"/>
      <c r="J41" s="39"/>
      <c r="K41" s="39"/>
    </row>
    <row r="42" spans="1:11" s="15" customFormat="1" ht="14.25" x14ac:dyDescent="0.2">
      <c r="A42" s="39"/>
      <c r="B42" s="47"/>
      <c r="C42" s="39"/>
      <c r="D42" s="39"/>
      <c r="E42" s="39"/>
      <c r="F42" s="39"/>
      <c r="G42" s="39"/>
      <c r="H42" s="39"/>
      <c r="I42" s="39"/>
      <c r="J42" s="39"/>
      <c r="K42" s="39"/>
    </row>
    <row r="43" spans="1:11" s="15" customFormat="1" ht="14.25" x14ac:dyDescent="0.2">
      <c r="A43" s="39"/>
      <c r="B43" s="47"/>
      <c r="C43" s="39"/>
      <c r="D43" s="39"/>
      <c r="E43" s="39"/>
      <c r="F43" s="39"/>
      <c r="G43" s="39"/>
      <c r="H43" s="39"/>
      <c r="I43" s="39"/>
      <c r="J43" s="39"/>
      <c r="K43" s="39"/>
    </row>
    <row r="44" spans="1:11" s="15" customFormat="1" ht="14.25" x14ac:dyDescent="0.2">
      <c r="A44" s="39"/>
      <c r="B44" s="47"/>
      <c r="C44" s="39"/>
      <c r="D44" s="39"/>
      <c r="E44" s="39"/>
      <c r="F44" s="39"/>
      <c r="G44" s="39"/>
      <c r="H44" s="39"/>
      <c r="I44" s="39"/>
      <c r="J44" s="39"/>
      <c r="K44" s="39"/>
    </row>
    <row r="45" spans="1:11" s="15" customFormat="1" ht="14.25" x14ac:dyDescent="0.2">
      <c r="A45" s="39"/>
      <c r="B45" s="47"/>
      <c r="C45" s="39"/>
      <c r="D45" s="39"/>
      <c r="E45" s="39"/>
      <c r="F45" s="39"/>
      <c r="G45" s="39"/>
      <c r="H45" s="39"/>
      <c r="I45" s="39"/>
      <c r="J45" s="39"/>
      <c r="K45" s="39"/>
    </row>
    <row r="46" spans="1:11" s="15" customFormat="1" ht="14.25" x14ac:dyDescent="0.2">
      <c r="A46" s="39"/>
      <c r="B46" s="47"/>
      <c r="C46" s="39"/>
      <c r="D46" s="39"/>
      <c r="E46" s="39"/>
      <c r="F46" s="39"/>
      <c r="G46" s="39"/>
      <c r="H46" s="39"/>
      <c r="I46" s="39"/>
      <c r="J46" s="39"/>
      <c r="K46" s="39"/>
    </row>
    <row r="47" spans="1:11" s="15" customFormat="1" ht="14.25" x14ac:dyDescent="0.2">
      <c r="A47" s="39"/>
      <c r="B47" s="47"/>
      <c r="C47" s="39"/>
      <c r="D47" s="39"/>
      <c r="E47" s="39"/>
      <c r="F47" s="39"/>
      <c r="G47" s="39"/>
      <c r="H47" s="39"/>
      <c r="I47" s="39"/>
      <c r="J47" s="39"/>
      <c r="K47" s="39"/>
    </row>
    <row r="48" spans="1:11" s="15" customFormat="1" ht="14.25" x14ac:dyDescent="0.2">
      <c r="A48" s="39"/>
      <c r="B48" s="47"/>
      <c r="C48" s="39"/>
      <c r="D48" s="39"/>
      <c r="E48" s="39"/>
      <c r="F48" s="39"/>
      <c r="G48" s="39"/>
      <c r="H48" s="39"/>
      <c r="I48" s="39"/>
      <c r="J48" s="39"/>
      <c r="K48" s="39"/>
    </row>
    <row r="49" spans="2:11" s="15" customFormat="1" ht="14.25" x14ac:dyDescent="0.2">
      <c r="B49" s="47"/>
      <c r="C49" s="39"/>
      <c r="D49" s="39"/>
      <c r="E49" s="39"/>
      <c r="F49" s="39"/>
      <c r="G49" s="39"/>
      <c r="H49" s="39"/>
      <c r="I49" s="39"/>
      <c r="J49" s="39"/>
      <c r="K49" s="39"/>
    </row>
    <row r="50" spans="2:11" s="15" customFormat="1" ht="14.25" x14ac:dyDescent="0.2">
      <c r="B50" s="47"/>
      <c r="C50" s="39"/>
      <c r="D50" s="39"/>
      <c r="E50" s="39"/>
      <c r="F50" s="39"/>
      <c r="G50" s="39"/>
      <c r="H50" s="39"/>
      <c r="I50" s="39"/>
      <c r="J50" s="39"/>
      <c r="K50" s="39"/>
    </row>
    <row r="51" spans="2:11" s="15" customFormat="1" ht="14.25" x14ac:dyDescent="0.2">
      <c r="B51" s="47"/>
      <c r="C51" s="39"/>
      <c r="D51" s="39"/>
      <c r="E51" s="39"/>
      <c r="F51" s="39"/>
      <c r="G51" s="39"/>
      <c r="H51" s="39"/>
      <c r="I51" s="39"/>
      <c r="J51" s="39"/>
      <c r="K51" s="39"/>
    </row>
    <row r="52" spans="2:11" s="15" customFormat="1" ht="14.25" x14ac:dyDescent="0.2">
      <c r="B52" s="47"/>
      <c r="C52" s="39"/>
      <c r="D52" s="39"/>
      <c r="E52" s="39"/>
      <c r="F52" s="39"/>
      <c r="G52" s="39"/>
      <c r="H52" s="39"/>
      <c r="I52" s="39"/>
      <c r="J52" s="39"/>
      <c r="K52" s="39"/>
    </row>
    <row r="53" spans="2:11" s="15" customFormat="1" ht="14.25" x14ac:dyDescent="0.2">
      <c r="B53" s="47"/>
      <c r="C53" s="39"/>
      <c r="D53" s="39"/>
      <c r="E53" s="39"/>
      <c r="F53" s="39"/>
      <c r="G53" s="39"/>
      <c r="H53" s="39"/>
      <c r="I53" s="39"/>
      <c r="J53" s="39"/>
      <c r="K53" s="39"/>
    </row>
    <row r="54" spans="2:11" s="15" customFormat="1" ht="14.25" x14ac:dyDescent="0.2">
      <c r="B54" s="47"/>
      <c r="C54" s="39"/>
      <c r="D54" s="39"/>
      <c r="E54" s="39"/>
      <c r="F54" s="39"/>
      <c r="G54" s="39"/>
      <c r="H54" s="39"/>
      <c r="I54" s="39"/>
      <c r="J54" s="39"/>
      <c r="K54" s="39"/>
    </row>
    <row r="55" spans="2:11" s="15" customFormat="1" ht="14.25" x14ac:dyDescent="0.2">
      <c r="B55" s="47"/>
      <c r="C55" s="39"/>
      <c r="D55" s="39"/>
      <c r="E55" s="39"/>
      <c r="F55" s="39"/>
      <c r="G55" s="39"/>
      <c r="H55" s="39"/>
      <c r="I55" s="39"/>
      <c r="J55" s="39"/>
      <c r="K55" s="39"/>
    </row>
    <row r="56" spans="2:11" s="15" customFormat="1" ht="14.25" x14ac:dyDescent="0.2">
      <c r="B56" s="47"/>
      <c r="C56" s="39"/>
      <c r="D56" s="39"/>
      <c r="E56" s="39"/>
      <c r="F56" s="39"/>
      <c r="G56" s="39"/>
      <c r="H56" s="39"/>
      <c r="I56" s="39"/>
      <c r="J56" s="39"/>
      <c r="K56" s="39"/>
    </row>
    <row r="57" spans="2:11" s="15" customFormat="1" ht="14.25" x14ac:dyDescent="0.2">
      <c r="B57" s="47"/>
      <c r="C57" s="39"/>
      <c r="D57" s="39"/>
      <c r="E57" s="39"/>
      <c r="F57" s="39"/>
      <c r="G57" s="39"/>
      <c r="H57" s="39"/>
      <c r="I57" s="39"/>
      <c r="J57" s="39"/>
      <c r="K57" s="39"/>
    </row>
    <row r="58" spans="2:11" s="15" customFormat="1" ht="14.25" x14ac:dyDescent="0.2">
      <c r="B58" s="47"/>
      <c r="C58" s="39"/>
      <c r="D58" s="39"/>
      <c r="E58" s="39"/>
      <c r="F58" s="39"/>
      <c r="G58" s="39"/>
      <c r="H58" s="39"/>
      <c r="I58" s="39"/>
      <c r="J58" s="39"/>
      <c r="K58" s="39"/>
    </row>
    <row r="59" spans="2:11" s="15" customFormat="1" ht="14.25" x14ac:dyDescent="0.2">
      <c r="B59" s="47"/>
      <c r="C59" s="39"/>
      <c r="D59" s="39"/>
      <c r="E59" s="39"/>
      <c r="F59" s="39"/>
      <c r="G59" s="39"/>
      <c r="H59" s="39"/>
      <c r="I59" s="39"/>
      <c r="J59" s="39"/>
      <c r="K59" s="39"/>
    </row>
  </sheetData>
  <mergeCells count="6">
    <mergeCell ref="B38:J38"/>
    <mergeCell ref="B39:J39"/>
    <mergeCell ref="B5:J5"/>
    <mergeCell ref="B6:J6"/>
    <mergeCell ref="B36:J36"/>
    <mergeCell ref="B37:J37"/>
  </mergeCells>
  <phoneticPr fontId="2" type="noConversion"/>
  <hyperlinks>
    <hyperlink ref="B5" location="'1.Highlights'!A1" display="Performance highlights" xr:uid="{BD1D481A-FA22-4F86-8850-4C0CD0A99CE6}"/>
    <hyperlink ref="K5" location="'1.Highlights'!A1" display="'1.Highlights'!A1" xr:uid="{6F8CE7C8-DD93-45C5-A74E-7DEE0772B0A1}"/>
    <hyperlink ref="B6:J6" location="'2.PerShare'!A1" display="Ordinary share data" xr:uid="{F56A7331-D0AE-454A-A22F-757F2E03B321}"/>
    <hyperlink ref="K6" location="'2.PerShare'!A1" display="'2.PerShare'!A1" xr:uid="{C930FA9B-D7A0-4E09-9658-AB5BB440B419}"/>
    <hyperlink ref="C9" location="'3.NetInterest'!A1" display="Net interest income, average balances and rates" xr:uid="{C65DA562-7B77-43D6-BCB9-86255D1D14D8}"/>
    <hyperlink ref="C10" location="'4.NonInterest'!A1" display="Non-interest income" xr:uid="{F3C4BC8F-C4B4-4C6F-BCCC-BFD6EC5A0EBD}"/>
    <hyperlink ref="C11" location="'5.Expenses'!A1" display="Expenses" xr:uid="{A19A13A7-DDD3-42C0-AEF5-C913DE89E92E}"/>
    <hyperlink ref="C12" location="'6.Allowances'!A1" display="Allowances for credit and other losses" xr:uid="{8D89732E-C0C6-44F8-B227-457A85F924C3}"/>
    <hyperlink ref="C13" location="'7.Loans'!A1" display="Customer Loans" xr:uid="{DAD935DD-F54D-4742-98E9-3CCE490B0FF3}"/>
    <hyperlink ref="C14" location="'8.FVOCI'!A1" display="Assets at fair value through other comprehensive income (FVOCI)" xr:uid="{79396CF6-C502-4D19-A629-97BF1410BE3A}"/>
    <hyperlink ref="C15" location="'9.Deposits'!A1" display="Customer Deposits" xr:uid="{11C5BF97-0278-4C5A-B1F7-09A64C9FF0F9}"/>
    <hyperlink ref="C17" location="'11.NPL,Coverage ratios'!Print_Area" display="Non-performing loan and coverage ratios" xr:uid="{327370AC-89CE-48BB-9EE1-5A4C4DB3D569}"/>
    <hyperlink ref="C20" location="'14.Capital'!A1" display="Capital adequacy" xr:uid="{C192F7BC-7E83-4504-8287-3BA4EC5B2B5B}"/>
    <hyperlink ref="K9" location="'3.NetInterest'!A1" display="'3.NetInterest'!A1" xr:uid="{13601466-10BA-4020-9421-E4EB282EB679}"/>
    <hyperlink ref="K10" location="'4.NonInterest'!A1" display="'4.NonInterest'!A1" xr:uid="{DD3E2870-C894-4E35-8E7D-E461D5E639C4}"/>
    <hyperlink ref="K11" location="'5.Expenses'!A1" display="'5.Expenses'!A1" xr:uid="{D114C504-EECA-4D5E-B4D7-17E898421799}"/>
    <hyperlink ref="K12" location="'6.Allowances'!A1" display="'6.Allowances'!A1" xr:uid="{6A86E496-9C22-4250-B5DA-A5741A8FD747}"/>
    <hyperlink ref="K13" location="'7.Loans'!A1" display="'7.Loans'!A1" xr:uid="{1E1BEE0D-A578-4587-A463-FDC207963C2A}"/>
    <hyperlink ref="K14" location="'8.FVOCI'!A1" display="'8.FVOCI'!A1" xr:uid="{7D82DE0D-356A-4E5E-A81C-1F9C9F41ECB9}"/>
    <hyperlink ref="K15" location="'9.Deposits'!A1" display="'9.Deposits'!A1" xr:uid="{7E6FA049-DA9F-43EB-9871-34CDC3324C67}"/>
    <hyperlink ref="K17" location="'11.NPL,Coverage ratios'!A1" display="'11.NPL,Coverage ratios'!A1" xr:uid="{1F645EF5-5427-405A-8E8C-1040D0237763}"/>
    <hyperlink ref="K20" location="'14.Capital'!A1" display="'14.Capital'!A1" xr:uid="{D090E2B9-2364-4805-926D-2C1476430AD4}"/>
    <hyperlink ref="C23" location="'15.Mix'!Print_Area" display="Business and geographical mix" xr:uid="{32A95222-6290-4641-8463-0FB4EFF38229}"/>
    <hyperlink ref="K23" location="'15.Mix'!A1" display="'15.Mix'!A1" xr:uid="{25EB9D36-830D-49BE-B303-09357276C531}"/>
    <hyperlink ref="C18" location="'12.NPA'!Print_Area" display="Non-performing assets" xr:uid="{3A694031-F657-4C94-B0B4-32B7821A996C}"/>
    <hyperlink ref="K18" location="'12.NPA'!A1" display="'12.NPA'!A1" xr:uid="{EC8E6545-27C9-4183-8872-677EC108DD9A}"/>
    <hyperlink ref="C19" location="'13.CumulativeAllowances'!Print_Area" display="Cumulative loss allowances" xr:uid="{17387F81-9328-46FD-ADCB-1845B502E4BA}"/>
    <hyperlink ref="K19" location="'13.CumulativeAllowances'!A1" display="'13.CumulativeAllowances'!A1" xr:uid="{CE83765E-7C1D-4A61-95CB-67328BF1B970}"/>
    <hyperlink ref="C25" location="'16.Consumer'!Print_Area" display="Consumer Banking/ Wealth Management" xr:uid="{0960888D-3504-436B-B561-5B6749FDBCFB}"/>
    <hyperlink ref="K25" location="'16.Consumer'!A1" display="'16.Consumer'!A1" xr:uid="{9BCBA32F-ABBE-4350-8129-5EA56B89B022}"/>
    <hyperlink ref="C26" location="'17.Institutional'!Print_Area" display="Institutional Banking" xr:uid="{C4EDA595-9C7A-4575-B4A7-D4C1BDD8BD57}"/>
    <hyperlink ref="K26" location="'17.Institutional'!A1" display="'17.Institutional'!A1" xr:uid="{62F3876C-21FF-47A5-9854-F83D8B848773}"/>
    <hyperlink ref="C27" location="'18.Markets'!Print_Area" display="Markets Trading" xr:uid="{726FEF35-8FEF-4795-A169-3CAAD710F061}"/>
    <hyperlink ref="K27" location="'18.Markets'!A1" display="'18.Markets'!A1" xr:uid="{F1440423-E2FA-42DF-9574-5E69E9AE3611}"/>
    <hyperlink ref="C28" location="'19.Others'!Print_Area" display="Others" xr:uid="{AC84D003-790B-44FA-A1D7-79520C827CFA}"/>
    <hyperlink ref="K28" location="'19.Others'!A1" display="'19.Others'!A1" xr:uid="{FBF4E0C8-F132-4384-9540-4166E1506E36}"/>
    <hyperlink ref="C30" location="'20.S''pore'!Print_Area" display="Singapore" xr:uid="{6C12260B-4E9E-480C-BC58-E8A1F5BEA9E7}"/>
    <hyperlink ref="C31" location="'21.HK'!Print_Area" display="Hong Kong" xr:uid="{152E9A57-80AA-4BE5-8856-A4CFDE1E5789}"/>
    <hyperlink ref="C32" location="'22.GreaterChina'!Print_Area" display="Rest of Greater China" xr:uid="{F22DBF13-2CEE-4B7B-B1D9-12F83FF8FA1A}"/>
    <hyperlink ref="C33" location="'23.SSEA'!Print_Area" display="South and South-East Asia" xr:uid="{6739A068-7924-4D8E-9193-68A4C4322A71}"/>
    <hyperlink ref="C34" location="'24.ROW'!Print_Area" display="Rest of World" xr:uid="{A96D686C-AAB1-4439-BC74-30636A3ACBF9}"/>
    <hyperlink ref="K30" location="'20.S''pore'!A1" display="'20.S''pore'!A1" xr:uid="{0225A767-B778-4E96-9914-9DECC4A1796B}"/>
    <hyperlink ref="K31" location="'21.HK'!A1" display="'21.HK'!A1" xr:uid="{FA603EE5-9694-46D2-8066-A5E1C4872BA9}"/>
    <hyperlink ref="K32" location="'22.GreaterChina'!A1" display="'22.GreaterChina'!A1" xr:uid="{3DD16D1E-7370-48DA-9D93-28B975DED041}"/>
    <hyperlink ref="K33" location="'23.SSEA'!A1" display="'23.SSEA'!A1" xr:uid="{78AB9F42-4AA9-4BDF-B792-175956759A91}"/>
    <hyperlink ref="K34" location="'24.ROW'!A1" display="'24.ROW'!A1" xr:uid="{FA123201-CAB4-4AE1-B091-19BBF3625F93}"/>
    <hyperlink ref="B37" location="'25.BalSheet (new)'!Print_Area" display="Consolidated balance sheet (new presentation)" xr:uid="{E49059F6-C7AF-4242-A8D7-B3A30859470E}"/>
    <hyperlink ref="B38" location="'27.CashFlow'!A1" display="Unaudited consolidated cash flow statement" xr:uid="{B8E13E8D-75F3-49E2-8F8A-72E067B32582}"/>
    <hyperlink ref="K36" location="'25.P&amp;L and OCI'!A1" display="'25.P&amp;L and OCI'!A1" xr:uid="{C85F00B4-335F-49CE-B76B-51CF8169B1EA}"/>
    <hyperlink ref="K37" location="'26.BalSheet'!A1" display="'26.BalSheet'!A1" xr:uid="{841E6903-7EE2-47F4-9A0E-4E1E393FD314}"/>
    <hyperlink ref="K38" location="'27.CashFlow'!A1" display="'27.CashFlow'!A1" xr:uid="{E9583FCA-A773-4C35-9C01-E853E2EB470A}"/>
    <hyperlink ref="K39" location="'28.Legend'!A1" display="'28.Legend'!A1" xr:uid="{4C3B725E-CFB5-4511-BAED-EDACC583AE7A}"/>
    <hyperlink ref="B37:J37" location="'26.BalSheet'!Print_Area" display="Consolidated balance sheets" xr:uid="{AAB76693-6BB2-4273-B3E1-1B116A7014C2}"/>
    <hyperlink ref="B38:J38" location="'27.CashFlow'!Print_Area" display="Consolidated cash flow statement" xr:uid="{76A405F2-F696-4F9C-9580-0E5259186E3E}"/>
    <hyperlink ref="C16" location="'10. Debts issued'!A1" display="Debts issued" xr:uid="{AC9DB9AB-AE63-402A-A634-9723F2E44D9E}"/>
    <hyperlink ref="B39:J39" location="'28.Legend'!A1" display="Legend of terms used" xr:uid="{47B6DEA4-7C44-460C-9B99-168D74D32605}"/>
    <hyperlink ref="K16" location="'10. Debts issued'!A1" display="'10. Debts issued'!A1" xr:uid="{17373BF5-9950-4FC8-848E-159E37D6B2DE}"/>
    <hyperlink ref="B36" location="'25.P&amp;L'!A1" display="Unaudited consolidated income statement" xr:uid="{CDE7F2B1-C558-4AEC-BDAB-3588638DF7F9}"/>
    <hyperlink ref="B36:J36" location="'25.P&amp;L and OCI'!A1" display="Consolidated income statement and statement of comprehensive income" xr:uid="{17283C8F-2B2B-46B1-8DE9-683790E36F10}"/>
  </hyperlinks>
  <pageMargins left="0.75" right="0.75" top="0.67" bottom="1" header="0.5" footer="0.5"/>
  <pageSetup scale="81"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70959-19BD-4ED6-A3A0-C5F71AD35F02}">
  <sheetPr>
    <tabColor indexed="43"/>
    <pageSetUpPr fitToPage="1"/>
  </sheetPr>
  <dimension ref="A1:AB72"/>
  <sheetViews>
    <sheetView showGridLines="0" zoomScale="85" zoomScaleNormal="85" workbookViewId="0">
      <pane xSplit="3" ySplit="3" topLeftCell="D33" activePane="bottomRight" state="frozen"/>
      <selection pane="topRight" activeCell="L13" sqref="L13"/>
      <selection pane="bottomLeft" activeCell="L13" sqref="L13"/>
      <selection pane="bottomRight"/>
    </sheetView>
  </sheetViews>
  <sheetFormatPr defaultColWidth="9.42578125" defaultRowHeight="14.25" x14ac:dyDescent="0.2"/>
  <cols>
    <col min="1" max="1" width="2.42578125" style="327" customWidth="1"/>
    <col min="2" max="2" width="51.42578125" style="773" customWidth="1"/>
    <col min="3" max="3" width="1.42578125" style="773" customWidth="1"/>
    <col min="4" max="13" width="9.5703125" style="365" customWidth="1"/>
    <col min="14" max="14" width="2.5703125" style="365" customWidth="1"/>
    <col min="15" max="16" width="9.5703125" style="365" customWidth="1"/>
    <col min="17" max="19" width="9.5703125" style="327" customWidth="1"/>
    <col min="20" max="20" width="2.5703125" style="327" customWidth="1"/>
    <col min="21" max="21" width="9.5703125" style="365" customWidth="1"/>
    <col min="22" max="22" width="9.5703125" style="327" customWidth="1"/>
    <col min="23" max="23" width="11.85546875" style="327" customWidth="1"/>
    <col min="24" max="35" width="9.42578125" style="327"/>
    <col min="36" max="36" width="9.42578125" style="327" customWidth="1"/>
    <col min="37" max="37" width="9.42578125" style="327"/>
    <col min="38" max="38" width="9.42578125" style="327" customWidth="1"/>
    <col min="39" max="16384" width="9.42578125" style="327"/>
  </cols>
  <sheetData>
    <row r="1" spans="1:23" s="745" customFormat="1" ht="20.25" x14ac:dyDescent="0.3">
      <c r="A1" s="3" t="s">
        <v>2</v>
      </c>
      <c r="B1" s="4"/>
      <c r="C1" s="4"/>
      <c r="D1" s="320"/>
      <c r="E1" s="320"/>
      <c r="F1" s="320"/>
      <c r="G1" s="320"/>
      <c r="H1" s="320"/>
      <c r="I1" s="320"/>
      <c r="J1" s="320"/>
      <c r="K1" s="320"/>
      <c r="L1" s="320"/>
      <c r="M1" s="320"/>
      <c r="N1" s="320"/>
      <c r="O1" s="320"/>
      <c r="P1" s="320"/>
      <c r="Q1" s="4"/>
      <c r="R1" s="4"/>
      <c r="S1" s="4"/>
      <c r="T1" s="4"/>
      <c r="U1" s="320"/>
      <c r="V1" s="4"/>
      <c r="W1" s="4"/>
    </row>
    <row r="2" spans="1:23" s="746" customFormat="1" ht="50.25" customHeight="1" x14ac:dyDescent="0.25">
      <c r="A2" s="781" t="s">
        <v>33</v>
      </c>
      <c r="B2" s="781"/>
      <c r="C2" s="781"/>
      <c r="D2" s="321" t="s">
        <v>34</v>
      </c>
      <c r="E2" s="321" t="s">
        <v>35</v>
      </c>
      <c r="F2" s="321" t="s">
        <v>357</v>
      </c>
      <c r="G2" s="321" t="s">
        <v>358</v>
      </c>
      <c r="H2" s="321" t="s">
        <v>403</v>
      </c>
      <c r="I2" s="321" t="s">
        <v>404</v>
      </c>
      <c r="J2" s="321" t="s">
        <v>405</v>
      </c>
      <c r="K2" s="321" t="s">
        <v>406</v>
      </c>
      <c r="L2" s="321" t="s">
        <v>407</v>
      </c>
      <c r="M2" s="321" t="s">
        <v>408</v>
      </c>
      <c r="N2" s="321"/>
      <c r="O2" s="321" t="s">
        <v>409</v>
      </c>
      <c r="P2" s="321" t="s">
        <v>410</v>
      </c>
      <c r="Q2" s="321" t="s">
        <v>362</v>
      </c>
      <c r="R2" s="321" t="s">
        <v>413</v>
      </c>
      <c r="S2" s="321" t="s">
        <v>411</v>
      </c>
      <c r="T2" s="322"/>
      <c r="U2" s="321" t="s">
        <v>412</v>
      </c>
      <c r="V2" s="321" t="s">
        <v>363</v>
      </c>
      <c r="W2" s="321" t="s">
        <v>414</v>
      </c>
    </row>
    <row r="3" spans="1:23" ht="6.75" customHeight="1" x14ac:dyDescent="0.2">
      <c r="A3" s="323"/>
      <c r="B3" s="324"/>
      <c r="C3" s="325"/>
      <c r="D3" s="8"/>
      <c r="E3" s="8"/>
      <c r="F3" s="8"/>
      <c r="G3" s="8"/>
      <c r="H3" s="8"/>
      <c r="I3" s="8"/>
      <c r="J3" s="8"/>
      <c r="K3" s="102"/>
      <c r="L3" s="8"/>
      <c r="M3" s="8"/>
      <c r="N3" s="8"/>
      <c r="O3" s="103"/>
      <c r="P3" s="8"/>
      <c r="Q3" s="323"/>
      <c r="R3" s="323"/>
      <c r="S3" s="323"/>
      <c r="T3" s="323"/>
      <c r="U3" s="103"/>
      <c r="V3" s="323"/>
      <c r="W3" s="323"/>
    </row>
    <row r="4" spans="1:23" ht="15" x14ac:dyDescent="0.25">
      <c r="A4" s="328" t="s">
        <v>36</v>
      </c>
      <c r="B4" s="323"/>
      <c r="C4" s="323"/>
      <c r="D4" s="329"/>
      <c r="E4" s="329"/>
      <c r="F4" s="329"/>
      <c r="G4" s="329"/>
      <c r="H4" s="329"/>
      <c r="I4" s="329"/>
      <c r="J4" s="329"/>
      <c r="K4" s="104"/>
      <c r="L4" s="330"/>
      <c r="M4" s="330"/>
      <c r="N4" s="8"/>
      <c r="O4" s="105"/>
      <c r="P4" s="329"/>
      <c r="Q4" s="323"/>
      <c r="R4" s="323"/>
      <c r="S4" s="323"/>
      <c r="T4" s="323"/>
      <c r="U4" s="105"/>
      <c r="V4" s="323"/>
      <c r="W4" s="323"/>
    </row>
    <row r="5" spans="1:23" ht="15" x14ac:dyDescent="0.25">
      <c r="A5" s="328"/>
      <c r="B5" s="331" t="s">
        <v>381</v>
      </c>
      <c r="C5" s="323"/>
      <c r="D5" s="332">
        <v>5311</v>
      </c>
      <c r="E5" s="332">
        <v>5295</v>
      </c>
      <c r="F5" s="332">
        <v>5422</v>
      </c>
      <c r="G5" s="332">
        <v>5347</v>
      </c>
      <c r="H5" s="332">
        <v>5542</v>
      </c>
      <c r="I5" s="332">
        <v>5314</v>
      </c>
      <c r="J5" s="332">
        <v>5493</v>
      </c>
      <c r="K5" s="106">
        <v>5177</v>
      </c>
      <c r="L5" s="333">
        <v>-5.7527762606954358</v>
      </c>
      <c r="M5" s="333">
        <v>-3.1793529081728056</v>
      </c>
      <c r="N5" s="8"/>
      <c r="O5" s="107">
        <v>10670</v>
      </c>
      <c r="P5" s="332">
        <v>10856</v>
      </c>
      <c r="Q5" s="332">
        <v>10769</v>
      </c>
      <c r="R5" s="333">
        <v>-0.91930541368743235</v>
      </c>
      <c r="S5" s="333">
        <v>-1.7133382461311686</v>
      </c>
      <c r="T5" s="323"/>
      <c r="U5" s="107">
        <v>21526</v>
      </c>
      <c r="V5" s="332">
        <v>21375</v>
      </c>
      <c r="W5" s="333">
        <v>0.70643274853801064</v>
      </c>
    </row>
    <row r="6" spans="1:23" s="748" customFormat="1" x14ac:dyDescent="0.2">
      <c r="A6" s="334"/>
      <c r="B6" s="747" t="s">
        <v>37</v>
      </c>
      <c r="C6" s="325"/>
      <c r="D6" s="143">
        <v>3647</v>
      </c>
      <c r="E6" s="143">
        <v>3769</v>
      </c>
      <c r="F6" s="143">
        <v>3796</v>
      </c>
      <c r="G6" s="143">
        <v>3831</v>
      </c>
      <c r="H6" s="143">
        <v>3719</v>
      </c>
      <c r="I6" s="143">
        <v>3625</v>
      </c>
      <c r="J6" s="143">
        <v>3558</v>
      </c>
      <c r="K6" s="108">
        <v>3592</v>
      </c>
      <c r="L6" s="335">
        <v>0.95559302979202343</v>
      </c>
      <c r="M6" s="336">
        <v>-6.2385800052205731</v>
      </c>
      <c r="N6" s="241"/>
      <c r="O6" s="109">
        <v>7150</v>
      </c>
      <c r="P6" s="143">
        <v>7344</v>
      </c>
      <c r="Q6" s="143">
        <v>7627</v>
      </c>
      <c r="R6" s="335">
        <v>-6.2540972859577826</v>
      </c>
      <c r="S6" s="336">
        <v>-2.6416122004357279</v>
      </c>
      <c r="T6" s="334"/>
      <c r="U6" s="109">
        <v>14494</v>
      </c>
      <c r="V6" s="143">
        <v>15043</v>
      </c>
      <c r="W6" s="336">
        <v>-3.6495379910921999</v>
      </c>
    </row>
    <row r="7" spans="1:23" s="748" customFormat="1" x14ac:dyDescent="0.2">
      <c r="A7" s="334"/>
      <c r="B7" s="747" t="s">
        <v>38</v>
      </c>
      <c r="C7" s="325"/>
      <c r="D7" s="144">
        <v>1043</v>
      </c>
      <c r="E7" s="144">
        <v>1048</v>
      </c>
      <c r="F7" s="144">
        <v>1109</v>
      </c>
      <c r="G7" s="144">
        <v>968</v>
      </c>
      <c r="H7" s="144">
        <v>1275</v>
      </c>
      <c r="I7" s="144">
        <v>1167</v>
      </c>
      <c r="J7" s="144">
        <v>1357</v>
      </c>
      <c r="K7" s="110">
        <v>1099</v>
      </c>
      <c r="L7" s="333">
        <v>-19.012527634487842</v>
      </c>
      <c r="M7" s="337">
        <v>13.533057851239661</v>
      </c>
      <c r="N7" s="338"/>
      <c r="O7" s="111">
        <v>2456</v>
      </c>
      <c r="P7" s="144">
        <v>2442</v>
      </c>
      <c r="Q7" s="144">
        <v>2077</v>
      </c>
      <c r="R7" s="333">
        <v>18.247472315840163</v>
      </c>
      <c r="S7" s="337">
        <v>0.57330057330058359</v>
      </c>
      <c r="T7" s="334"/>
      <c r="U7" s="111">
        <v>4898</v>
      </c>
      <c r="V7" s="144">
        <v>4168</v>
      </c>
      <c r="W7" s="337">
        <v>17.514395393474082</v>
      </c>
    </row>
    <row r="8" spans="1:23" s="748" customFormat="1" x14ac:dyDescent="0.2">
      <c r="A8" s="334"/>
      <c r="B8" s="747" t="s">
        <v>39</v>
      </c>
      <c r="C8" s="339"/>
      <c r="D8" s="145">
        <v>621</v>
      </c>
      <c r="E8" s="145">
        <v>478</v>
      </c>
      <c r="F8" s="145">
        <v>517</v>
      </c>
      <c r="G8" s="145">
        <v>548</v>
      </c>
      <c r="H8" s="145">
        <v>548</v>
      </c>
      <c r="I8" s="145">
        <v>522</v>
      </c>
      <c r="J8" s="145">
        <v>578</v>
      </c>
      <c r="K8" s="112">
        <v>486</v>
      </c>
      <c r="L8" s="340">
        <v>-15.916955017301039</v>
      </c>
      <c r="M8" s="341">
        <v>-11.313868613138689</v>
      </c>
      <c r="N8" s="338"/>
      <c r="O8" s="113">
        <v>1064</v>
      </c>
      <c r="P8" s="145">
        <v>1070</v>
      </c>
      <c r="Q8" s="145">
        <v>1065</v>
      </c>
      <c r="R8" s="340">
        <v>-9.389671361502705E-2</v>
      </c>
      <c r="S8" s="341">
        <v>-0.56074766355139749</v>
      </c>
      <c r="T8" s="334"/>
      <c r="U8" s="113">
        <v>2134</v>
      </c>
      <c r="V8" s="145">
        <v>2164</v>
      </c>
      <c r="W8" s="341">
        <v>-1.3863216266173706</v>
      </c>
    </row>
    <row r="9" spans="1:23" s="748" customFormat="1" ht="15" x14ac:dyDescent="0.25">
      <c r="A9" s="334"/>
      <c r="B9" s="342" t="s">
        <v>382</v>
      </c>
      <c r="C9" s="339"/>
      <c r="D9" s="146">
        <v>246</v>
      </c>
      <c r="E9" s="146">
        <v>187</v>
      </c>
      <c r="F9" s="146">
        <v>331</v>
      </c>
      <c r="G9" s="146">
        <v>158</v>
      </c>
      <c r="H9" s="146">
        <v>363</v>
      </c>
      <c r="I9" s="146">
        <v>418</v>
      </c>
      <c r="J9" s="146">
        <v>439</v>
      </c>
      <c r="K9" s="106">
        <v>154</v>
      </c>
      <c r="L9" s="333">
        <v>-64.920273348519359</v>
      </c>
      <c r="M9" s="333">
        <v>-2.5316455696202556</v>
      </c>
      <c r="N9" s="338"/>
      <c r="O9" s="114">
        <v>593</v>
      </c>
      <c r="P9" s="153">
        <v>781</v>
      </c>
      <c r="Q9" s="146">
        <v>489</v>
      </c>
      <c r="R9" s="749">
        <v>21.267893660531701</v>
      </c>
      <c r="S9" s="749">
        <v>-24.071702944942388</v>
      </c>
      <c r="T9" s="334"/>
      <c r="U9" s="114">
        <v>1374</v>
      </c>
      <c r="V9" s="153">
        <v>922</v>
      </c>
      <c r="W9" s="333">
        <v>49.02386117136659</v>
      </c>
    </row>
    <row r="10" spans="1:23" s="748" customFormat="1" x14ac:dyDescent="0.2">
      <c r="A10" s="334"/>
      <c r="B10" s="747" t="s">
        <v>37</v>
      </c>
      <c r="C10" s="339"/>
      <c r="D10" s="143">
        <v>-142</v>
      </c>
      <c r="E10" s="143">
        <v>-175</v>
      </c>
      <c r="F10" s="143">
        <v>-199</v>
      </c>
      <c r="G10" s="143">
        <v>-103</v>
      </c>
      <c r="H10" s="143">
        <v>-38</v>
      </c>
      <c r="I10" s="143">
        <v>23</v>
      </c>
      <c r="J10" s="143">
        <v>20</v>
      </c>
      <c r="K10" s="108">
        <v>1</v>
      </c>
      <c r="L10" s="335">
        <v>-95</v>
      </c>
      <c r="M10" s="336" t="s">
        <v>117</v>
      </c>
      <c r="N10" s="338"/>
      <c r="O10" s="109">
        <v>21</v>
      </c>
      <c r="P10" s="143">
        <v>-15</v>
      </c>
      <c r="Q10" s="143">
        <v>-302</v>
      </c>
      <c r="R10" s="335" t="s">
        <v>117</v>
      </c>
      <c r="S10" s="336" t="s">
        <v>117</v>
      </c>
      <c r="T10" s="334"/>
      <c r="U10" s="109">
        <v>6</v>
      </c>
      <c r="V10" s="143">
        <v>-619</v>
      </c>
      <c r="W10" s="336" t="s">
        <v>117</v>
      </c>
    </row>
    <row r="11" spans="1:23" s="748" customFormat="1" x14ac:dyDescent="0.2">
      <c r="A11" s="334"/>
      <c r="B11" s="747" t="s">
        <v>6</v>
      </c>
      <c r="C11" s="339"/>
      <c r="D11" s="145">
        <v>388</v>
      </c>
      <c r="E11" s="145">
        <v>362</v>
      </c>
      <c r="F11" s="145">
        <v>530</v>
      </c>
      <c r="G11" s="145">
        <v>261</v>
      </c>
      <c r="H11" s="145">
        <v>401</v>
      </c>
      <c r="I11" s="145">
        <v>395</v>
      </c>
      <c r="J11" s="145">
        <v>419</v>
      </c>
      <c r="K11" s="112">
        <v>153</v>
      </c>
      <c r="L11" s="340">
        <v>-63.484486873508359</v>
      </c>
      <c r="M11" s="341">
        <v>-41.379310344827594</v>
      </c>
      <c r="N11" s="338"/>
      <c r="O11" s="113">
        <v>572</v>
      </c>
      <c r="P11" s="145">
        <v>796</v>
      </c>
      <c r="Q11" s="145">
        <v>791</v>
      </c>
      <c r="R11" s="340">
        <v>-27.686472819216178</v>
      </c>
      <c r="S11" s="341">
        <v>-28.140703517587941</v>
      </c>
      <c r="T11" s="334"/>
      <c r="U11" s="113">
        <v>1368</v>
      </c>
      <c r="V11" s="145">
        <v>1541</v>
      </c>
      <c r="W11" s="341">
        <v>-11.226476314081768</v>
      </c>
    </row>
    <row r="12" spans="1:23" s="748" customFormat="1" ht="15" x14ac:dyDescent="0.25">
      <c r="A12" s="334"/>
      <c r="B12" s="343" t="s">
        <v>40</v>
      </c>
      <c r="C12" s="325"/>
      <c r="D12" s="146">
        <v>5557</v>
      </c>
      <c r="E12" s="146">
        <v>5482</v>
      </c>
      <c r="F12" s="146">
        <v>5753</v>
      </c>
      <c r="G12" s="146">
        <v>5505</v>
      </c>
      <c r="H12" s="146">
        <v>5905</v>
      </c>
      <c r="I12" s="146">
        <v>5732</v>
      </c>
      <c r="J12" s="146">
        <v>5932</v>
      </c>
      <c r="K12" s="115">
        <v>5331</v>
      </c>
      <c r="L12" s="333">
        <v>-10.131490222521911</v>
      </c>
      <c r="M12" s="333">
        <v>-3.1607629427792938</v>
      </c>
      <c r="N12" s="338"/>
      <c r="O12" s="116">
        <v>11263</v>
      </c>
      <c r="P12" s="146">
        <v>11637</v>
      </c>
      <c r="Q12" s="146">
        <v>11258</v>
      </c>
      <c r="R12" s="333">
        <v>4.441286196481542E-2</v>
      </c>
      <c r="S12" s="333">
        <v>-3.213886740568872</v>
      </c>
      <c r="T12" s="334"/>
      <c r="U12" s="116">
        <v>22900</v>
      </c>
      <c r="V12" s="146">
        <v>22297</v>
      </c>
      <c r="W12" s="333">
        <v>2.7043996950262272</v>
      </c>
    </row>
    <row r="13" spans="1:23" s="334" customFormat="1" x14ac:dyDescent="0.2">
      <c r="B13" s="344" t="s">
        <v>380</v>
      </c>
      <c r="C13" s="325"/>
      <c r="D13" s="144">
        <v>3505</v>
      </c>
      <c r="E13" s="144">
        <v>3594</v>
      </c>
      <c r="F13" s="144">
        <v>3597</v>
      </c>
      <c r="G13" s="144">
        <v>3728</v>
      </c>
      <c r="H13" s="144">
        <v>3681</v>
      </c>
      <c r="I13" s="144">
        <v>3648</v>
      </c>
      <c r="J13" s="144">
        <v>3578</v>
      </c>
      <c r="K13" s="117">
        <v>3593</v>
      </c>
      <c r="L13" s="333">
        <v>0.41922861934040601</v>
      </c>
      <c r="M13" s="333">
        <v>-3.6212446351931327</v>
      </c>
      <c r="N13" s="338"/>
      <c r="O13" s="118">
        <v>7171</v>
      </c>
      <c r="P13" s="144">
        <v>7329</v>
      </c>
      <c r="Q13" s="144">
        <v>7325</v>
      </c>
      <c r="R13" s="333">
        <v>-2.1023890784982902</v>
      </c>
      <c r="S13" s="333">
        <v>-2.1558193477964283</v>
      </c>
      <c r="U13" s="118">
        <v>14500</v>
      </c>
      <c r="V13" s="144">
        <v>14424</v>
      </c>
      <c r="W13" s="333">
        <v>0.52689961175818034</v>
      </c>
    </row>
    <row r="14" spans="1:23" s="748" customFormat="1" x14ac:dyDescent="0.2">
      <c r="A14" s="334"/>
      <c r="B14" s="339" t="s">
        <v>7</v>
      </c>
      <c r="C14" s="339"/>
      <c r="D14" s="144">
        <v>2079</v>
      </c>
      <c r="E14" s="144">
        <v>2172</v>
      </c>
      <c r="F14" s="144">
        <v>2249</v>
      </c>
      <c r="G14" s="144">
        <v>2395</v>
      </c>
      <c r="H14" s="144">
        <v>2214</v>
      </c>
      <c r="I14" s="144">
        <v>2270</v>
      </c>
      <c r="J14" s="144">
        <v>2393</v>
      </c>
      <c r="K14" s="117">
        <v>2372</v>
      </c>
      <c r="L14" s="333">
        <v>-0.8775595486836596</v>
      </c>
      <c r="M14" s="333">
        <v>-0.96033402922756084</v>
      </c>
      <c r="N14" s="338"/>
      <c r="O14" s="118">
        <v>4765</v>
      </c>
      <c r="P14" s="144">
        <v>4484</v>
      </c>
      <c r="Q14" s="144">
        <v>4644</v>
      </c>
      <c r="R14" s="333">
        <v>2.6055124892334192</v>
      </c>
      <c r="S14" s="333">
        <v>6.266726137377332</v>
      </c>
      <c r="T14" s="334"/>
      <c r="U14" s="118">
        <v>9249</v>
      </c>
      <c r="V14" s="144">
        <v>8895</v>
      </c>
      <c r="W14" s="333">
        <v>3.9797639123102968</v>
      </c>
    </row>
    <row r="15" spans="1:23" s="748" customFormat="1" ht="15" x14ac:dyDescent="0.25">
      <c r="A15" s="334"/>
      <c r="B15" s="343" t="s">
        <v>41</v>
      </c>
      <c r="C15" s="325"/>
      <c r="D15" s="146">
        <v>3478</v>
      </c>
      <c r="E15" s="146">
        <v>3310</v>
      </c>
      <c r="F15" s="146">
        <v>3504</v>
      </c>
      <c r="G15" s="146">
        <v>3110</v>
      </c>
      <c r="H15" s="146">
        <v>3691</v>
      </c>
      <c r="I15" s="146">
        <v>3462</v>
      </c>
      <c r="J15" s="146">
        <v>3539</v>
      </c>
      <c r="K15" s="115">
        <v>2959</v>
      </c>
      <c r="L15" s="333">
        <v>-16.388810398417629</v>
      </c>
      <c r="M15" s="333">
        <v>-4.8553054662379473</v>
      </c>
      <c r="N15" s="338"/>
      <c r="O15" s="116">
        <v>6498</v>
      </c>
      <c r="P15" s="146">
        <v>7153</v>
      </c>
      <c r="Q15" s="146">
        <v>6614</v>
      </c>
      <c r="R15" s="333">
        <v>-1.7538554581191357</v>
      </c>
      <c r="S15" s="333">
        <v>-9.1569970641688805</v>
      </c>
      <c r="T15" s="334"/>
      <c r="U15" s="116">
        <v>13651</v>
      </c>
      <c r="V15" s="146">
        <v>13402</v>
      </c>
      <c r="W15" s="333">
        <v>1.8579316519922395</v>
      </c>
    </row>
    <row r="16" spans="1:23" s="748" customFormat="1" ht="15" x14ac:dyDescent="0.25">
      <c r="A16" s="334"/>
      <c r="B16" s="343" t="s">
        <v>42</v>
      </c>
      <c r="C16" s="325"/>
      <c r="D16" s="146">
        <v>6</v>
      </c>
      <c r="E16" s="146">
        <v>6</v>
      </c>
      <c r="F16" s="146">
        <v>6</v>
      </c>
      <c r="G16" s="146">
        <v>5</v>
      </c>
      <c r="H16" s="146">
        <v>6</v>
      </c>
      <c r="I16" s="146">
        <v>6</v>
      </c>
      <c r="J16" s="146">
        <v>6</v>
      </c>
      <c r="K16" s="115">
        <v>5</v>
      </c>
      <c r="L16" s="333">
        <v>-16.666666666666664</v>
      </c>
      <c r="M16" s="333">
        <v>0</v>
      </c>
      <c r="N16" s="338"/>
      <c r="O16" s="119">
        <v>11</v>
      </c>
      <c r="P16" s="154">
        <v>12</v>
      </c>
      <c r="Q16" s="146">
        <v>11</v>
      </c>
      <c r="R16" s="333">
        <v>0</v>
      </c>
      <c r="S16" s="333">
        <v>-8.3333333333333375</v>
      </c>
      <c r="T16" s="334"/>
      <c r="U16" s="119">
        <v>23</v>
      </c>
      <c r="V16" s="154">
        <v>23</v>
      </c>
      <c r="W16" s="333">
        <v>0</v>
      </c>
    </row>
    <row r="17" spans="1:24" s="748" customFormat="1" x14ac:dyDescent="0.2">
      <c r="A17" s="334"/>
      <c r="B17" s="339" t="s">
        <v>8</v>
      </c>
      <c r="C17" s="339"/>
      <c r="D17" s="144">
        <v>135</v>
      </c>
      <c r="E17" s="144">
        <v>148</v>
      </c>
      <c r="F17" s="144">
        <v>130</v>
      </c>
      <c r="G17" s="144">
        <v>209</v>
      </c>
      <c r="H17" s="144">
        <v>325</v>
      </c>
      <c r="I17" s="144">
        <v>133</v>
      </c>
      <c r="J17" s="144">
        <v>124</v>
      </c>
      <c r="K17" s="110">
        <v>209</v>
      </c>
      <c r="L17" s="333">
        <v>68.548387096774206</v>
      </c>
      <c r="M17" s="333">
        <v>0</v>
      </c>
      <c r="N17" s="338"/>
      <c r="O17" s="118">
        <v>333</v>
      </c>
      <c r="P17" s="144">
        <v>458</v>
      </c>
      <c r="Q17" s="144">
        <v>339</v>
      </c>
      <c r="R17" s="333">
        <v>-1.7699115044247815</v>
      </c>
      <c r="S17" s="333">
        <v>-27.292576419213976</v>
      </c>
      <c r="T17" s="334"/>
      <c r="U17" s="118">
        <v>791</v>
      </c>
      <c r="V17" s="144">
        <v>622</v>
      </c>
      <c r="W17" s="333">
        <v>27.170418006430875</v>
      </c>
    </row>
    <row r="18" spans="1:24" s="748" customFormat="1" x14ac:dyDescent="0.2">
      <c r="A18" s="334"/>
      <c r="B18" s="747" t="s">
        <v>383</v>
      </c>
      <c r="C18" s="339"/>
      <c r="D18" s="143">
        <v>113</v>
      </c>
      <c r="E18" s="143">
        <v>97</v>
      </c>
      <c r="F18" s="143">
        <v>120</v>
      </c>
      <c r="G18" s="143">
        <v>229</v>
      </c>
      <c r="H18" s="143">
        <v>120</v>
      </c>
      <c r="I18" s="143">
        <v>150</v>
      </c>
      <c r="J18" s="143">
        <v>169</v>
      </c>
      <c r="K18" s="108">
        <v>415</v>
      </c>
      <c r="L18" s="335" t="s">
        <v>500</v>
      </c>
      <c r="M18" s="336">
        <v>81.222707423580772</v>
      </c>
      <c r="N18" s="338"/>
      <c r="O18" s="109">
        <v>584</v>
      </c>
      <c r="P18" s="143">
        <v>270</v>
      </c>
      <c r="Q18" s="143">
        <v>349</v>
      </c>
      <c r="R18" s="335">
        <v>67.335243553008596</v>
      </c>
      <c r="S18" s="336" t="s">
        <v>500</v>
      </c>
      <c r="T18" s="334"/>
      <c r="U18" s="109">
        <v>854</v>
      </c>
      <c r="V18" s="143">
        <v>559</v>
      </c>
      <c r="W18" s="336">
        <v>52.772808586762075</v>
      </c>
      <c r="X18" s="334"/>
    </row>
    <row r="19" spans="1:24" s="748" customFormat="1" ht="16.5" customHeight="1" x14ac:dyDescent="0.2">
      <c r="A19" s="334"/>
      <c r="B19" s="747" t="s">
        <v>384</v>
      </c>
      <c r="C19" s="339"/>
      <c r="D19" s="145">
        <v>22</v>
      </c>
      <c r="E19" s="145">
        <v>51</v>
      </c>
      <c r="F19" s="145">
        <v>10</v>
      </c>
      <c r="G19" s="145">
        <v>-20</v>
      </c>
      <c r="H19" s="145">
        <v>205</v>
      </c>
      <c r="I19" s="145">
        <v>-17</v>
      </c>
      <c r="J19" s="145">
        <v>-45</v>
      </c>
      <c r="K19" s="112">
        <v>-206</v>
      </c>
      <c r="L19" s="340" t="s">
        <v>501</v>
      </c>
      <c r="M19" s="341" t="s">
        <v>501</v>
      </c>
      <c r="N19" s="338"/>
      <c r="O19" s="113">
        <v>-251</v>
      </c>
      <c r="P19" s="145">
        <v>188</v>
      </c>
      <c r="Q19" s="145">
        <v>-10</v>
      </c>
      <c r="R19" s="340" t="s">
        <v>501</v>
      </c>
      <c r="S19" s="341" t="s">
        <v>117</v>
      </c>
      <c r="T19" s="334"/>
      <c r="U19" s="113">
        <v>-63</v>
      </c>
      <c r="V19" s="145">
        <v>63</v>
      </c>
      <c r="W19" s="341" t="s">
        <v>117</v>
      </c>
      <c r="X19" s="334"/>
    </row>
    <row r="20" spans="1:24" s="748" customFormat="1" ht="16.5" customHeight="1" x14ac:dyDescent="0.2">
      <c r="A20" s="334"/>
      <c r="B20" s="339" t="s">
        <v>43</v>
      </c>
      <c r="C20" s="339"/>
      <c r="D20" s="144">
        <v>51</v>
      </c>
      <c r="E20" s="144">
        <v>63</v>
      </c>
      <c r="F20" s="144">
        <v>66</v>
      </c>
      <c r="G20" s="144">
        <v>70</v>
      </c>
      <c r="H20" s="144">
        <v>77</v>
      </c>
      <c r="I20" s="144">
        <v>65</v>
      </c>
      <c r="J20" s="144">
        <v>67</v>
      </c>
      <c r="K20" s="117">
        <v>53</v>
      </c>
      <c r="L20" s="333">
        <v>-20.895522388059707</v>
      </c>
      <c r="M20" s="333">
        <v>-24.285714285714288</v>
      </c>
      <c r="N20" s="338"/>
      <c r="O20" s="118">
        <v>120</v>
      </c>
      <c r="P20" s="144">
        <v>142</v>
      </c>
      <c r="Q20" s="144">
        <v>136</v>
      </c>
      <c r="R20" s="333">
        <v>-11.764705882352944</v>
      </c>
      <c r="S20" s="333">
        <v>-15.492957746478876</v>
      </c>
      <c r="T20" s="334"/>
      <c r="U20" s="118">
        <v>262</v>
      </c>
      <c r="V20" s="144">
        <v>250</v>
      </c>
      <c r="W20" s="333">
        <v>4.8000000000000043</v>
      </c>
      <c r="X20" s="334"/>
    </row>
    <row r="21" spans="1:24" s="748" customFormat="1" ht="15" x14ac:dyDescent="0.25">
      <c r="A21" s="334"/>
      <c r="B21" s="343" t="s">
        <v>44</v>
      </c>
      <c r="C21" s="339"/>
      <c r="D21" s="146">
        <v>3388</v>
      </c>
      <c r="E21" s="146">
        <v>3219</v>
      </c>
      <c r="F21" s="146">
        <v>3434</v>
      </c>
      <c r="G21" s="146">
        <v>2966</v>
      </c>
      <c r="H21" s="146">
        <v>3437</v>
      </c>
      <c r="I21" s="146">
        <v>3388</v>
      </c>
      <c r="J21" s="146">
        <v>3476</v>
      </c>
      <c r="K21" s="115">
        <v>2798</v>
      </c>
      <c r="L21" s="333">
        <v>-19.505178365937859</v>
      </c>
      <c r="M21" s="333">
        <v>-5.6641942009440278</v>
      </c>
      <c r="N21" s="338"/>
      <c r="O21" s="116">
        <v>6274</v>
      </c>
      <c r="P21" s="146">
        <v>6825</v>
      </c>
      <c r="Q21" s="146">
        <v>6400</v>
      </c>
      <c r="R21" s="333">
        <v>-1.9687499999999969</v>
      </c>
      <c r="S21" s="333">
        <v>-8.0732600732600694</v>
      </c>
      <c r="T21" s="334"/>
      <c r="U21" s="116">
        <v>13099</v>
      </c>
      <c r="V21" s="146">
        <v>13007</v>
      </c>
      <c r="W21" s="333">
        <v>0.70731144768201304</v>
      </c>
      <c r="X21" s="334"/>
    </row>
    <row r="22" spans="1:24" s="748" customFormat="1" ht="15" x14ac:dyDescent="0.25">
      <c r="A22" s="334"/>
      <c r="B22" s="343" t="s">
        <v>45</v>
      </c>
      <c r="C22" s="339"/>
      <c r="D22" s="146">
        <v>2956</v>
      </c>
      <c r="E22" s="146">
        <v>2803</v>
      </c>
      <c r="F22" s="146">
        <v>3027</v>
      </c>
      <c r="G22" s="146">
        <v>2622</v>
      </c>
      <c r="H22" s="146">
        <v>2897</v>
      </c>
      <c r="I22" s="146">
        <v>2824</v>
      </c>
      <c r="J22" s="146">
        <v>2954</v>
      </c>
      <c r="K22" s="106">
        <v>2358</v>
      </c>
      <c r="L22" s="333">
        <v>-20.176032498307382</v>
      </c>
      <c r="M22" s="333">
        <v>-10.068649885583525</v>
      </c>
      <c r="N22" s="241"/>
      <c r="O22" s="116">
        <v>5312</v>
      </c>
      <c r="P22" s="146">
        <v>5721</v>
      </c>
      <c r="Q22" s="146">
        <v>5649</v>
      </c>
      <c r="R22" s="333">
        <v>-5.9656576385200939</v>
      </c>
      <c r="S22" s="333">
        <v>-7.1490998077259231</v>
      </c>
      <c r="T22" s="334"/>
      <c r="U22" s="116">
        <v>11033</v>
      </c>
      <c r="V22" s="146">
        <v>11408</v>
      </c>
      <c r="W22" s="333">
        <v>-3.2871669004207571</v>
      </c>
      <c r="X22" s="334"/>
    </row>
    <row r="23" spans="1:24" s="748" customFormat="1" ht="14.45" customHeight="1" x14ac:dyDescent="0.2">
      <c r="A23" s="334"/>
      <c r="B23" s="339" t="s">
        <v>385</v>
      </c>
      <c r="C23" s="339"/>
      <c r="D23" s="147">
        <v>-5</v>
      </c>
      <c r="E23" s="147">
        <v>-14</v>
      </c>
      <c r="F23" s="147">
        <v>0</v>
      </c>
      <c r="G23" s="147">
        <v>0</v>
      </c>
      <c r="H23" s="147">
        <v>0</v>
      </c>
      <c r="I23" s="147">
        <v>0</v>
      </c>
      <c r="J23" s="147">
        <v>0</v>
      </c>
      <c r="K23" s="121">
        <v>0</v>
      </c>
      <c r="L23" s="749">
        <v>0</v>
      </c>
      <c r="M23" s="749">
        <v>0</v>
      </c>
      <c r="N23" s="345"/>
      <c r="O23" s="122">
        <v>0</v>
      </c>
      <c r="P23" s="147">
        <v>0</v>
      </c>
      <c r="Q23" s="155">
        <v>0</v>
      </c>
      <c r="R23" s="749">
        <v>0</v>
      </c>
      <c r="S23" s="749">
        <v>0</v>
      </c>
      <c r="T23" s="750"/>
      <c r="U23" s="122">
        <v>0</v>
      </c>
      <c r="V23" s="147">
        <v>-19</v>
      </c>
      <c r="W23" s="749" t="s">
        <v>117</v>
      </c>
      <c r="X23" s="334"/>
    </row>
    <row r="24" spans="1:24" s="748" customFormat="1" ht="14.45" customHeight="1" x14ac:dyDescent="0.2">
      <c r="A24" s="334"/>
      <c r="B24" s="339" t="s">
        <v>386</v>
      </c>
      <c r="C24" s="339"/>
      <c r="D24" s="148">
        <v>0</v>
      </c>
      <c r="E24" s="148">
        <v>0</v>
      </c>
      <c r="F24" s="148">
        <v>0</v>
      </c>
      <c r="G24" s="148">
        <v>-100</v>
      </c>
      <c r="H24" s="148">
        <v>0</v>
      </c>
      <c r="I24" s="148">
        <v>0</v>
      </c>
      <c r="J24" s="148">
        <v>0</v>
      </c>
      <c r="K24" s="123">
        <v>-100</v>
      </c>
      <c r="L24" s="751" t="s">
        <v>117</v>
      </c>
      <c r="M24" s="751">
        <v>0</v>
      </c>
      <c r="N24" s="346"/>
      <c r="O24" s="124">
        <v>-100</v>
      </c>
      <c r="P24" s="148">
        <v>0</v>
      </c>
      <c r="Q24" s="156">
        <v>-100</v>
      </c>
      <c r="R24" s="751">
        <v>0</v>
      </c>
      <c r="S24" s="751" t="s">
        <v>117</v>
      </c>
      <c r="T24" s="752"/>
      <c r="U24" s="124">
        <v>-100</v>
      </c>
      <c r="V24" s="148">
        <v>-100</v>
      </c>
      <c r="W24" s="751">
        <v>0</v>
      </c>
      <c r="X24" s="334"/>
    </row>
    <row r="25" spans="1:24" s="748" customFormat="1" ht="15" x14ac:dyDescent="0.25">
      <c r="A25" s="334"/>
      <c r="B25" s="343" t="s">
        <v>47</v>
      </c>
      <c r="C25" s="339"/>
      <c r="D25" s="149">
        <v>2951</v>
      </c>
      <c r="E25" s="149">
        <v>2789</v>
      </c>
      <c r="F25" s="149">
        <v>3027</v>
      </c>
      <c r="G25" s="149">
        <v>2522</v>
      </c>
      <c r="H25" s="149">
        <v>2897</v>
      </c>
      <c r="I25" s="149">
        <v>2824</v>
      </c>
      <c r="J25" s="149">
        <v>2954</v>
      </c>
      <c r="K25" s="106">
        <v>2258</v>
      </c>
      <c r="L25" s="333">
        <v>-23.561272850372372</v>
      </c>
      <c r="M25" s="333">
        <v>-10.467882632831083</v>
      </c>
      <c r="N25" s="241"/>
      <c r="O25" s="116">
        <v>5212</v>
      </c>
      <c r="P25" s="146">
        <v>5721</v>
      </c>
      <c r="Q25" s="146">
        <v>5549</v>
      </c>
      <c r="R25" s="333">
        <v>-6.0731663362768025</v>
      </c>
      <c r="S25" s="333">
        <v>-8.897045970984097</v>
      </c>
      <c r="T25" s="334"/>
      <c r="U25" s="116">
        <v>10933</v>
      </c>
      <c r="V25" s="146">
        <v>11289</v>
      </c>
      <c r="W25" s="333">
        <v>-3.1535122685800387</v>
      </c>
      <c r="X25" s="334"/>
    </row>
    <row r="26" spans="1:24" x14ac:dyDescent="0.2">
      <c r="A26" s="323"/>
      <c r="B26" s="323"/>
      <c r="C26" s="323"/>
      <c r="D26" s="753"/>
      <c r="E26" s="753"/>
      <c r="F26" s="753"/>
      <c r="G26" s="753"/>
      <c r="H26" s="753"/>
      <c r="I26" s="753"/>
      <c r="J26" s="330"/>
      <c r="K26" s="132"/>
      <c r="L26" s="330"/>
      <c r="M26" s="330"/>
      <c r="N26" s="329"/>
      <c r="O26" s="133"/>
      <c r="P26" s="329"/>
      <c r="Q26" s="157"/>
      <c r="R26" s="347"/>
      <c r="S26" s="347"/>
      <c r="T26" s="323"/>
      <c r="U26" s="133"/>
      <c r="V26" s="329"/>
      <c r="W26" s="323"/>
      <c r="X26" s="323"/>
    </row>
    <row r="27" spans="1:24" ht="15" x14ac:dyDescent="0.25">
      <c r="A27" s="328" t="s">
        <v>48</v>
      </c>
      <c r="B27" s="323"/>
      <c r="C27" s="323"/>
      <c r="D27" s="753"/>
      <c r="E27" s="753"/>
      <c r="F27" s="753"/>
      <c r="G27" s="753"/>
      <c r="H27" s="753"/>
      <c r="I27" s="753"/>
      <c r="J27" s="330"/>
      <c r="K27" s="132"/>
      <c r="L27" s="330"/>
      <c r="M27" s="330"/>
      <c r="N27" s="329"/>
      <c r="O27" s="133"/>
      <c r="P27" s="329"/>
      <c r="Q27" s="157"/>
      <c r="R27" s="347"/>
      <c r="S27" s="347"/>
      <c r="T27" s="323"/>
      <c r="U27" s="133"/>
      <c r="V27" s="329"/>
      <c r="W27" s="323"/>
      <c r="X27" s="323"/>
    </row>
    <row r="28" spans="1:24" s="748" customFormat="1" x14ac:dyDescent="0.2">
      <c r="A28" s="334"/>
      <c r="B28" s="339" t="s">
        <v>9</v>
      </c>
      <c r="C28" s="339"/>
      <c r="D28" s="754">
        <v>424833</v>
      </c>
      <c r="E28" s="754">
        <v>424837</v>
      </c>
      <c r="F28" s="754">
        <v>418068</v>
      </c>
      <c r="G28" s="754">
        <v>430594</v>
      </c>
      <c r="H28" s="754">
        <v>435295</v>
      </c>
      <c r="I28" s="754">
        <v>433046</v>
      </c>
      <c r="J28" s="754">
        <v>437027</v>
      </c>
      <c r="K28" s="125">
        <v>445011</v>
      </c>
      <c r="L28" s="159">
        <v>1.8268894141551861</v>
      </c>
      <c r="M28" s="160">
        <v>3.3481655573463609</v>
      </c>
      <c r="N28" s="8"/>
      <c r="O28" s="126">
        <v>445011</v>
      </c>
      <c r="P28" s="754">
        <v>433046</v>
      </c>
      <c r="Q28" s="755">
        <v>430594</v>
      </c>
      <c r="R28" s="159">
        <v>3.3481655573463609</v>
      </c>
      <c r="S28" s="160">
        <v>2.7629859183550876</v>
      </c>
      <c r="T28" s="334"/>
      <c r="U28" s="126">
        <v>445011</v>
      </c>
      <c r="V28" s="754">
        <v>430594</v>
      </c>
      <c r="W28" s="160">
        <v>3.3481655573463609</v>
      </c>
      <c r="X28" s="348"/>
    </row>
    <row r="29" spans="1:24" s="759" customFormat="1" x14ac:dyDescent="0.2">
      <c r="A29" s="349"/>
      <c r="B29" s="756" t="s">
        <v>49</v>
      </c>
      <c r="C29" s="757"/>
      <c r="D29" s="758"/>
      <c r="E29" s="758"/>
      <c r="F29" s="758"/>
      <c r="G29" s="758"/>
      <c r="H29" s="758"/>
      <c r="I29" s="758"/>
      <c r="J29" s="758"/>
      <c r="K29" s="127"/>
      <c r="L29" s="128">
        <v>2</v>
      </c>
      <c r="M29" s="129">
        <v>6</v>
      </c>
      <c r="N29" s="350"/>
      <c r="O29" s="130"/>
      <c r="P29" s="758"/>
      <c r="Q29" s="158"/>
      <c r="R29" s="131">
        <v>6</v>
      </c>
      <c r="S29" s="129">
        <v>3</v>
      </c>
      <c r="T29" s="349"/>
      <c r="U29" s="130"/>
      <c r="V29" s="758"/>
      <c r="W29" s="129">
        <v>6</v>
      </c>
      <c r="X29" s="349"/>
    </row>
    <row r="30" spans="1:24" s="748" customFormat="1" x14ac:dyDescent="0.2">
      <c r="A30" s="334"/>
      <c r="B30" s="339" t="s">
        <v>50</v>
      </c>
      <c r="C30" s="339"/>
      <c r="D30" s="760">
        <v>783208</v>
      </c>
      <c r="E30" s="760">
        <v>790111</v>
      </c>
      <c r="F30" s="760">
        <v>789609</v>
      </c>
      <c r="G30" s="760">
        <v>827219</v>
      </c>
      <c r="H30" s="760">
        <v>840823</v>
      </c>
      <c r="I30" s="760">
        <v>841896</v>
      </c>
      <c r="J30" s="760">
        <v>881622</v>
      </c>
      <c r="K30" s="132">
        <v>897488</v>
      </c>
      <c r="L30" s="161">
        <v>1.7996374863603615</v>
      </c>
      <c r="M30" s="161">
        <v>8.4946066277491248</v>
      </c>
      <c r="N30" s="8"/>
      <c r="O30" s="133">
        <v>897488</v>
      </c>
      <c r="P30" s="760">
        <v>841896</v>
      </c>
      <c r="Q30" s="8">
        <v>827219</v>
      </c>
      <c r="R30" s="161">
        <v>8.4946066277491248</v>
      </c>
      <c r="S30" s="161">
        <v>6.6031908929369054</v>
      </c>
      <c r="T30" s="334"/>
      <c r="U30" s="133">
        <v>897488</v>
      </c>
      <c r="V30" s="760">
        <v>827219</v>
      </c>
      <c r="W30" s="161">
        <v>8.4946066277491248</v>
      </c>
      <c r="X30" s="334"/>
    </row>
    <row r="31" spans="1:24" s="748" customFormat="1" x14ac:dyDescent="0.2">
      <c r="A31" s="334"/>
      <c r="B31" s="756" t="s">
        <v>346</v>
      </c>
      <c r="C31" s="339"/>
      <c r="D31" s="760">
        <v>5221</v>
      </c>
      <c r="E31" s="760">
        <v>5077</v>
      </c>
      <c r="F31" s="760">
        <v>4680</v>
      </c>
      <c r="G31" s="760">
        <v>5036</v>
      </c>
      <c r="H31" s="760">
        <v>4861</v>
      </c>
      <c r="I31" s="760">
        <v>4686</v>
      </c>
      <c r="J31" s="760">
        <v>4627</v>
      </c>
      <c r="K31" s="132">
        <v>4843</v>
      </c>
      <c r="L31" s="161">
        <v>4.6682515668899915</v>
      </c>
      <c r="M31" s="161">
        <v>-3.8324066719618743</v>
      </c>
      <c r="N31" s="8"/>
      <c r="O31" s="133">
        <v>4843</v>
      </c>
      <c r="P31" s="760">
        <v>4686</v>
      </c>
      <c r="Q31" s="8">
        <v>5036</v>
      </c>
      <c r="R31" s="161">
        <v>-3.8324066719618743</v>
      </c>
      <c r="S31" s="161">
        <v>3.3504054630815183</v>
      </c>
      <c r="T31" s="334"/>
      <c r="U31" s="133">
        <v>4843</v>
      </c>
      <c r="V31" s="760">
        <v>5036</v>
      </c>
      <c r="W31" s="161">
        <v>-3.8324066719618743</v>
      </c>
      <c r="X31" s="334"/>
    </row>
    <row r="32" spans="1:24" s="759" customFormat="1" x14ac:dyDescent="0.2">
      <c r="A32" s="349"/>
      <c r="B32" s="339" t="s">
        <v>11</v>
      </c>
      <c r="C32" s="339"/>
      <c r="D32" s="754">
        <v>547197</v>
      </c>
      <c r="E32" s="754">
        <v>551088</v>
      </c>
      <c r="F32" s="754">
        <v>544961</v>
      </c>
      <c r="G32" s="754">
        <v>561730</v>
      </c>
      <c r="H32" s="754">
        <v>575663</v>
      </c>
      <c r="I32" s="754">
        <v>573965</v>
      </c>
      <c r="J32" s="754">
        <v>596073</v>
      </c>
      <c r="K32" s="125">
        <v>610023</v>
      </c>
      <c r="L32" s="159">
        <v>2.3403173772339914</v>
      </c>
      <c r="M32" s="160">
        <v>8.5971908212130401</v>
      </c>
      <c r="N32" s="8"/>
      <c r="O32" s="126">
        <v>610023</v>
      </c>
      <c r="P32" s="754">
        <v>573965</v>
      </c>
      <c r="Q32" s="755">
        <v>561730</v>
      </c>
      <c r="R32" s="159">
        <v>8.5971908212130401</v>
      </c>
      <c r="S32" s="160">
        <v>6.2822645980155523</v>
      </c>
      <c r="T32" s="349"/>
      <c r="U32" s="126">
        <v>610023</v>
      </c>
      <c r="V32" s="754">
        <v>561730</v>
      </c>
      <c r="W32" s="160">
        <v>8.5971908212130401</v>
      </c>
      <c r="X32" s="349"/>
    </row>
    <row r="33" spans="1:28" s="759" customFormat="1" x14ac:dyDescent="0.2">
      <c r="A33" s="349"/>
      <c r="B33" s="756" t="s">
        <v>49</v>
      </c>
      <c r="C33" s="757"/>
      <c r="D33" s="758"/>
      <c r="E33" s="758"/>
      <c r="F33" s="758"/>
      <c r="G33" s="758"/>
      <c r="H33" s="758"/>
      <c r="I33" s="758"/>
      <c r="J33" s="758"/>
      <c r="K33" s="127"/>
      <c r="L33" s="128">
        <v>3</v>
      </c>
      <c r="M33" s="129">
        <v>12</v>
      </c>
      <c r="N33" s="350"/>
      <c r="O33" s="130"/>
      <c r="P33" s="758"/>
      <c r="Q33" s="158"/>
      <c r="R33" s="131">
        <v>12</v>
      </c>
      <c r="S33" s="129">
        <v>6</v>
      </c>
      <c r="T33" s="349"/>
      <c r="U33" s="130"/>
      <c r="V33" s="758"/>
      <c r="W33" s="129">
        <v>12</v>
      </c>
      <c r="X33" s="349"/>
    </row>
    <row r="34" spans="1:28" s="748" customFormat="1" x14ac:dyDescent="0.2">
      <c r="A34" s="334"/>
      <c r="B34" s="339" t="s">
        <v>51</v>
      </c>
      <c r="C34" s="339"/>
      <c r="D34" s="760">
        <v>719336</v>
      </c>
      <c r="E34" s="760">
        <v>724617</v>
      </c>
      <c r="F34" s="760">
        <v>722154</v>
      </c>
      <c r="G34" s="760">
        <v>758386</v>
      </c>
      <c r="H34" s="760">
        <v>772080</v>
      </c>
      <c r="I34" s="760">
        <v>773286</v>
      </c>
      <c r="J34" s="760">
        <v>812729</v>
      </c>
      <c r="K34" s="132">
        <v>828572</v>
      </c>
      <c r="L34" s="161">
        <v>1.9493582731759274</v>
      </c>
      <c r="M34" s="161">
        <v>9.2546539624940305</v>
      </c>
      <c r="N34" s="8"/>
      <c r="O34" s="133">
        <v>828572</v>
      </c>
      <c r="P34" s="760">
        <v>773286</v>
      </c>
      <c r="Q34" s="8">
        <v>758386</v>
      </c>
      <c r="R34" s="161">
        <v>9.2546539624940305</v>
      </c>
      <c r="S34" s="161">
        <v>7.1494893221912825</v>
      </c>
      <c r="T34" s="334"/>
      <c r="U34" s="133">
        <v>828572</v>
      </c>
      <c r="V34" s="760">
        <v>758386</v>
      </c>
      <c r="W34" s="161">
        <v>9.2546539624940305</v>
      </c>
      <c r="X34" s="334"/>
      <c r="Y34" s="334"/>
      <c r="Z34" s="334"/>
      <c r="AA34" s="334"/>
      <c r="AB34" s="334"/>
    </row>
    <row r="35" spans="1:28" s="748" customFormat="1" x14ac:dyDescent="0.2">
      <c r="A35" s="334"/>
      <c r="B35" s="339" t="s">
        <v>52</v>
      </c>
      <c r="C35" s="339"/>
      <c r="D35" s="760">
        <v>63683</v>
      </c>
      <c r="E35" s="760">
        <v>65301</v>
      </c>
      <c r="F35" s="760">
        <v>67266</v>
      </c>
      <c r="G35" s="760">
        <v>68786</v>
      </c>
      <c r="H35" s="760">
        <v>68697</v>
      </c>
      <c r="I35" s="760">
        <v>68564</v>
      </c>
      <c r="J35" s="760">
        <v>68845</v>
      </c>
      <c r="K35" s="132">
        <v>68867</v>
      </c>
      <c r="L35" s="161">
        <v>3.1955842835351689E-2</v>
      </c>
      <c r="M35" s="161">
        <v>0.11775652022214533</v>
      </c>
      <c r="N35" s="8"/>
      <c r="O35" s="133">
        <v>68867</v>
      </c>
      <c r="P35" s="760">
        <v>68564</v>
      </c>
      <c r="Q35" s="8">
        <v>68786</v>
      </c>
      <c r="R35" s="161">
        <v>0.11775652022214533</v>
      </c>
      <c r="S35" s="161">
        <v>0.44192287497812899</v>
      </c>
      <c r="T35" s="334"/>
      <c r="U35" s="133">
        <v>68867</v>
      </c>
      <c r="V35" s="760">
        <v>68786</v>
      </c>
      <c r="W35" s="161">
        <v>0.11775652022214533</v>
      </c>
      <c r="X35" s="334"/>
      <c r="Y35" s="334"/>
      <c r="Z35" s="334"/>
      <c r="AA35" s="334"/>
      <c r="AB35" s="334"/>
    </row>
    <row r="36" spans="1:28" x14ac:dyDescent="0.2">
      <c r="A36" s="323"/>
      <c r="B36" s="323"/>
      <c r="C36" s="323"/>
      <c r="D36" s="8"/>
      <c r="E36" s="8"/>
      <c r="F36" s="8"/>
      <c r="G36" s="8"/>
      <c r="H36" s="8"/>
      <c r="I36" s="8"/>
      <c r="J36" s="8"/>
      <c r="K36" s="102"/>
      <c r="L36" s="330"/>
      <c r="M36" s="330"/>
      <c r="N36" s="8"/>
      <c r="O36" s="103"/>
      <c r="P36" s="8"/>
      <c r="Q36" s="323"/>
      <c r="R36" s="351"/>
      <c r="S36" s="351"/>
      <c r="T36" s="323"/>
      <c r="U36" s="103"/>
      <c r="V36" s="8"/>
      <c r="W36" s="323"/>
      <c r="X36" s="323"/>
      <c r="Y36" s="323"/>
      <c r="Z36" s="323"/>
      <c r="AA36" s="323"/>
      <c r="AB36" s="323"/>
    </row>
    <row r="37" spans="1:28" ht="17.25" x14ac:dyDescent="0.25">
      <c r="A37" s="352" t="s">
        <v>387</v>
      </c>
      <c r="B37" s="323"/>
      <c r="C37" s="323"/>
      <c r="D37" s="150"/>
      <c r="E37" s="150"/>
      <c r="F37" s="150"/>
      <c r="G37" s="150"/>
      <c r="H37" s="150"/>
      <c r="I37" s="150"/>
      <c r="J37" s="150"/>
      <c r="K37" s="196"/>
      <c r="L37" s="330"/>
      <c r="M37" s="330"/>
      <c r="N37" s="8"/>
      <c r="O37" s="169"/>
      <c r="P37" s="150"/>
      <c r="Q37" s="323"/>
      <c r="R37" s="351"/>
      <c r="S37" s="351"/>
      <c r="T37" s="323"/>
      <c r="U37" s="169"/>
      <c r="V37" s="150"/>
      <c r="W37" s="323"/>
      <c r="X37" s="323"/>
      <c r="Y37" s="323"/>
      <c r="Z37" s="323"/>
      <c r="AA37" s="323"/>
      <c r="AB37" s="323"/>
    </row>
    <row r="38" spans="1:28" s="763" customFormat="1" ht="14.1" customHeight="1" x14ac:dyDescent="0.2">
      <c r="A38" s="761"/>
      <c r="B38" s="762" t="s">
        <v>388</v>
      </c>
      <c r="C38" s="353"/>
      <c r="D38" s="354">
        <v>2.14</v>
      </c>
      <c r="E38" s="354">
        <v>2.14</v>
      </c>
      <c r="F38" s="354">
        <v>2.11</v>
      </c>
      <c r="G38" s="354">
        <v>2.15</v>
      </c>
      <c r="H38" s="354">
        <v>2.12</v>
      </c>
      <c r="I38" s="354">
        <v>2.0499999999999998</v>
      </c>
      <c r="J38" s="354">
        <v>1.96</v>
      </c>
      <c r="K38" s="134">
        <v>1.93</v>
      </c>
      <c r="L38" s="162">
        <v>-3.0000000000000027E-2</v>
      </c>
      <c r="M38" s="162">
        <v>-0.21999999999999997</v>
      </c>
      <c r="N38" s="354"/>
      <c r="O38" s="135">
        <v>1.94</v>
      </c>
      <c r="P38" s="354">
        <v>2.08</v>
      </c>
      <c r="Q38" s="354">
        <v>2.13</v>
      </c>
      <c r="R38" s="162">
        <v>-0.18999999999999995</v>
      </c>
      <c r="S38" s="150">
        <v>-0.14000000000000012</v>
      </c>
      <c r="T38" s="761"/>
      <c r="U38" s="135">
        <v>2.0099999999999998</v>
      </c>
      <c r="V38" s="354">
        <v>2.13</v>
      </c>
      <c r="W38" s="150">
        <v>-0.12000000000000011</v>
      </c>
      <c r="X38" s="761"/>
      <c r="Y38" s="761"/>
      <c r="Z38" s="761"/>
      <c r="AA38" s="761"/>
      <c r="AB38" s="761"/>
    </row>
    <row r="39" spans="1:28" s="766" customFormat="1" ht="14.1" customHeight="1" x14ac:dyDescent="0.2">
      <c r="A39" s="764"/>
      <c r="B39" s="355" t="s">
        <v>389</v>
      </c>
      <c r="C39" s="355"/>
      <c r="D39" s="354">
        <v>2.77</v>
      </c>
      <c r="E39" s="354">
        <v>2.83</v>
      </c>
      <c r="F39" s="354">
        <v>2.83</v>
      </c>
      <c r="G39" s="354">
        <v>2.77</v>
      </c>
      <c r="H39" s="354">
        <v>2.68</v>
      </c>
      <c r="I39" s="354">
        <v>2.5499999999999998</v>
      </c>
      <c r="J39" s="354">
        <v>2.4</v>
      </c>
      <c r="K39" s="134">
        <v>2.34</v>
      </c>
      <c r="L39" s="162">
        <v>-6.0000000000000053E-2</v>
      </c>
      <c r="M39" s="162">
        <v>-0.43000000000000016</v>
      </c>
      <c r="N39" s="765"/>
      <c r="O39" s="135">
        <v>2.37</v>
      </c>
      <c r="P39" s="354">
        <v>2.61</v>
      </c>
      <c r="Q39" s="354">
        <v>2.8</v>
      </c>
      <c r="R39" s="162">
        <v>-0.42999999999999972</v>
      </c>
      <c r="S39" s="162">
        <v>-0.23999999999999977</v>
      </c>
      <c r="T39" s="764"/>
      <c r="U39" s="135">
        <v>2.48</v>
      </c>
      <c r="V39" s="354">
        <v>2.8</v>
      </c>
      <c r="W39" s="162">
        <v>-0.31999999999999984</v>
      </c>
      <c r="X39" s="764"/>
      <c r="Y39" s="761"/>
      <c r="Z39" s="761"/>
      <c r="AA39" s="761"/>
      <c r="AB39" s="761"/>
    </row>
    <row r="40" spans="1:28" s="763" customFormat="1" ht="14.1" customHeight="1" x14ac:dyDescent="0.2">
      <c r="A40" s="761"/>
      <c r="B40" s="762" t="s">
        <v>53</v>
      </c>
      <c r="C40" s="762"/>
      <c r="D40" s="765">
        <v>37.4</v>
      </c>
      <c r="E40" s="765">
        <v>39.6</v>
      </c>
      <c r="F40" s="765">
        <v>39.1</v>
      </c>
      <c r="G40" s="765">
        <v>43.5</v>
      </c>
      <c r="H40" s="765">
        <v>37.5</v>
      </c>
      <c r="I40" s="765">
        <v>39.6</v>
      </c>
      <c r="J40" s="765">
        <v>40.299999999999997</v>
      </c>
      <c r="K40" s="136">
        <v>44.5</v>
      </c>
      <c r="L40" s="163">
        <v>4.2000000000000028</v>
      </c>
      <c r="M40" s="163">
        <v>1</v>
      </c>
      <c r="N40" s="354"/>
      <c r="O40" s="137">
        <v>42.3</v>
      </c>
      <c r="P40" s="767">
        <v>38.5</v>
      </c>
      <c r="Q40" s="767">
        <v>41.3</v>
      </c>
      <c r="R40" s="163">
        <v>1</v>
      </c>
      <c r="S40" s="163">
        <v>3.7999999999999972</v>
      </c>
      <c r="T40" s="761"/>
      <c r="U40" s="137">
        <v>40.4</v>
      </c>
      <c r="V40" s="767">
        <v>39.9</v>
      </c>
      <c r="W40" s="163">
        <v>0.5</v>
      </c>
      <c r="X40" s="761"/>
      <c r="Y40" s="761"/>
      <c r="Z40" s="761"/>
      <c r="AA40" s="761"/>
      <c r="AB40" s="761"/>
    </row>
    <row r="41" spans="1:28" s="766" customFormat="1" ht="14.1" customHeight="1" x14ac:dyDescent="0.2">
      <c r="A41" s="764"/>
      <c r="B41" s="355" t="s">
        <v>54</v>
      </c>
      <c r="C41" s="355"/>
      <c r="D41" s="354">
        <v>1.56</v>
      </c>
      <c r="E41" s="354">
        <v>1.44</v>
      </c>
      <c r="F41" s="354">
        <v>1.52</v>
      </c>
      <c r="G41" s="354">
        <v>1.3</v>
      </c>
      <c r="H41" s="354">
        <v>1.42</v>
      </c>
      <c r="I41" s="354">
        <v>1.35</v>
      </c>
      <c r="J41" s="354">
        <v>1.36</v>
      </c>
      <c r="K41" s="134">
        <v>1.06</v>
      </c>
      <c r="L41" s="162">
        <v>-0.30000000000000004</v>
      </c>
      <c r="M41" s="162">
        <v>-0.24</v>
      </c>
      <c r="N41" s="354"/>
      <c r="O41" s="135">
        <v>1.21</v>
      </c>
      <c r="P41" s="354">
        <v>1.38</v>
      </c>
      <c r="Q41" s="354">
        <v>1.41</v>
      </c>
      <c r="R41" s="162">
        <v>-0.19999999999999996</v>
      </c>
      <c r="S41" s="162">
        <v>-0.16999999999999993</v>
      </c>
      <c r="T41" s="764"/>
      <c r="U41" s="135">
        <v>1.29</v>
      </c>
      <c r="V41" s="354">
        <v>1.45</v>
      </c>
      <c r="W41" s="162">
        <v>-0.15999999999999992</v>
      </c>
      <c r="X41" s="764"/>
      <c r="Y41" s="761"/>
      <c r="Z41" s="761"/>
      <c r="AA41" s="761"/>
      <c r="AB41" s="761"/>
    </row>
    <row r="42" spans="1:28" s="764" customFormat="1" ht="14.1" customHeight="1" x14ac:dyDescent="0.2">
      <c r="B42" s="355" t="s">
        <v>390</v>
      </c>
      <c r="C42" s="355"/>
      <c r="D42" s="765">
        <v>19.399999999999999</v>
      </c>
      <c r="E42" s="765">
        <v>18.2</v>
      </c>
      <c r="F42" s="765">
        <v>18.7</v>
      </c>
      <c r="G42" s="765">
        <v>15.8</v>
      </c>
      <c r="H42" s="765">
        <v>17.3</v>
      </c>
      <c r="I42" s="765">
        <v>16.7</v>
      </c>
      <c r="J42" s="765">
        <v>17.100000000000001</v>
      </c>
      <c r="K42" s="136">
        <v>13.5</v>
      </c>
      <c r="L42" s="163">
        <v>-3.6000000000000014</v>
      </c>
      <c r="M42" s="163">
        <v>-2.3000000000000007</v>
      </c>
      <c r="N42" s="765"/>
      <c r="O42" s="137">
        <v>15.3</v>
      </c>
      <c r="P42" s="765">
        <v>17</v>
      </c>
      <c r="Q42" s="765">
        <v>17.2</v>
      </c>
      <c r="R42" s="163">
        <v>-1.8999999999999986</v>
      </c>
      <c r="S42" s="163">
        <v>-1.6999999999999993</v>
      </c>
      <c r="U42" s="137">
        <v>16.2</v>
      </c>
      <c r="V42" s="765">
        <v>18</v>
      </c>
      <c r="W42" s="163">
        <v>-1.8000000000000007</v>
      </c>
      <c r="Y42" s="761"/>
      <c r="Z42" s="761"/>
      <c r="AA42" s="761"/>
      <c r="AB42" s="761"/>
    </row>
    <row r="43" spans="1:28" s="764" customFormat="1" ht="14.1" customHeight="1" x14ac:dyDescent="0.2">
      <c r="B43" s="355" t="s">
        <v>391</v>
      </c>
      <c r="C43" s="355"/>
      <c r="D43" s="765">
        <v>21.6</v>
      </c>
      <c r="E43" s="765">
        <v>20.3</v>
      </c>
      <c r="F43" s="765">
        <v>20.7</v>
      </c>
      <c r="G43" s="765">
        <v>17.399999999999999</v>
      </c>
      <c r="H43" s="765">
        <v>19.100000000000001</v>
      </c>
      <c r="I43" s="765">
        <v>18.5</v>
      </c>
      <c r="J43" s="765">
        <v>18.899999999999999</v>
      </c>
      <c r="K43" s="136">
        <v>14.9</v>
      </c>
      <c r="L43" s="163">
        <v>-3.9999999999999982</v>
      </c>
      <c r="M43" s="163">
        <v>-2.4999999999999982</v>
      </c>
      <c r="N43" s="765"/>
      <c r="O43" s="137">
        <v>16.899999999999999</v>
      </c>
      <c r="P43" s="765">
        <v>18.8</v>
      </c>
      <c r="Q43" s="765">
        <v>19.100000000000001</v>
      </c>
      <c r="R43" s="163">
        <v>-2.2000000000000028</v>
      </c>
      <c r="S43" s="163">
        <v>-1.9000000000000021</v>
      </c>
      <c r="U43" s="137">
        <v>17.8</v>
      </c>
      <c r="V43" s="765">
        <v>20</v>
      </c>
      <c r="W43" s="163">
        <v>-2.1999999999999993</v>
      </c>
      <c r="Y43" s="761"/>
      <c r="Z43" s="761"/>
      <c r="AA43" s="761"/>
      <c r="AB43" s="761"/>
    </row>
    <row r="44" spans="1:28" s="764" customFormat="1" ht="14.1" customHeight="1" x14ac:dyDescent="0.2">
      <c r="B44" s="355" t="s">
        <v>55</v>
      </c>
      <c r="C44" s="355"/>
      <c r="D44" s="767">
        <v>1.1000000000000001</v>
      </c>
      <c r="E44" s="767">
        <v>1.1000000000000001</v>
      </c>
      <c r="F44" s="767">
        <v>1</v>
      </c>
      <c r="G44" s="767">
        <v>1.1000000000000001</v>
      </c>
      <c r="H44" s="767">
        <v>1.1000000000000001</v>
      </c>
      <c r="I44" s="767">
        <v>1</v>
      </c>
      <c r="J44" s="767">
        <v>1</v>
      </c>
      <c r="K44" s="138">
        <v>1</v>
      </c>
      <c r="L44" s="163">
        <v>0</v>
      </c>
      <c r="M44" s="163">
        <v>-0.10000000000000009</v>
      </c>
      <c r="N44" s="765"/>
      <c r="O44" s="139">
        <v>1</v>
      </c>
      <c r="P44" s="767">
        <v>1</v>
      </c>
      <c r="Q44" s="767">
        <v>1.1000000000000001</v>
      </c>
      <c r="R44" s="163">
        <v>-0.10000000000000009</v>
      </c>
      <c r="S44" s="163">
        <v>0</v>
      </c>
      <c r="U44" s="139">
        <v>1</v>
      </c>
      <c r="V44" s="767">
        <v>1.1000000000000001</v>
      </c>
      <c r="W44" s="163">
        <v>-0.10000000000000009</v>
      </c>
      <c r="Y44" s="761"/>
      <c r="Z44" s="761"/>
      <c r="AA44" s="761"/>
      <c r="AB44" s="761"/>
    </row>
    <row r="45" spans="1:28" s="764" customFormat="1" ht="14.1" customHeight="1" x14ac:dyDescent="0.2">
      <c r="B45" s="355" t="s">
        <v>56</v>
      </c>
      <c r="C45" s="355"/>
      <c r="D45" s="8">
        <v>125</v>
      </c>
      <c r="E45" s="8">
        <v>129</v>
      </c>
      <c r="F45" s="8">
        <v>135</v>
      </c>
      <c r="G45" s="8">
        <v>129</v>
      </c>
      <c r="H45" s="8">
        <v>137</v>
      </c>
      <c r="I45" s="8">
        <v>137</v>
      </c>
      <c r="J45" s="8">
        <v>139</v>
      </c>
      <c r="K45" s="102">
        <v>130</v>
      </c>
      <c r="L45" s="161">
        <v>-9</v>
      </c>
      <c r="M45" s="161">
        <v>1</v>
      </c>
      <c r="N45" s="765"/>
      <c r="O45" s="103">
        <v>130</v>
      </c>
      <c r="P45" s="8">
        <v>137</v>
      </c>
      <c r="Q45" s="8">
        <v>129</v>
      </c>
      <c r="R45" s="161">
        <v>1</v>
      </c>
      <c r="S45" s="161">
        <v>-7</v>
      </c>
      <c r="U45" s="103">
        <v>130</v>
      </c>
      <c r="V45" s="8">
        <v>129</v>
      </c>
      <c r="W45" s="161">
        <v>1</v>
      </c>
      <c r="Y45" s="761"/>
      <c r="Z45" s="761"/>
      <c r="AA45" s="761"/>
      <c r="AB45" s="761"/>
    </row>
    <row r="46" spans="1:28" s="334" customFormat="1" ht="14.1" customHeight="1" x14ac:dyDescent="0.2">
      <c r="B46" s="355" t="s">
        <v>57</v>
      </c>
      <c r="C46" s="339"/>
      <c r="D46" s="8">
        <v>223</v>
      </c>
      <c r="E46" s="8">
        <v>227</v>
      </c>
      <c r="F46" s="8">
        <v>242</v>
      </c>
      <c r="G46" s="8">
        <v>226</v>
      </c>
      <c r="H46" s="8">
        <v>230</v>
      </c>
      <c r="I46" s="8">
        <v>236</v>
      </c>
      <c r="J46" s="8">
        <v>229</v>
      </c>
      <c r="K46" s="102">
        <v>197</v>
      </c>
      <c r="L46" s="161">
        <v>-32</v>
      </c>
      <c r="M46" s="161">
        <v>-29</v>
      </c>
      <c r="N46" s="189"/>
      <c r="O46" s="103">
        <v>197</v>
      </c>
      <c r="P46" s="8">
        <v>236</v>
      </c>
      <c r="Q46" s="8">
        <v>226</v>
      </c>
      <c r="R46" s="161">
        <v>-29</v>
      </c>
      <c r="S46" s="161">
        <v>-39</v>
      </c>
      <c r="U46" s="103">
        <v>197</v>
      </c>
      <c r="V46" s="8">
        <v>226</v>
      </c>
      <c r="W46" s="161">
        <v>-29</v>
      </c>
      <c r="Y46" s="761"/>
      <c r="Z46" s="761"/>
      <c r="AA46" s="761"/>
      <c r="AB46" s="761"/>
    </row>
    <row r="47" spans="1:28" s="748" customFormat="1" ht="14.1" customHeight="1" x14ac:dyDescent="0.2">
      <c r="A47" s="334"/>
      <c r="B47" s="339" t="s">
        <v>58</v>
      </c>
      <c r="C47" s="339"/>
      <c r="D47" s="8">
        <v>10</v>
      </c>
      <c r="E47" s="8">
        <v>8</v>
      </c>
      <c r="F47" s="8">
        <v>14</v>
      </c>
      <c r="G47" s="8">
        <v>20</v>
      </c>
      <c r="H47" s="8">
        <v>10</v>
      </c>
      <c r="I47" s="8">
        <v>15</v>
      </c>
      <c r="J47" s="8">
        <v>15</v>
      </c>
      <c r="K47" s="102">
        <v>36</v>
      </c>
      <c r="L47" s="161">
        <v>21</v>
      </c>
      <c r="M47" s="161">
        <v>16</v>
      </c>
      <c r="N47" s="356"/>
      <c r="O47" s="103">
        <v>26</v>
      </c>
      <c r="P47" s="8">
        <v>12</v>
      </c>
      <c r="Q47" s="8">
        <v>17</v>
      </c>
      <c r="R47" s="161">
        <v>9</v>
      </c>
      <c r="S47" s="161">
        <v>14</v>
      </c>
      <c r="T47" s="334"/>
      <c r="U47" s="103">
        <v>19</v>
      </c>
      <c r="V47" s="8">
        <v>13</v>
      </c>
      <c r="W47" s="161">
        <v>6</v>
      </c>
      <c r="X47" s="334"/>
      <c r="Y47" s="761"/>
      <c r="Z47" s="761"/>
      <c r="AA47" s="761"/>
      <c r="AB47" s="761"/>
    </row>
    <row r="48" spans="1:28" ht="14.1" customHeight="1" x14ac:dyDescent="0.2">
      <c r="A48" s="323"/>
      <c r="B48" s="357" t="s">
        <v>359</v>
      </c>
      <c r="C48" s="357"/>
      <c r="D48" s="765">
        <v>14.7</v>
      </c>
      <c r="E48" s="765">
        <v>14.8</v>
      </c>
      <c r="F48" s="765">
        <v>17.2</v>
      </c>
      <c r="G48" s="765">
        <v>17</v>
      </c>
      <c r="H48" s="765">
        <v>17.399999999999999</v>
      </c>
      <c r="I48" s="765">
        <v>17</v>
      </c>
      <c r="J48" s="765">
        <v>16.899999999999999</v>
      </c>
      <c r="K48" s="138">
        <v>17</v>
      </c>
      <c r="L48" s="163">
        <v>0.10000000000000142</v>
      </c>
      <c r="M48" s="163">
        <v>0</v>
      </c>
      <c r="N48" s="356"/>
      <c r="O48" s="139">
        <v>17</v>
      </c>
      <c r="P48" s="767">
        <v>17</v>
      </c>
      <c r="Q48" s="767">
        <v>17</v>
      </c>
      <c r="R48" s="163">
        <v>0</v>
      </c>
      <c r="S48" s="163">
        <v>0</v>
      </c>
      <c r="T48" s="323"/>
      <c r="U48" s="139">
        <v>17</v>
      </c>
      <c r="V48" s="767">
        <v>17</v>
      </c>
      <c r="W48" s="163">
        <v>0</v>
      </c>
      <c r="X48" s="323"/>
      <c r="Y48" s="761"/>
      <c r="Z48" s="761"/>
      <c r="AA48" s="761"/>
      <c r="AB48" s="761"/>
    </row>
    <row r="49" spans="1:28" ht="14.1" customHeight="1" x14ac:dyDescent="0.2">
      <c r="A49" s="323"/>
      <c r="B49" s="357" t="s">
        <v>392</v>
      </c>
      <c r="C49" s="357"/>
      <c r="D49" s="765" t="s">
        <v>360</v>
      </c>
      <c r="E49" s="765" t="s">
        <v>360</v>
      </c>
      <c r="F49" s="765">
        <v>15.2</v>
      </c>
      <c r="G49" s="765">
        <v>15.1</v>
      </c>
      <c r="H49" s="765">
        <v>15.2</v>
      </c>
      <c r="I49" s="765">
        <v>15.1</v>
      </c>
      <c r="J49" s="765">
        <v>15.1</v>
      </c>
      <c r="K49" s="138">
        <v>15</v>
      </c>
      <c r="L49" s="163">
        <v>-9.9999999999999645E-2</v>
      </c>
      <c r="M49" s="163">
        <v>-9.9999999999999645E-2</v>
      </c>
      <c r="N49" s="356"/>
      <c r="O49" s="139">
        <v>15</v>
      </c>
      <c r="P49" s="767">
        <v>15.1</v>
      </c>
      <c r="Q49" s="767">
        <v>15.1</v>
      </c>
      <c r="R49" s="163">
        <v>-9.9999999999999645E-2</v>
      </c>
      <c r="S49" s="163">
        <v>-9.9999999999999645E-2</v>
      </c>
      <c r="T49" s="323"/>
      <c r="U49" s="139">
        <v>15</v>
      </c>
      <c r="V49" s="767">
        <v>15.1</v>
      </c>
      <c r="W49" s="163">
        <v>-9.9999999999999645E-2</v>
      </c>
      <c r="X49" s="323"/>
      <c r="Y49" s="761"/>
      <c r="Z49" s="761"/>
      <c r="AA49" s="761"/>
      <c r="AB49" s="761"/>
    </row>
    <row r="50" spans="1:28" x14ac:dyDescent="0.2">
      <c r="A50" s="323"/>
      <c r="B50" s="357"/>
      <c r="C50" s="357"/>
      <c r="D50" s="8"/>
      <c r="E50" s="8"/>
      <c r="F50" s="8"/>
      <c r="G50" s="8"/>
      <c r="H50" s="8"/>
      <c r="I50" s="8"/>
      <c r="J50" s="330"/>
      <c r="K50" s="102"/>
      <c r="L50" s="165"/>
      <c r="M50" s="165"/>
      <c r="N50" s="356"/>
      <c r="O50" s="103"/>
      <c r="P50" s="329"/>
      <c r="Q50" s="323"/>
      <c r="R50" s="165"/>
      <c r="S50" s="165"/>
      <c r="T50" s="323"/>
      <c r="U50" s="103"/>
      <c r="V50" s="329"/>
      <c r="W50" s="164"/>
      <c r="X50" s="323"/>
      <c r="Y50" s="761"/>
      <c r="Z50" s="761"/>
      <c r="AA50" s="323"/>
      <c r="AB50" s="323"/>
    </row>
    <row r="51" spans="1:28" ht="17.25" x14ac:dyDescent="0.25">
      <c r="A51" s="323"/>
      <c r="B51" s="352" t="s">
        <v>483</v>
      </c>
      <c r="C51" s="331"/>
      <c r="D51" s="8"/>
      <c r="E51" s="8"/>
      <c r="F51" s="8"/>
      <c r="G51" s="8"/>
      <c r="H51" s="8"/>
      <c r="I51" s="8"/>
      <c r="J51" s="330"/>
      <c r="K51" s="102"/>
      <c r="L51" s="165"/>
      <c r="M51" s="165"/>
      <c r="N51" s="356"/>
      <c r="O51" s="103"/>
      <c r="P51" s="329"/>
      <c r="Q51" s="323"/>
      <c r="R51" s="165"/>
      <c r="S51" s="165"/>
      <c r="T51" s="323"/>
      <c r="U51" s="103"/>
      <c r="V51" s="329"/>
      <c r="W51" s="164"/>
      <c r="X51" s="323"/>
      <c r="Y51" s="761"/>
      <c r="Z51" s="761"/>
      <c r="AA51" s="323"/>
      <c r="AB51" s="323"/>
    </row>
    <row r="52" spans="1:28" ht="17.25" x14ac:dyDescent="0.25">
      <c r="A52" s="323"/>
      <c r="B52" s="358" t="s">
        <v>348</v>
      </c>
      <c r="C52" s="331"/>
      <c r="D52" s="151"/>
      <c r="E52" s="151"/>
      <c r="F52" s="151"/>
      <c r="G52" s="151"/>
      <c r="H52" s="151"/>
      <c r="I52" s="151"/>
      <c r="J52" s="151"/>
      <c r="K52" s="140"/>
      <c r="L52" s="162"/>
      <c r="M52" s="162"/>
      <c r="N52" s="356"/>
      <c r="O52" s="141"/>
      <c r="P52" s="151"/>
      <c r="Q52" s="151"/>
      <c r="R52" s="162"/>
      <c r="S52" s="162"/>
      <c r="T52" s="323"/>
      <c r="U52" s="141"/>
      <c r="V52" s="151"/>
      <c r="W52" s="162"/>
      <c r="X52" s="323"/>
      <c r="Y52" s="761"/>
      <c r="Z52" s="761"/>
      <c r="AA52" s="761"/>
      <c r="AB52" s="761"/>
    </row>
    <row r="53" spans="1:28" ht="15" x14ac:dyDescent="0.25">
      <c r="A53" s="323"/>
      <c r="B53" s="768" t="s">
        <v>485</v>
      </c>
      <c r="C53" s="331"/>
      <c r="D53" s="774">
        <v>4.16</v>
      </c>
      <c r="E53" s="774">
        <v>3.93</v>
      </c>
      <c r="F53" s="774">
        <v>4.21</v>
      </c>
      <c r="G53" s="774">
        <v>3.64</v>
      </c>
      <c r="H53" s="774">
        <v>4.1100000000000003</v>
      </c>
      <c r="I53" s="774">
        <v>3.98</v>
      </c>
      <c r="J53" s="774">
        <v>4.12</v>
      </c>
      <c r="K53" s="140">
        <v>3.3</v>
      </c>
      <c r="L53" s="162">
        <v>-0.82000000000000028</v>
      </c>
      <c r="M53" s="162">
        <v>-0.3400000000000003</v>
      </c>
      <c r="N53" s="356"/>
      <c r="O53" s="141">
        <v>3.71</v>
      </c>
      <c r="P53" s="774">
        <v>4.04</v>
      </c>
      <c r="Q53" s="774">
        <v>3.92</v>
      </c>
      <c r="R53" s="162">
        <v>-0.20999999999999996</v>
      </c>
      <c r="S53" s="162">
        <v>-0.33000000000000007</v>
      </c>
      <c r="T53" s="323"/>
      <c r="U53" s="141">
        <v>3.88</v>
      </c>
      <c r="V53" s="774">
        <v>3.98</v>
      </c>
      <c r="W53" s="162">
        <v>-0.10000000000000009</v>
      </c>
      <c r="X53" s="323"/>
      <c r="Y53" s="761"/>
      <c r="Z53" s="761"/>
      <c r="AA53" s="761"/>
      <c r="AB53" s="761"/>
    </row>
    <row r="54" spans="1:28" ht="17.25" x14ac:dyDescent="0.25">
      <c r="A54" s="323"/>
      <c r="B54" s="768" t="s">
        <v>486</v>
      </c>
      <c r="C54" s="331"/>
      <c r="D54" s="774">
        <v>4.16</v>
      </c>
      <c r="E54" s="774">
        <v>3.93</v>
      </c>
      <c r="F54" s="774">
        <v>4.21</v>
      </c>
      <c r="G54" s="774">
        <v>3.64</v>
      </c>
      <c r="H54" s="774">
        <v>4.1100000000000003</v>
      </c>
      <c r="I54" s="774">
        <v>3.98</v>
      </c>
      <c r="J54" s="774">
        <v>4.12</v>
      </c>
      <c r="K54" s="140">
        <v>3.28</v>
      </c>
      <c r="L54" s="162">
        <v>-0.8400000000000003</v>
      </c>
      <c r="M54" s="162">
        <v>-0.36000000000000032</v>
      </c>
      <c r="N54" s="356"/>
      <c r="O54" s="141">
        <v>3.69</v>
      </c>
      <c r="P54" s="774">
        <v>4.04</v>
      </c>
      <c r="Q54" s="774">
        <v>3.92</v>
      </c>
      <c r="R54" s="162">
        <v>-0.22999999999999998</v>
      </c>
      <c r="S54" s="162">
        <v>-0.35000000000000009</v>
      </c>
      <c r="T54" s="323"/>
      <c r="U54" s="141">
        <v>3.86</v>
      </c>
      <c r="V54" s="774">
        <v>3.98</v>
      </c>
      <c r="W54" s="162">
        <v>-0.12000000000000011</v>
      </c>
      <c r="X54" s="323"/>
      <c r="Y54" s="761"/>
      <c r="Z54" s="761"/>
      <c r="AA54" s="761"/>
      <c r="AB54" s="761"/>
    </row>
    <row r="55" spans="1:28" ht="14.1" customHeight="1" x14ac:dyDescent="0.2">
      <c r="A55" s="323"/>
      <c r="B55" s="358" t="s">
        <v>59</v>
      </c>
      <c r="C55" s="358"/>
      <c r="D55" s="152"/>
      <c r="E55" s="152"/>
      <c r="F55" s="152"/>
      <c r="G55" s="152"/>
      <c r="H55" s="152"/>
      <c r="I55" s="152"/>
      <c r="J55" s="151"/>
      <c r="K55" s="140"/>
      <c r="L55" s="162"/>
      <c r="M55" s="162"/>
      <c r="N55" s="356"/>
      <c r="O55" s="142"/>
      <c r="P55" s="152"/>
      <c r="Q55" s="152"/>
      <c r="R55" s="162"/>
      <c r="S55" s="162"/>
      <c r="T55" s="323"/>
      <c r="U55" s="142"/>
      <c r="V55" s="152"/>
      <c r="W55" s="162"/>
      <c r="X55" s="323"/>
      <c r="Y55" s="761"/>
      <c r="Z55" s="761"/>
      <c r="AA55" s="761"/>
      <c r="AB55" s="761"/>
    </row>
    <row r="56" spans="1:28" ht="14.1" customHeight="1" x14ac:dyDescent="0.2">
      <c r="A56" s="323"/>
      <c r="B56" s="768" t="s">
        <v>485</v>
      </c>
      <c r="C56" s="358"/>
      <c r="D56" s="775">
        <v>4.1500000000000004</v>
      </c>
      <c r="E56" s="775">
        <v>3.93</v>
      </c>
      <c r="F56" s="775">
        <v>4.21</v>
      </c>
      <c r="G56" s="775">
        <v>3.6</v>
      </c>
      <c r="H56" s="775">
        <v>4.1100000000000003</v>
      </c>
      <c r="I56" s="775">
        <v>3.98</v>
      </c>
      <c r="J56" s="774">
        <v>4.12</v>
      </c>
      <c r="K56" s="140">
        <v>3.26</v>
      </c>
      <c r="L56" s="162">
        <v>-0.86000000000000032</v>
      </c>
      <c r="M56" s="162">
        <v>-0.3400000000000003</v>
      </c>
      <c r="N56" s="356"/>
      <c r="O56" s="142">
        <v>3.67</v>
      </c>
      <c r="P56" s="775">
        <v>4.04</v>
      </c>
      <c r="Q56" s="775">
        <v>3.89</v>
      </c>
      <c r="R56" s="162">
        <v>-0.2200000000000002</v>
      </c>
      <c r="S56" s="162">
        <v>-0.37000000000000011</v>
      </c>
      <c r="T56" s="323"/>
      <c r="U56" s="142">
        <v>3.84</v>
      </c>
      <c r="V56" s="775">
        <v>3.94</v>
      </c>
      <c r="W56" s="162">
        <v>-0.10000000000000009</v>
      </c>
      <c r="X56" s="323"/>
      <c r="Y56" s="761"/>
      <c r="Z56" s="761"/>
      <c r="AA56" s="761"/>
      <c r="AB56" s="761"/>
    </row>
    <row r="57" spans="1:28" ht="14.1" customHeight="1" x14ac:dyDescent="0.2">
      <c r="A57" s="323"/>
      <c r="B57" s="768" t="s">
        <v>486</v>
      </c>
      <c r="C57" s="358"/>
      <c r="D57" s="775">
        <v>4.1500000000000004</v>
      </c>
      <c r="E57" s="775">
        <v>3.93</v>
      </c>
      <c r="F57" s="775">
        <v>4.21</v>
      </c>
      <c r="G57" s="775">
        <v>3.6</v>
      </c>
      <c r="H57" s="775">
        <v>4.1100000000000003</v>
      </c>
      <c r="I57" s="775">
        <v>3.98</v>
      </c>
      <c r="J57" s="774">
        <v>4.12</v>
      </c>
      <c r="K57" s="140">
        <v>3.25</v>
      </c>
      <c r="L57" s="162">
        <v>-0.87000000000000011</v>
      </c>
      <c r="M57" s="162">
        <v>-0.35000000000000009</v>
      </c>
      <c r="N57" s="356"/>
      <c r="O57" s="142">
        <v>3.66</v>
      </c>
      <c r="P57" s="775">
        <v>4.04</v>
      </c>
      <c r="Q57" s="775">
        <v>3.89</v>
      </c>
      <c r="R57" s="162">
        <v>-0.22999999999999998</v>
      </c>
      <c r="S57" s="162">
        <v>-0.37999999999999989</v>
      </c>
      <c r="T57" s="323"/>
      <c r="U57" s="142">
        <v>3.82</v>
      </c>
      <c r="V57" s="775">
        <v>3.94</v>
      </c>
      <c r="W57" s="162">
        <v>-0.12000000000000011</v>
      </c>
      <c r="X57" s="323"/>
      <c r="Y57" s="761"/>
      <c r="Z57" s="761"/>
      <c r="AA57" s="761"/>
      <c r="AB57" s="761"/>
    </row>
    <row r="58" spans="1:28" ht="16.5" x14ac:dyDescent="0.2">
      <c r="A58" s="323"/>
      <c r="B58" s="358" t="s">
        <v>393</v>
      </c>
      <c r="C58" s="358"/>
      <c r="D58" s="152">
        <v>21.55</v>
      </c>
      <c r="E58" s="152">
        <v>22.12</v>
      </c>
      <c r="F58" s="152">
        <v>22.81</v>
      </c>
      <c r="G58" s="152">
        <v>23.38</v>
      </c>
      <c r="H58" s="152">
        <v>23.81</v>
      </c>
      <c r="I58" s="152">
        <v>23.82</v>
      </c>
      <c r="J58" s="152">
        <v>24.28</v>
      </c>
      <c r="K58" s="140">
        <v>24.29</v>
      </c>
      <c r="L58" s="162">
        <v>9.9999999999980105E-3</v>
      </c>
      <c r="M58" s="162">
        <v>0.91000000000000014</v>
      </c>
      <c r="N58" s="356"/>
      <c r="O58" s="142">
        <v>24.29</v>
      </c>
      <c r="P58" s="152">
        <v>23.82</v>
      </c>
      <c r="Q58" s="152">
        <v>23.38</v>
      </c>
      <c r="R58" s="162">
        <v>0.91000000000000014</v>
      </c>
      <c r="S58" s="162">
        <v>0.46999999999999886</v>
      </c>
      <c r="T58" s="323"/>
      <c r="U58" s="142">
        <v>24.29</v>
      </c>
      <c r="V58" s="152">
        <v>23.38</v>
      </c>
      <c r="W58" s="162">
        <v>0.91000000000000014</v>
      </c>
      <c r="X58" s="323"/>
      <c r="Y58" s="761"/>
      <c r="Z58" s="761"/>
      <c r="AA58" s="761"/>
      <c r="AB58" s="761"/>
    </row>
    <row r="59" spans="1:28" x14ac:dyDescent="0.2">
      <c r="A59" s="323"/>
      <c r="B59" s="358"/>
      <c r="C59" s="358"/>
      <c r="D59" s="753"/>
      <c r="E59" s="753"/>
      <c r="F59" s="753"/>
      <c r="G59" s="753"/>
      <c r="H59" s="753"/>
      <c r="I59" s="753"/>
      <c r="J59" s="753"/>
      <c r="K59" s="753"/>
      <c r="L59" s="356"/>
      <c r="M59" s="356"/>
      <c r="N59" s="356"/>
      <c r="O59" s="329"/>
      <c r="P59" s="329"/>
      <c r="Q59" s="323"/>
      <c r="R59" s="356"/>
      <c r="S59" s="356"/>
      <c r="T59" s="323"/>
      <c r="U59" s="329"/>
      <c r="V59" s="323"/>
      <c r="W59" s="356"/>
      <c r="X59" s="323"/>
      <c r="Y59" s="323"/>
      <c r="Z59" s="323"/>
      <c r="AA59" s="323"/>
      <c r="AB59" s="323"/>
    </row>
    <row r="60" spans="1:28" x14ac:dyDescent="0.2">
      <c r="A60" s="323"/>
      <c r="B60" s="358"/>
      <c r="C60" s="358"/>
      <c r="D60" s="753"/>
      <c r="E60" s="753"/>
      <c r="F60" s="753"/>
      <c r="G60" s="753"/>
      <c r="H60" s="753"/>
      <c r="I60" s="753"/>
      <c r="J60" s="753"/>
      <c r="K60" s="753"/>
      <c r="L60" s="356"/>
      <c r="M60" s="356"/>
      <c r="N60" s="356"/>
      <c r="O60" s="329"/>
      <c r="P60" s="329"/>
      <c r="Q60" s="323"/>
      <c r="R60" s="356"/>
      <c r="S60" s="356"/>
      <c r="T60" s="323"/>
      <c r="U60" s="329"/>
      <c r="V60" s="323"/>
      <c r="W60" s="356"/>
      <c r="X60" s="323"/>
      <c r="Y60" s="323"/>
      <c r="Z60" s="323"/>
      <c r="AA60" s="323"/>
      <c r="AB60" s="323"/>
    </row>
    <row r="61" spans="1:28" s="359" customFormat="1" ht="12.75" x14ac:dyDescent="0.2">
      <c r="B61" s="360" t="s">
        <v>394</v>
      </c>
      <c r="C61" s="769"/>
      <c r="D61" s="361"/>
      <c r="E61" s="361"/>
      <c r="F61" s="361"/>
      <c r="G61" s="361"/>
      <c r="H61" s="361"/>
      <c r="I61" s="361"/>
      <c r="J61" s="361"/>
      <c r="K61" s="361"/>
      <c r="L61" s="770"/>
      <c r="M61" s="770"/>
      <c r="N61" s="770"/>
      <c r="O61" s="362"/>
      <c r="P61" s="361"/>
      <c r="U61" s="361"/>
    </row>
    <row r="62" spans="1:28" s="359" customFormat="1" ht="12.75" x14ac:dyDescent="0.2">
      <c r="B62" s="360" t="s">
        <v>395</v>
      </c>
      <c r="C62" s="771"/>
      <c r="D62" s="771"/>
      <c r="E62" s="771"/>
      <c r="F62" s="771"/>
      <c r="G62" s="771"/>
      <c r="H62" s="771"/>
      <c r="I62" s="771"/>
      <c r="J62" s="771"/>
      <c r="K62" s="771"/>
      <c r="L62" s="771"/>
      <c r="M62" s="771"/>
      <c r="N62" s="771"/>
      <c r="O62" s="771"/>
      <c r="P62" s="771"/>
      <c r="Q62" s="771"/>
      <c r="R62" s="771"/>
      <c r="S62" s="771"/>
      <c r="U62" s="361"/>
    </row>
    <row r="63" spans="1:28" s="359" customFormat="1" ht="12.75" x14ac:dyDescent="0.2">
      <c r="B63" s="360" t="s">
        <v>399</v>
      </c>
      <c r="C63" s="771"/>
      <c r="D63" s="771"/>
      <c r="E63" s="771"/>
      <c r="F63" s="771"/>
      <c r="G63" s="771"/>
      <c r="H63" s="771"/>
      <c r="I63" s="771"/>
      <c r="J63" s="771"/>
      <c r="K63" s="771"/>
      <c r="L63" s="771"/>
      <c r="M63" s="771"/>
      <c r="N63" s="771"/>
      <c r="O63" s="771"/>
      <c r="P63" s="771"/>
      <c r="Q63" s="771"/>
      <c r="R63" s="771"/>
      <c r="S63" s="771"/>
      <c r="U63" s="361"/>
    </row>
    <row r="64" spans="1:28" s="359" customFormat="1" ht="12.75" x14ac:dyDescent="0.2">
      <c r="B64" s="360" t="s">
        <v>396</v>
      </c>
      <c r="C64" s="771"/>
      <c r="D64" s="771"/>
      <c r="E64" s="771"/>
      <c r="F64" s="771"/>
      <c r="G64" s="771"/>
      <c r="H64" s="771"/>
      <c r="I64" s="771"/>
      <c r="J64" s="771"/>
      <c r="K64" s="771"/>
      <c r="L64" s="771"/>
      <c r="M64" s="771"/>
      <c r="N64" s="771"/>
      <c r="O64" s="771"/>
      <c r="P64" s="771"/>
      <c r="Q64" s="771"/>
      <c r="R64" s="771"/>
      <c r="S64" s="771"/>
      <c r="U64" s="361"/>
    </row>
    <row r="65" spans="1:21" s="359" customFormat="1" ht="12.75" x14ac:dyDescent="0.2">
      <c r="B65" s="360" t="s">
        <v>397</v>
      </c>
      <c r="C65" s="771"/>
      <c r="D65" s="771"/>
      <c r="E65" s="771"/>
      <c r="F65" s="771"/>
      <c r="G65" s="771"/>
      <c r="H65" s="771"/>
      <c r="I65" s="771"/>
      <c r="J65" s="771"/>
      <c r="K65" s="771"/>
      <c r="L65" s="771"/>
      <c r="M65" s="771"/>
      <c r="N65" s="771"/>
      <c r="O65" s="771"/>
      <c r="P65" s="771"/>
      <c r="Q65" s="771"/>
      <c r="R65" s="771"/>
      <c r="S65" s="771"/>
      <c r="U65" s="361"/>
    </row>
    <row r="66" spans="1:21" s="359" customFormat="1" ht="12.75" x14ac:dyDescent="0.2">
      <c r="B66" s="360" t="s">
        <v>398</v>
      </c>
      <c r="C66" s="771"/>
      <c r="D66" s="771"/>
      <c r="E66" s="771"/>
      <c r="F66" s="771"/>
      <c r="G66" s="771"/>
      <c r="H66" s="771"/>
      <c r="I66" s="771"/>
      <c r="J66" s="771"/>
      <c r="K66" s="771"/>
      <c r="L66" s="771"/>
      <c r="M66" s="771"/>
      <c r="N66" s="771"/>
      <c r="O66" s="771"/>
      <c r="P66" s="771"/>
      <c r="Q66" s="771"/>
      <c r="R66" s="771"/>
      <c r="S66" s="771"/>
      <c r="U66" s="361"/>
    </row>
    <row r="67" spans="1:21" s="359" customFormat="1" ht="12.75" x14ac:dyDescent="0.2">
      <c r="B67" s="363" t="s">
        <v>400</v>
      </c>
      <c r="C67" s="771"/>
      <c r="D67" s="771"/>
      <c r="E67" s="771"/>
      <c r="F67" s="771"/>
      <c r="G67" s="771"/>
      <c r="H67" s="771"/>
      <c r="I67" s="771"/>
      <c r="J67" s="771"/>
      <c r="K67" s="771"/>
      <c r="L67" s="771"/>
      <c r="M67" s="771"/>
      <c r="N67" s="771"/>
      <c r="O67" s="771"/>
      <c r="P67" s="771"/>
      <c r="Q67" s="771"/>
      <c r="R67" s="771"/>
      <c r="S67" s="771"/>
      <c r="U67" s="361"/>
    </row>
    <row r="68" spans="1:21" s="359" customFormat="1" ht="12.75" x14ac:dyDescent="0.2">
      <c r="A68" s="364"/>
      <c r="B68" s="360" t="s">
        <v>401</v>
      </c>
      <c r="C68" s="772"/>
      <c r="D68" s="361"/>
      <c r="E68" s="361"/>
      <c r="F68" s="361"/>
      <c r="G68" s="361"/>
      <c r="H68" s="361"/>
      <c r="I68" s="361"/>
      <c r="J68" s="361"/>
      <c r="K68" s="361"/>
      <c r="L68" s="361"/>
      <c r="M68" s="361"/>
      <c r="N68" s="361"/>
      <c r="O68" s="361"/>
      <c r="P68" s="361"/>
      <c r="U68" s="361"/>
    </row>
    <row r="69" spans="1:21" s="359" customFormat="1" ht="12.75" x14ac:dyDescent="0.2">
      <c r="A69" s="364"/>
      <c r="B69" s="360" t="s">
        <v>402</v>
      </c>
      <c r="C69" s="772"/>
      <c r="D69" s="361"/>
      <c r="E69" s="361"/>
      <c r="F69" s="361"/>
      <c r="G69" s="361"/>
      <c r="H69" s="361"/>
      <c r="I69" s="361"/>
      <c r="J69" s="361"/>
      <c r="K69" s="361"/>
      <c r="L69" s="361"/>
      <c r="M69" s="361"/>
      <c r="N69" s="361"/>
      <c r="O69" s="361"/>
      <c r="P69" s="361"/>
      <c r="U69" s="361"/>
    </row>
    <row r="70" spans="1:21" s="359" customFormat="1" ht="12.75" x14ac:dyDescent="0.2">
      <c r="A70" s="364"/>
      <c r="B70" s="363" t="s">
        <v>502</v>
      </c>
      <c r="C70" s="772"/>
      <c r="D70" s="361"/>
      <c r="E70" s="361"/>
      <c r="F70" s="361"/>
      <c r="G70" s="361"/>
      <c r="H70" s="361"/>
      <c r="I70" s="361"/>
      <c r="J70" s="361"/>
      <c r="K70" s="361"/>
      <c r="L70" s="361"/>
      <c r="M70" s="361"/>
      <c r="N70" s="361"/>
      <c r="O70" s="361"/>
      <c r="P70" s="361"/>
      <c r="U70" s="361"/>
    </row>
    <row r="71" spans="1:21" x14ac:dyDescent="0.2">
      <c r="A71" s="364"/>
      <c r="B71" s="70" t="s">
        <v>60</v>
      </c>
      <c r="C71" s="357"/>
      <c r="D71" s="8"/>
      <c r="E71" s="8"/>
      <c r="F71" s="8"/>
      <c r="G71" s="8"/>
      <c r="H71" s="8"/>
      <c r="I71" s="8"/>
      <c r="J71" s="8"/>
      <c r="K71" s="8"/>
      <c r="L71" s="8"/>
      <c r="M71" s="8"/>
      <c r="N71" s="8"/>
      <c r="O71" s="8"/>
      <c r="P71" s="8"/>
      <c r="Q71" s="323"/>
      <c r="R71" s="323"/>
      <c r="S71" s="323"/>
      <c r="T71" s="323"/>
      <c r="U71" s="8"/>
    </row>
    <row r="72" spans="1:21" x14ac:dyDescent="0.2">
      <c r="B72" s="70" t="s">
        <v>361</v>
      </c>
    </row>
  </sheetData>
  <mergeCells count="1">
    <mergeCell ref="A2:C2"/>
  </mergeCells>
  <phoneticPr fontId="2" type="noConversion"/>
  <hyperlinks>
    <hyperlink ref="A2" location="Index!A1" display="Back to Index" xr:uid="{32F6D74F-E953-41A8-AD38-2CDB4912AB88}"/>
  </hyperlinks>
  <printOptions gridLines="1"/>
  <pageMargins left="0.70866141732283472" right="0.23622047244094491" top="0.98425196850393704" bottom="0.98425196850393704" header="0.51181102362204722" footer="0.51181102362204722"/>
  <pageSetup paperSize="9" scale="43" orientation="landscape" r:id="rId1"/>
  <headerFooter alignWithMargins="0">
    <oddFooter>&amp;L&amp;D &amp;T&amp;R&amp;F&amp;A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C781B-7509-4D19-AA55-9F71451BC488}">
  <sheetPr>
    <tabColor theme="9" tint="0.39997558519241921"/>
    <pageSetUpPr fitToPage="1"/>
  </sheetPr>
  <dimension ref="A1:Q84"/>
  <sheetViews>
    <sheetView showGridLines="0" zoomScale="85" zoomScaleNormal="85" zoomScaleSheetLayoutView="85" workbookViewId="0"/>
  </sheetViews>
  <sheetFormatPr defaultColWidth="9.42578125" defaultRowHeight="14.25" x14ac:dyDescent="0.2"/>
  <cols>
    <col min="1" max="1" width="2" style="673" customWidth="1"/>
    <col min="2" max="2" width="2.42578125" style="673" customWidth="1"/>
    <col min="3" max="3" width="66.140625" style="673" customWidth="1"/>
    <col min="4" max="8" width="11.42578125" style="324" customWidth="1"/>
    <col min="9" max="9" width="2.5703125" style="324" customWidth="1"/>
    <col min="10" max="12" width="11.42578125" style="675" customWidth="1"/>
    <col min="13" max="13" width="2.42578125" style="673" customWidth="1"/>
    <col min="14" max="16384" width="9.42578125" style="673"/>
  </cols>
  <sheetData>
    <row r="1" spans="1:17" s="667" customFormat="1" ht="20.25" x14ac:dyDescent="0.3">
      <c r="A1" s="3" t="s">
        <v>3</v>
      </c>
      <c r="B1" s="4"/>
      <c r="C1" s="4"/>
      <c r="D1" s="4"/>
      <c r="E1" s="4"/>
      <c r="F1" s="4"/>
      <c r="G1" s="4"/>
      <c r="H1" s="4"/>
      <c r="I1" s="4"/>
      <c r="J1" s="366"/>
      <c r="K1" s="366"/>
      <c r="L1" s="366"/>
      <c r="M1" s="4"/>
      <c r="N1" s="4"/>
      <c r="O1" s="4"/>
      <c r="P1" s="4"/>
      <c r="Q1" s="4"/>
    </row>
    <row r="2" spans="1:17" s="668" customFormat="1" ht="53.25" customHeight="1" x14ac:dyDescent="0.25">
      <c r="A2" s="781" t="s">
        <v>33</v>
      </c>
      <c r="B2" s="781"/>
      <c r="C2" s="781"/>
      <c r="D2" s="321" t="s">
        <v>409</v>
      </c>
      <c r="E2" s="321" t="s">
        <v>410</v>
      </c>
      <c r="F2" s="321" t="s">
        <v>362</v>
      </c>
      <c r="G2" s="321" t="s">
        <v>413</v>
      </c>
      <c r="H2" s="321" t="s">
        <v>411</v>
      </c>
      <c r="I2" s="321"/>
      <c r="J2" s="321" t="s">
        <v>412</v>
      </c>
      <c r="K2" s="321" t="s">
        <v>363</v>
      </c>
      <c r="L2" s="367" t="s">
        <v>414</v>
      </c>
      <c r="M2" s="6"/>
      <c r="N2" s="6"/>
      <c r="O2" s="6"/>
      <c r="P2" s="6"/>
      <c r="Q2" s="6"/>
    </row>
    <row r="3" spans="1:17" s="669" customFormat="1" ht="7.5" customHeight="1" x14ac:dyDescent="0.2">
      <c r="A3" s="323"/>
      <c r="B3" s="357"/>
      <c r="C3" s="323"/>
      <c r="D3" s="166"/>
      <c r="E3" s="323"/>
      <c r="F3" s="323"/>
      <c r="G3" s="323"/>
      <c r="H3" s="323"/>
      <c r="I3" s="323"/>
      <c r="J3" s="103"/>
      <c r="K3" s="8"/>
      <c r="L3" s="330"/>
      <c r="M3" s="323"/>
      <c r="N3" s="323"/>
      <c r="O3" s="323"/>
      <c r="P3" s="323"/>
      <c r="Q3" s="323"/>
    </row>
    <row r="4" spans="1:17" s="670" customFormat="1" ht="17.25" x14ac:dyDescent="0.25">
      <c r="A4" s="352" t="s">
        <v>487</v>
      </c>
      <c r="B4" s="331"/>
      <c r="C4" s="331"/>
      <c r="D4" s="167"/>
      <c r="E4" s="331"/>
      <c r="F4" s="331"/>
      <c r="G4" s="331"/>
      <c r="H4" s="331"/>
      <c r="I4" s="331"/>
      <c r="J4" s="168"/>
      <c r="K4" s="332"/>
      <c r="L4" s="24"/>
      <c r="M4" s="331"/>
      <c r="N4" s="331"/>
      <c r="O4" s="331"/>
      <c r="P4" s="331"/>
      <c r="Q4" s="331"/>
    </row>
    <row r="5" spans="1:17" s="670" customFormat="1" ht="17.25" x14ac:dyDescent="0.25">
      <c r="A5" s="352"/>
      <c r="B5" s="358" t="s">
        <v>348</v>
      </c>
      <c r="C5" s="331"/>
      <c r="D5" s="134"/>
      <c r="E5" s="354"/>
      <c r="F5" s="354"/>
      <c r="G5" s="162"/>
      <c r="H5" s="162"/>
      <c r="I5" s="162"/>
      <c r="J5" s="135"/>
      <c r="K5" s="354"/>
      <c r="L5" s="162"/>
      <c r="M5" s="358"/>
      <c r="N5" s="671"/>
      <c r="O5" s="671"/>
      <c r="P5" s="331"/>
      <c r="Q5" s="331"/>
    </row>
    <row r="6" spans="1:17" s="670" customFormat="1" ht="15" x14ac:dyDescent="0.25">
      <c r="A6" s="352"/>
      <c r="B6" s="358"/>
      <c r="C6" s="368" t="s">
        <v>484</v>
      </c>
      <c r="D6" s="134">
        <v>3.71</v>
      </c>
      <c r="E6" s="354">
        <v>4.04</v>
      </c>
      <c r="F6" s="354">
        <v>3.92</v>
      </c>
      <c r="G6" s="162">
        <v>-0.20999999999999996</v>
      </c>
      <c r="H6" s="162">
        <v>-0.33000000000000007</v>
      </c>
      <c r="I6" s="162"/>
      <c r="J6" s="135">
        <v>3.88</v>
      </c>
      <c r="K6" s="354">
        <v>3.98</v>
      </c>
      <c r="L6" s="162">
        <v>-0.10000000000000009</v>
      </c>
      <c r="M6" s="358"/>
      <c r="N6" s="671"/>
      <c r="O6" s="671"/>
      <c r="P6" s="331"/>
      <c r="Q6" s="331"/>
    </row>
    <row r="7" spans="1:17" s="670" customFormat="1" ht="17.25" x14ac:dyDescent="0.25">
      <c r="A7" s="352"/>
      <c r="B7" s="358"/>
      <c r="C7" s="368" t="s">
        <v>488</v>
      </c>
      <c r="D7" s="134">
        <v>3.69</v>
      </c>
      <c r="E7" s="354">
        <v>4.04</v>
      </c>
      <c r="F7" s="354">
        <v>3.92</v>
      </c>
      <c r="G7" s="162">
        <v>-0.22999999999999998</v>
      </c>
      <c r="H7" s="162">
        <v>-0.35000000000000009</v>
      </c>
      <c r="I7" s="162"/>
      <c r="J7" s="135">
        <v>3.86</v>
      </c>
      <c r="K7" s="354">
        <v>3.98</v>
      </c>
      <c r="L7" s="162">
        <v>-0.12000000000000011</v>
      </c>
      <c r="M7" s="358"/>
      <c r="N7" s="671"/>
      <c r="O7" s="671"/>
      <c r="P7" s="331"/>
      <c r="Q7" s="331"/>
    </row>
    <row r="8" spans="1:17" s="672" customFormat="1" ht="15" x14ac:dyDescent="0.25">
      <c r="A8" s="358"/>
      <c r="B8" s="358" t="s">
        <v>59</v>
      </c>
      <c r="C8" s="358"/>
      <c r="D8" s="134"/>
      <c r="E8" s="354"/>
      <c r="F8" s="354"/>
      <c r="G8" s="162"/>
      <c r="H8" s="162"/>
      <c r="I8" s="162"/>
      <c r="J8" s="169"/>
      <c r="K8" s="354"/>
      <c r="L8" s="173"/>
      <c r="M8" s="358"/>
      <c r="N8" s="671"/>
      <c r="O8" s="671"/>
      <c r="P8" s="331"/>
      <c r="Q8" s="331"/>
    </row>
    <row r="9" spans="1:17" s="672" customFormat="1" ht="15" x14ac:dyDescent="0.25">
      <c r="A9" s="358"/>
      <c r="B9" s="358"/>
      <c r="C9" s="368" t="s">
        <v>484</v>
      </c>
      <c r="D9" s="134">
        <v>3.67</v>
      </c>
      <c r="E9" s="354">
        <v>4.04</v>
      </c>
      <c r="F9" s="354">
        <v>3.89</v>
      </c>
      <c r="G9" s="162">
        <v>-0.2200000000000002</v>
      </c>
      <c r="H9" s="162">
        <v>-0.37000000000000011</v>
      </c>
      <c r="I9" s="162"/>
      <c r="J9" s="169">
        <v>3.84</v>
      </c>
      <c r="K9" s="354">
        <v>3.94</v>
      </c>
      <c r="L9" s="173">
        <v>-0.10000000000000009</v>
      </c>
      <c r="M9" s="358"/>
      <c r="N9" s="671"/>
      <c r="O9" s="671"/>
      <c r="P9" s="331"/>
      <c r="Q9" s="331"/>
    </row>
    <row r="10" spans="1:17" s="672" customFormat="1" ht="17.25" x14ac:dyDescent="0.25">
      <c r="A10" s="358"/>
      <c r="B10" s="358"/>
      <c r="C10" s="368" t="s">
        <v>488</v>
      </c>
      <c r="D10" s="134">
        <v>3.66</v>
      </c>
      <c r="E10" s="354">
        <v>4.04</v>
      </c>
      <c r="F10" s="354">
        <v>3.89</v>
      </c>
      <c r="G10" s="162">
        <v>-0.22999999999999998</v>
      </c>
      <c r="H10" s="162">
        <v>-0.37999999999999989</v>
      </c>
      <c r="I10" s="162"/>
      <c r="J10" s="169">
        <v>3.82</v>
      </c>
      <c r="K10" s="354">
        <v>3.94</v>
      </c>
      <c r="L10" s="173">
        <v>-0.12000000000000011</v>
      </c>
      <c r="M10" s="358"/>
      <c r="N10" s="671"/>
      <c r="O10" s="671"/>
      <c r="P10" s="331"/>
      <c r="Q10" s="331"/>
    </row>
    <row r="11" spans="1:17" s="672" customFormat="1" ht="15" x14ac:dyDescent="0.25">
      <c r="A11" s="358"/>
      <c r="B11" s="358" t="s">
        <v>61</v>
      </c>
      <c r="C11" s="358"/>
      <c r="D11" s="134">
        <v>24.29</v>
      </c>
      <c r="E11" s="354">
        <v>23.82</v>
      </c>
      <c r="F11" s="354">
        <v>23.38</v>
      </c>
      <c r="G11" s="162">
        <v>0.91000000000000014</v>
      </c>
      <c r="H11" s="162">
        <v>0.46999999999999886</v>
      </c>
      <c r="I11" s="162"/>
      <c r="J11" s="169">
        <v>24.29</v>
      </c>
      <c r="K11" s="150">
        <v>23.38</v>
      </c>
      <c r="L11" s="173">
        <v>0.91000000000000014</v>
      </c>
      <c r="M11" s="358"/>
      <c r="N11" s="671"/>
      <c r="O11" s="671"/>
      <c r="P11" s="331"/>
      <c r="Q11" s="331"/>
    </row>
    <row r="12" spans="1:17" s="672" customFormat="1" ht="17.25" x14ac:dyDescent="0.25">
      <c r="A12" s="358"/>
      <c r="B12" s="358" t="s">
        <v>349</v>
      </c>
      <c r="C12" s="358"/>
      <c r="D12" s="134">
        <v>1.56</v>
      </c>
      <c r="E12" s="354">
        <v>1.5</v>
      </c>
      <c r="F12" s="354">
        <v>1.1400000000000001</v>
      </c>
      <c r="G12" s="162">
        <v>0.41999999999999993</v>
      </c>
      <c r="H12" s="162">
        <v>6.0000000000000053E-2</v>
      </c>
      <c r="I12" s="162"/>
      <c r="J12" s="169">
        <v>3.06</v>
      </c>
      <c r="K12" s="150">
        <v>2.2200000000000002</v>
      </c>
      <c r="L12" s="173">
        <v>0.83999999999999986</v>
      </c>
      <c r="M12" s="358"/>
      <c r="N12" s="671"/>
      <c r="O12" s="671"/>
      <c r="P12" s="331"/>
      <c r="Q12" s="331"/>
    </row>
    <row r="13" spans="1:17" s="669" customFormat="1" x14ac:dyDescent="0.2">
      <c r="A13" s="323"/>
      <c r="B13" s="368"/>
      <c r="C13" s="323"/>
      <c r="D13" s="166"/>
      <c r="E13" s="351"/>
      <c r="F13" s="323"/>
      <c r="G13" s="351"/>
      <c r="H13" s="351"/>
      <c r="I13" s="323"/>
      <c r="J13" s="103"/>
      <c r="K13" s="329"/>
      <c r="L13" s="330"/>
      <c r="M13" s="323"/>
      <c r="N13" s="323"/>
      <c r="O13" s="323"/>
      <c r="P13" s="323"/>
      <c r="Q13" s="323"/>
    </row>
    <row r="14" spans="1:17" s="669" customFormat="1" ht="17.25" x14ac:dyDescent="0.25">
      <c r="A14" s="369" t="s">
        <v>350</v>
      </c>
      <c r="B14" s="368"/>
      <c r="C14" s="323"/>
      <c r="D14" s="166"/>
      <c r="E14" s="351"/>
      <c r="F14" s="323"/>
      <c r="G14" s="351"/>
      <c r="H14" s="351"/>
      <c r="I14" s="323"/>
      <c r="J14" s="135"/>
      <c r="K14" s="370"/>
      <c r="L14" s="371"/>
      <c r="M14" s="323"/>
      <c r="N14" s="323"/>
      <c r="O14" s="323"/>
      <c r="P14" s="323"/>
      <c r="Q14" s="323"/>
    </row>
    <row r="15" spans="1:17" s="669" customFormat="1" ht="15" x14ac:dyDescent="0.25">
      <c r="A15" s="323"/>
      <c r="B15" s="323"/>
      <c r="C15" s="1" t="s">
        <v>62</v>
      </c>
      <c r="D15" s="170"/>
      <c r="E15" s="373"/>
      <c r="F15" s="372"/>
      <c r="G15" s="373"/>
      <c r="H15" s="373"/>
      <c r="I15" s="372"/>
      <c r="J15" s="103"/>
      <c r="K15" s="8"/>
      <c r="L15" s="374"/>
      <c r="M15" s="323"/>
      <c r="N15" s="323"/>
      <c r="O15" s="323"/>
      <c r="P15" s="323"/>
      <c r="Q15" s="323"/>
    </row>
    <row r="16" spans="1:17" s="669" customFormat="1" ht="14.45" customHeight="1" x14ac:dyDescent="0.25">
      <c r="A16" s="323"/>
      <c r="B16" s="323"/>
      <c r="C16" s="358" t="s">
        <v>348</v>
      </c>
      <c r="D16" s="132">
        <v>5312</v>
      </c>
      <c r="E16" s="8">
        <v>5721</v>
      </c>
      <c r="F16" s="8">
        <v>5649</v>
      </c>
      <c r="G16" s="333">
        <v>-5.9656576385200939</v>
      </c>
      <c r="H16" s="333">
        <v>-7.1490998077259231</v>
      </c>
      <c r="I16" s="333"/>
      <c r="J16" s="133">
        <v>11033</v>
      </c>
      <c r="K16" s="8">
        <v>11408</v>
      </c>
      <c r="L16" s="333">
        <v>-3.2871669004207571</v>
      </c>
      <c r="M16" s="323"/>
      <c r="N16" s="323"/>
      <c r="O16" s="323"/>
      <c r="P16" s="331"/>
      <c r="Q16" s="331"/>
    </row>
    <row r="17" spans="1:17" s="669" customFormat="1" ht="15" x14ac:dyDescent="0.25">
      <c r="A17" s="323"/>
      <c r="B17" s="323"/>
      <c r="C17" s="358" t="s">
        <v>59</v>
      </c>
      <c r="D17" s="132">
        <v>5212</v>
      </c>
      <c r="E17" s="8">
        <v>5721</v>
      </c>
      <c r="F17" s="8">
        <v>5549</v>
      </c>
      <c r="G17" s="333">
        <v>-6.0731663362768025</v>
      </c>
      <c r="H17" s="333">
        <v>-8.897045970984097</v>
      </c>
      <c r="I17" s="333"/>
      <c r="J17" s="133">
        <v>10933</v>
      </c>
      <c r="K17" s="8">
        <v>11289</v>
      </c>
      <c r="L17" s="333">
        <v>-3.1535122685800387</v>
      </c>
      <c r="M17" s="323"/>
      <c r="N17" s="323"/>
      <c r="O17" s="323"/>
      <c r="P17" s="331"/>
      <c r="Q17" s="331"/>
    </row>
    <row r="18" spans="1:17" s="669" customFormat="1" ht="15" x14ac:dyDescent="0.25">
      <c r="A18" s="323"/>
      <c r="B18" s="323"/>
      <c r="C18" s="323"/>
      <c r="D18" s="166"/>
      <c r="E18" s="351"/>
      <c r="F18" s="323"/>
      <c r="G18" s="323"/>
      <c r="H18" s="323"/>
      <c r="I18" s="323"/>
      <c r="J18" s="133"/>
      <c r="K18" s="329"/>
      <c r="L18" s="374"/>
      <c r="M18" s="323"/>
      <c r="N18" s="323"/>
      <c r="O18" s="323"/>
      <c r="P18" s="331"/>
      <c r="Q18" s="331"/>
    </row>
    <row r="19" spans="1:17" s="669" customFormat="1" ht="15" x14ac:dyDescent="0.25">
      <c r="A19" s="323"/>
      <c r="B19" s="331" t="s">
        <v>63</v>
      </c>
      <c r="C19" s="323"/>
      <c r="D19" s="132">
        <v>8</v>
      </c>
      <c r="E19" s="8">
        <v>27</v>
      </c>
      <c r="F19" s="8">
        <v>42</v>
      </c>
      <c r="G19" s="333">
        <v>-80.952380952380949</v>
      </c>
      <c r="H19" s="333">
        <v>-70.370370370370367</v>
      </c>
      <c r="I19" s="333"/>
      <c r="J19" s="133">
        <v>35</v>
      </c>
      <c r="K19" s="8">
        <v>84</v>
      </c>
      <c r="L19" s="333">
        <v>-58.333333333333329</v>
      </c>
      <c r="M19" s="323"/>
      <c r="N19" s="323"/>
      <c r="O19" s="323"/>
      <c r="P19" s="331"/>
      <c r="Q19" s="331"/>
    </row>
    <row r="20" spans="1:17" s="669" customFormat="1" ht="15" x14ac:dyDescent="0.25">
      <c r="A20" s="323"/>
      <c r="B20" s="323"/>
      <c r="C20" s="357"/>
      <c r="D20" s="171"/>
      <c r="E20" s="375"/>
      <c r="F20" s="357"/>
      <c r="G20" s="351"/>
      <c r="H20" s="375"/>
      <c r="I20" s="357"/>
      <c r="J20" s="133"/>
      <c r="K20" s="329"/>
      <c r="L20" s="374"/>
      <c r="M20" s="323"/>
      <c r="N20" s="323"/>
      <c r="O20" s="323"/>
      <c r="P20" s="331"/>
      <c r="Q20" s="331"/>
    </row>
    <row r="21" spans="1:17" s="669" customFormat="1" ht="15" x14ac:dyDescent="0.25">
      <c r="A21" s="323"/>
      <c r="B21" s="1" t="s">
        <v>505</v>
      </c>
      <c r="C21" s="323"/>
      <c r="D21" s="166"/>
      <c r="E21" s="351"/>
      <c r="F21" s="323"/>
      <c r="G21" s="351"/>
      <c r="H21" s="351"/>
      <c r="I21" s="323"/>
      <c r="J21" s="133"/>
      <c r="K21" s="329"/>
      <c r="L21" s="374"/>
      <c r="M21" s="323"/>
      <c r="N21" s="323"/>
      <c r="O21" s="323"/>
      <c r="P21" s="331"/>
      <c r="Q21" s="331"/>
    </row>
    <row r="22" spans="1:17" s="669" customFormat="1" ht="17.25" x14ac:dyDescent="0.25">
      <c r="A22" s="323"/>
      <c r="B22" s="376"/>
      <c r="C22" s="323" t="s">
        <v>506</v>
      </c>
      <c r="D22" s="132">
        <v>2836</v>
      </c>
      <c r="E22" s="8">
        <v>2839</v>
      </c>
      <c r="F22" s="8">
        <v>2844</v>
      </c>
      <c r="G22" s="333">
        <v>-0.28129395218002839</v>
      </c>
      <c r="H22" s="333">
        <v>-0.10567101091933928</v>
      </c>
      <c r="I22" s="333"/>
      <c r="J22" s="133">
        <v>2838</v>
      </c>
      <c r="K22" s="8">
        <v>2843</v>
      </c>
      <c r="L22" s="333">
        <v>-0.17587055926837625</v>
      </c>
      <c r="M22" s="323"/>
      <c r="N22" s="323"/>
      <c r="O22" s="323"/>
      <c r="P22" s="331"/>
      <c r="Q22" s="331"/>
    </row>
    <row r="23" spans="1:17" s="669" customFormat="1" ht="17.25" x14ac:dyDescent="0.25">
      <c r="A23" s="323"/>
      <c r="B23" s="376"/>
      <c r="C23" s="323" t="s">
        <v>507</v>
      </c>
      <c r="D23" s="132">
        <v>2849</v>
      </c>
      <c r="E23" s="8">
        <v>2839</v>
      </c>
      <c r="F23" s="8">
        <v>2846</v>
      </c>
      <c r="G23" s="333">
        <v>0.17580872011251358</v>
      </c>
      <c r="H23" s="333">
        <v>0.35223670306445687</v>
      </c>
      <c r="I23" s="333"/>
      <c r="J23" s="133">
        <v>2850</v>
      </c>
      <c r="K23" s="8">
        <v>2846</v>
      </c>
      <c r="L23" s="333">
        <v>0.14054813773718422</v>
      </c>
      <c r="M23" s="323"/>
      <c r="N23" s="323"/>
      <c r="O23" s="323"/>
      <c r="P23" s="331"/>
      <c r="Q23" s="331"/>
    </row>
    <row r="24" spans="1:17" ht="15" x14ac:dyDescent="0.25">
      <c r="A24" s="324"/>
      <c r="B24" s="324"/>
      <c r="C24" s="324"/>
      <c r="D24" s="172"/>
      <c r="E24" s="377"/>
      <c r="G24" s="377"/>
      <c r="H24" s="375"/>
      <c r="J24" s="133"/>
      <c r="K24" s="329"/>
      <c r="L24" s="374"/>
      <c r="M24" s="324"/>
      <c r="N24" s="323"/>
      <c r="O24" s="323"/>
      <c r="P24" s="331"/>
      <c r="Q24" s="331"/>
    </row>
    <row r="25" spans="1:17" ht="15" x14ac:dyDescent="0.25">
      <c r="A25" s="369" t="s">
        <v>64</v>
      </c>
      <c r="B25" s="324"/>
      <c r="C25" s="324"/>
      <c r="D25" s="172"/>
      <c r="E25" s="377"/>
      <c r="G25" s="377"/>
      <c r="H25" s="377"/>
      <c r="J25" s="118"/>
      <c r="K25" s="174"/>
      <c r="L25" s="175"/>
      <c r="M25" s="324"/>
      <c r="N25" s="323"/>
      <c r="O25" s="323"/>
      <c r="P25" s="331"/>
      <c r="Q25" s="331"/>
    </row>
    <row r="26" spans="1:17" s="669" customFormat="1" ht="15" x14ac:dyDescent="0.25">
      <c r="A26" s="323"/>
      <c r="B26" s="331" t="s">
        <v>65</v>
      </c>
      <c r="C26" s="323"/>
      <c r="D26" s="132">
        <v>68867</v>
      </c>
      <c r="E26" s="144">
        <v>67564</v>
      </c>
      <c r="F26" s="144">
        <v>66394</v>
      </c>
      <c r="G26" s="144">
        <v>3.7247341627255404</v>
      </c>
      <c r="H26" s="144">
        <v>1.9285418270084564</v>
      </c>
      <c r="I26" s="144"/>
      <c r="J26" s="118">
        <v>68867</v>
      </c>
      <c r="K26" s="144">
        <v>66394</v>
      </c>
      <c r="L26" s="333">
        <v>3.7247341627255404</v>
      </c>
      <c r="M26" s="323"/>
      <c r="N26" s="323"/>
      <c r="O26" s="323"/>
      <c r="P26" s="331"/>
      <c r="Q26" s="331"/>
    </row>
    <row r="27" spans="1:17" s="669" customFormat="1" ht="15" x14ac:dyDescent="0.25">
      <c r="A27" s="323"/>
      <c r="B27" s="324"/>
      <c r="C27" s="323"/>
      <c r="D27" s="166"/>
      <c r="E27" s="351"/>
      <c r="F27" s="323"/>
      <c r="G27" s="323"/>
      <c r="H27" s="323"/>
      <c r="I27" s="323"/>
      <c r="J27" s="133"/>
      <c r="K27" s="333"/>
      <c r="L27" s="333"/>
      <c r="M27" s="323"/>
      <c r="N27" s="323"/>
      <c r="O27" s="323"/>
      <c r="P27" s="331"/>
      <c r="Q27" s="331"/>
    </row>
    <row r="28" spans="1:17" ht="17.25" x14ac:dyDescent="0.25">
      <c r="A28" s="324"/>
      <c r="B28" s="1" t="s">
        <v>499</v>
      </c>
      <c r="C28" s="324"/>
      <c r="D28" s="132">
        <v>2836</v>
      </c>
      <c r="E28" s="333">
        <v>2836</v>
      </c>
      <c r="F28" s="333">
        <v>2840</v>
      </c>
      <c r="G28" s="333">
        <v>-0.14084507042253502</v>
      </c>
      <c r="H28" s="333">
        <v>0</v>
      </c>
      <c r="I28" s="333"/>
      <c r="J28" s="133">
        <v>2836</v>
      </c>
      <c r="K28" s="333">
        <v>2840</v>
      </c>
      <c r="L28" s="333">
        <v>-0.14084507042253502</v>
      </c>
      <c r="M28" s="324"/>
      <c r="N28" s="323"/>
      <c r="O28" s="323"/>
      <c r="P28" s="331"/>
      <c r="Q28" s="331"/>
    </row>
    <row r="29" spans="1:17" s="669" customFormat="1" x14ac:dyDescent="0.2">
      <c r="A29" s="323"/>
      <c r="B29" s="323"/>
      <c r="C29" s="323"/>
      <c r="D29" s="351"/>
      <c r="E29" s="351"/>
      <c r="F29" s="323"/>
      <c r="G29" s="351"/>
      <c r="H29" s="351"/>
      <c r="I29" s="323"/>
      <c r="J29" s="338"/>
      <c r="K29" s="338"/>
      <c r="L29" s="330"/>
      <c r="M29" s="323"/>
      <c r="N29" s="323"/>
      <c r="O29" s="323"/>
      <c r="P29" s="323"/>
      <c r="Q29" s="323"/>
    </row>
    <row r="30" spans="1:17" x14ac:dyDescent="0.2">
      <c r="A30" s="324"/>
      <c r="B30" s="324"/>
      <c r="C30" s="324"/>
      <c r="F30" s="398"/>
      <c r="J30" s="8"/>
      <c r="K30" s="8"/>
      <c r="L30" s="330"/>
      <c r="M30" s="324"/>
      <c r="N30" s="324"/>
      <c r="O30" s="324"/>
      <c r="P30" s="324"/>
      <c r="Q30" s="324"/>
    </row>
    <row r="31" spans="1:17" s="359" customFormat="1" ht="12.75" x14ac:dyDescent="0.2">
      <c r="A31" s="674"/>
      <c r="B31" s="360" t="s">
        <v>351</v>
      </c>
      <c r="C31" s="363" t="s">
        <v>415</v>
      </c>
      <c r="D31" s="362"/>
      <c r="E31" s="362"/>
      <c r="F31" s="362"/>
      <c r="G31" s="362"/>
      <c r="H31" s="362"/>
      <c r="I31" s="362"/>
      <c r="J31" s="361"/>
      <c r="K31" s="361"/>
      <c r="L31" s="362"/>
      <c r="N31" s="362"/>
    </row>
    <row r="32" spans="1:17" s="359" customFormat="1" ht="12.75" x14ac:dyDescent="0.2">
      <c r="A32" s="674"/>
      <c r="B32" s="360"/>
      <c r="C32" s="363" t="s">
        <v>416</v>
      </c>
      <c r="D32" s="362"/>
      <c r="E32" s="362"/>
      <c r="F32" s="362"/>
      <c r="G32" s="362"/>
      <c r="H32" s="362"/>
      <c r="I32" s="362"/>
      <c r="J32" s="361"/>
      <c r="K32" s="361"/>
      <c r="L32" s="362"/>
      <c r="N32" s="362"/>
    </row>
    <row r="33" spans="1:17" s="359" customFormat="1" ht="12.75" x14ac:dyDescent="0.2">
      <c r="A33" s="674"/>
      <c r="B33" s="360" t="s">
        <v>352</v>
      </c>
      <c r="C33" s="363" t="s">
        <v>103</v>
      </c>
      <c r="D33" s="362"/>
      <c r="E33" s="362"/>
      <c r="F33" s="362"/>
      <c r="G33" s="362"/>
      <c r="H33" s="362"/>
      <c r="I33" s="362"/>
      <c r="J33" s="361"/>
      <c r="K33" s="361"/>
      <c r="L33" s="362"/>
      <c r="N33" s="362"/>
    </row>
    <row r="34" spans="1:17" x14ac:dyDescent="0.2">
      <c r="A34" s="377"/>
      <c r="B34" s="360" t="s">
        <v>66</v>
      </c>
      <c r="C34" s="360" t="s">
        <v>503</v>
      </c>
      <c r="J34" s="8"/>
      <c r="K34" s="8"/>
      <c r="L34" s="329"/>
      <c r="M34" s="324"/>
      <c r="N34" s="324"/>
      <c r="O34" s="324"/>
      <c r="P34" s="324"/>
      <c r="Q34" s="324"/>
    </row>
    <row r="35" spans="1:17" s="324" customFormat="1" x14ac:dyDescent="0.2">
      <c r="A35" s="377"/>
      <c r="B35" s="360" t="s">
        <v>347</v>
      </c>
      <c r="C35" s="360" t="s">
        <v>67</v>
      </c>
      <c r="D35" s="8"/>
      <c r="E35" s="8"/>
      <c r="F35" s="8"/>
      <c r="G35" s="8"/>
      <c r="H35" s="8"/>
      <c r="J35" s="8"/>
    </row>
    <row r="36" spans="1:17" x14ac:dyDescent="0.2">
      <c r="B36" s="360" t="s">
        <v>489</v>
      </c>
      <c r="C36" s="360" t="s">
        <v>504</v>
      </c>
    </row>
    <row r="37" spans="1:17" x14ac:dyDescent="0.2">
      <c r="A37" s="324"/>
      <c r="B37" s="324"/>
      <c r="C37" s="324"/>
      <c r="J37" s="8"/>
      <c r="K37" s="8"/>
      <c r="L37" s="329"/>
      <c r="M37" s="324"/>
    </row>
    <row r="38" spans="1:17" x14ac:dyDescent="0.2">
      <c r="A38" s="324"/>
      <c r="B38" s="324"/>
      <c r="C38" s="324"/>
      <c r="J38" s="8"/>
      <c r="K38" s="8"/>
      <c r="L38" s="329"/>
      <c r="M38" s="324"/>
    </row>
    <row r="39" spans="1:17" x14ac:dyDescent="0.2">
      <c r="A39" s="324"/>
      <c r="B39" s="324"/>
      <c r="C39" s="324"/>
      <c r="J39" s="8"/>
      <c r="K39" s="8"/>
      <c r="L39" s="8"/>
      <c r="M39" s="324"/>
    </row>
    <row r="40" spans="1:17" x14ac:dyDescent="0.2">
      <c r="A40" s="324"/>
      <c r="B40" s="324"/>
      <c r="C40" s="324"/>
      <c r="F40" s="354"/>
      <c r="J40" s="8"/>
      <c r="K40" s="354"/>
      <c r="L40" s="8"/>
      <c r="M40" s="324"/>
    </row>
    <row r="41" spans="1:17" x14ac:dyDescent="0.2">
      <c r="A41" s="324"/>
      <c r="B41" s="324"/>
      <c r="C41" s="324"/>
      <c r="F41" s="8"/>
      <c r="J41" s="8"/>
      <c r="K41" s="8"/>
      <c r="L41" s="8"/>
      <c r="M41" s="324"/>
    </row>
    <row r="42" spans="1:17" x14ac:dyDescent="0.2">
      <c r="A42" s="324"/>
      <c r="B42" s="324"/>
      <c r="C42" s="324"/>
      <c r="D42" s="398"/>
      <c r="E42" s="398"/>
      <c r="F42" s="398"/>
      <c r="J42" s="398"/>
      <c r="K42" s="398"/>
      <c r="L42" s="8"/>
      <c r="M42" s="324"/>
    </row>
    <row r="43" spans="1:17" x14ac:dyDescent="0.2">
      <c r="A43" s="324"/>
      <c r="B43" s="324"/>
      <c r="C43" s="324"/>
      <c r="J43" s="8"/>
      <c r="K43" s="324"/>
      <c r="L43" s="8"/>
      <c r="M43" s="324"/>
    </row>
    <row r="44" spans="1:17" x14ac:dyDescent="0.2">
      <c r="A44" s="324"/>
      <c r="B44" s="324"/>
      <c r="C44" s="324"/>
      <c r="F44" s="354"/>
      <c r="J44" s="8"/>
      <c r="K44" s="398"/>
      <c r="L44" s="8"/>
      <c r="M44" s="324"/>
    </row>
    <row r="45" spans="1:17" x14ac:dyDescent="0.2">
      <c r="A45" s="324"/>
      <c r="B45" s="324"/>
      <c r="C45" s="324"/>
      <c r="E45" s="398"/>
      <c r="F45" s="398"/>
      <c r="J45" s="8"/>
      <c r="K45" s="398"/>
      <c r="L45" s="8"/>
      <c r="M45" s="324"/>
    </row>
    <row r="46" spans="1:17" x14ac:dyDescent="0.2">
      <c r="A46" s="324"/>
      <c r="B46" s="324"/>
      <c r="C46" s="324"/>
      <c r="J46" s="8"/>
      <c r="K46" s="324"/>
      <c r="L46" s="8"/>
      <c r="M46" s="324"/>
    </row>
    <row r="47" spans="1:17" x14ac:dyDescent="0.2">
      <c r="A47" s="324"/>
      <c r="B47" s="324"/>
      <c r="C47" s="324"/>
      <c r="J47" s="8"/>
      <c r="K47" s="324"/>
      <c r="L47" s="8"/>
      <c r="M47" s="324"/>
    </row>
    <row r="48" spans="1:17" x14ac:dyDescent="0.2">
      <c r="A48" s="324"/>
      <c r="B48" s="324"/>
      <c r="C48" s="324"/>
      <c r="E48" s="398"/>
      <c r="F48" s="398"/>
      <c r="J48" s="8"/>
      <c r="K48" s="398"/>
      <c r="L48" s="8"/>
      <c r="M48" s="324"/>
    </row>
    <row r="49" spans="1:13" x14ac:dyDescent="0.2">
      <c r="A49" s="324"/>
      <c r="B49" s="324"/>
      <c r="C49" s="324"/>
      <c r="J49" s="8"/>
      <c r="K49" s="8"/>
      <c r="L49" s="8"/>
      <c r="M49" s="324"/>
    </row>
    <row r="50" spans="1:13" x14ac:dyDescent="0.2">
      <c r="A50" s="324"/>
      <c r="B50" s="324"/>
      <c r="C50" s="324"/>
      <c r="J50" s="8"/>
      <c r="K50" s="8"/>
      <c r="L50" s="8"/>
      <c r="M50" s="324"/>
    </row>
    <row r="51" spans="1:13" x14ac:dyDescent="0.2">
      <c r="A51" s="324"/>
      <c r="B51" s="324"/>
      <c r="C51" s="324"/>
      <c r="J51" s="8"/>
      <c r="K51" s="8"/>
      <c r="L51" s="8"/>
      <c r="M51" s="324"/>
    </row>
    <row r="52" spans="1:13" x14ac:dyDescent="0.2">
      <c r="A52" s="324"/>
      <c r="B52" s="324"/>
      <c r="C52" s="324"/>
      <c r="J52" s="8"/>
      <c r="K52" s="8"/>
      <c r="L52" s="8"/>
      <c r="M52" s="324"/>
    </row>
    <row r="53" spans="1:13" x14ac:dyDescent="0.2">
      <c r="K53" s="8"/>
    </row>
    <row r="54" spans="1:13" x14ac:dyDescent="0.2">
      <c r="K54" s="8"/>
    </row>
    <row r="55" spans="1:13" x14ac:dyDescent="0.2">
      <c r="K55" s="8"/>
    </row>
    <row r="56" spans="1:13" x14ac:dyDescent="0.2">
      <c r="K56" s="8"/>
    </row>
    <row r="57" spans="1:13" x14ac:dyDescent="0.2">
      <c r="K57" s="8"/>
    </row>
    <row r="58" spans="1:13" x14ac:dyDescent="0.2">
      <c r="K58" s="8"/>
    </row>
    <row r="59" spans="1:13" x14ac:dyDescent="0.2">
      <c r="K59" s="8"/>
    </row>
    <row r="60" spans="1:13" x14ac:dyDescent="0.2">
      <c r="K60" s="8"/>
    </row>
    <row r="61" spans="1:13" x14ac:dyDescent="0.2">
      <c r="K61" s="8"/>
    </row>
    <row r="62" spans="1:13" x14ac:dyDescent="0.2">
      <c r="K62" s="8"/>
    </row>
    <row r="63" spans="1:13" x14ac:dyDescent="0.2">
      <c r="K63" s="8"/>
    </row>
    <row r="64" spans="1:13" x14ac:dyDescent="0.2">
      <c r="K64" s="8"/>
    </row>
    <row r="65" spans="11:11" x14ac:dyDescent="0.2">
      <c r="K65" s="8"/>
    </row>
    <row r="66" spans="11:11" x14ac:dyDescent="0.2">
      <c r="K66" s="8"/>
    </row>
    <row r="67" spans="11:11" x14ac:dyDescent="0.2">
      <c r="K67" s="8"/>
    </row>
    <row r="68" spans="11:11" x14ac:dyDescent="0.2">
      <c r="K68" s="8"/>
    </row>
    <row r="69" spans="11:11" x14ac:dyDescent="0.2">
      <c r="K69" s="8"/>
    </row>
    <row r="70" spans="11:11" x14ac:dyDescent="0.2">
      <c r="K70" s="8"/>
    </row>
    <row r="71" spans="11:11" x14ac:dyDescent="0.2">
      <c r="K71" s="8"/>
    </row>
    <row r="72" spans="11:11" x14ac:dyDescent="0.2">
      <c r="K72" s="8"/>
    </row>
    <row r="73" spans="11:11" x14ac:dyDescent="0.2">
      <c r="K73" s="8"/>
    </row>
    <row r="74" spans="11:11" x14ac:dyDescent="0.2">
      <c r="K74" s="8"/>
    </row>
    <row r="75" spans="11:11" x14ac:dyDescent="0.2">
      <c r="K75" s="8"/>
    </row>
    <row r="76" spans="11:11" x14ac:dyDescent="0.2">
      <c r="K76" s="8"/>
    </row>
    <row r="77" spans="11:11" x14ac:dyDescent="0.2">
      <c r="K77" s="8"/>
    </row>
    <row r="78" spans="11:11" x14ac:dyDescent="0.2">
      <c r="K78" s="8"/>
    </row>
    <row r="79" spans="11:11" x14ac:dyDescent="0.2">
      <c r="K79" s="8"/>
    </row>
    <row r="80" spans="11:11" x14ac:dyDescent="0.2">
      <c r="K80" s="8"/>
    </row>
    <row r="81" spans="11:11" x14ac:dyDescent="0.2">
      <c r="K81" s="8"/>
    </row>
    <row r="82" spans="11:11" x14ac:dyDescent="0.2">
      <c r="K82" s="8"/>
    </row>
    <row r="83" spans="11:11" x14ac:dyDescent="0.2">
      <c r="K83" s="8"/>
    </row>
    <row r="84" spans="11:11" x14ac:dyDescent="0.2">
      <c r="K84" s="8"/>
    </row>
  </sheetData>
  <mergeCells count="1">
    <mergeCell ref="A2:C2"/>
  </mergeCells>
  <phoneticPr fontId="2" type="noConversion"/>
  <hyperlinks>
    <hyperlink ref="A2" location="Index!A1" display="Back to Index" xr:uid="{3B08F9B4-0D43-4BDE-9381-6A6360DA3A94}"/>
  </hyperlinks>
  <pageMargins left="0.75" right="0.75" top="1" bottom="1" header="0.5" footer="0.5"/>
  <pageSetup scale="83" orientation="landscape" horizontalDpi="4294967295" verticalDpi="4294967295" r:id="rId1"/>
  <headerFooter alignWithMargins="0">
    <oddFooter>&amp;L&amp;D &amp;T&amp;R&amp;F &amp;A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FDF2-798F-465F-9E1A-C63164D2976B}">
  <sheetPr>
    <tabColor indexed="47"/>
    <pageSetUpPr fitToPage="1"/>
  </sheetPr>
  <dimension ref="A1:Q52"/>
  <sheetViews>
    <sheetView showGridLines="0" zoomScale="85" zoomScaleNormal="85" zoomScaleSheetLayoutView="80" workbookViewId="0"/>
  </sheetViews>
  <sheetFormatPr defaultColWidth="9.42578125" defaultRowHeight="14.25" x14ac:dyDescent="0.2"/>
  <cols>
    <col min="1" max="1" width="2.42578125" style="682" customWidth="1"/>
    <col min="2" max="2" width="1.42578125" style="682" customWidth="1"/>
    <col min="3" max="3" width="35.85546875" style="688" customWidth="1"/>
    <col min="4" max="5" width="11.42578125" style="394" customWidth="1"/>
    <col min="6" max="8" width="11.42578125" style="682" customWidth="1"/>
    <col min="9" max="9" width="2.5703125" style="682" customWidth="1"/>
    <col min="10" max="10" width="11.42578125" style="394" customWidth="1"/>
    <col min="11" max="11" width="11.42578125" style="682" customWidth="1"/>
    <col min="12" max="12" width="11.42578125" style="689" customWidth="1"/>
    <col min="13" max="13" width="9.42578125" style="682"/>
    <col min="14" max="14" width="9.42578125" style="690"/>
    <col min="15" max="16384" width="9.42578125" style="682"/>
  </cols>
  <sheetData>
    <row r="1" spans="1:14" s="677" customFormat="1" ht="20.25" x14ac:dyDescent="0.3">
      <c r="A1" s="3" t="s">
        <v>5</v>
      </c>
      <c r="B1" s="4"/>
      <c r="C1" s="4"/>
      <c r="D1" s="379"/>
      <c r="E1" s="379"/>
      <c r="F1" s="4"/>
      <c r="G1" s="4"/>
      <c r="H1" s="4"/>
      <c r="I1" s="4"/>
      <c r="J1" s="379"/>
      <c r="K1" s="4"/>
      <c r="L1" s="5"/>
      <c r="M1" s="4"/>
      <c r="N1" s="676"/>
    </row>
    <row r="2" spans="1:14" s="679" customFormat="1" ht="55.5" customHeight="1" x14ac:dyDescent="0.25">
      <c r="A2" s="781" t="s">
        <v>33</v>
      </c>
      <c r="B2" s="781"/>
      <c r="C2" s="781"/>
      <c r="D2" s="321" t="s">
        <v>409</v>
      </c>
      <c r="E2" s="321" t="s">
        <v>410</v>
      </c>
      <c r="F2" s="321" t="s">
        <v>362</v>
      </c>
      <c r="G2" s="367" t="s">
        <v>413</v>
      </c>
      <c r="H2" s="367" t="s">
        <v>411</v>
      </c>
      <c r="I2" s="6"/>
      <c r="J2" s="321" t="s">
        <v>412</v>
      </c>
      <c r="K2" s="380" t="s">
        <v>363</v>
      </c>
      <c r="L2" s="367" t="s">
        <v>414</v>
      </c>
      <c r="M2" s="6"/>
      <c r="N2" s="678"/>
    </row>
    <row r="3" spans="1:14" s="680" customFormat="1" ht="10.35" customHeight="1" x14ac:dyDescent="0.25">
      <c r="A3" s="381"/>
      <c r="B3" s="331"/>
      <c r="C3" s="331"/>
      <c r="D3" s="176"/>
      <c r="E3" s="382"/>
      <c r="F3" s="331"/>
      <c r="G3" s="331"/>
      <c r="H3" s="331"/>
      <c r="I3" s="331"/>
      <c r="J3" s="176"/>
      <c r="K3" s="331"/>
      <c r="L3" s="383"/>
      <c r="M3" s="331"/>
      <c r="N3" s="407"/>
    </row>
    <row r="4" spans="1:14" s="680" customFormat="1" ht="14.25" customHeight="1" x14ac:dyDescent="0.25">
      <c r="A4" s="352" t="s">
        <v>68</v>
      </c>
      <c r="B4" s="331"/>
      <c r="C4" s="331"/>
      <c r="D4" s="176"/>
      <c r="E4" s="382"/>
      <c r="F4" s="331"/>
      <c r="G4" s="331"/>
      <c r="H4" s="331"/>
      <c r="I4" s="331"/>
      <c r="J4" s="176"/>
      <c r="K4" s="331"/>
      <c r="L4" s="383"/>
      <c r="M4" s="331"/>
      <c r="N4" s="407"/>
    </row>
    <row r="5" spans="1:14" s="680" customFormat="1" ht="14.25" customHeight="1" x14ac:dyDescent="0.25">
      <c r="A5" s="376" t="s">
        <v>37</v>
      </c>
      <c r="B5" s="376"/>
      <c r="C5" s="331"/>
      <c r="D5" s="177">
        <v>7171</v>
      </c>
      <c r="E5" s="383">
        <v>7329</v>
      </c>
      <c r="F5" s="383">
        <v>7325</v>
      </c>
      <c r="G5" s="333">
        <v>-2.1023890784982902</v>
      </c>
      <c r="H5" s="333">
        <v>-2.1558193477964283</v>
      </c>
      <c r="I5" s="331"/>
      <c r="J5" s="177">
        <v>14500</v>
      </c>
      <c r="K5" s="383">
        <v>14424</v>
      </c>
      <c r="L5" s="333">
        <v>0.52689961175818034</v>
      </c>
      <c r="M5" s="404"/>
      <c r="N5" s="404"/>
    </row>
    <row r="6" spans="1:14" s="680" customFormat="1" ht="14.25" customHeight="1" x14ac:dyDescent="0.25">
      <c r="A6" s="357"/>
      <c r="B6" s="324" t="s">
        <v>22</v>
      </c>
      <c r="C6" s="323"/>
      <c r="D6" s="180">
        <v>21</v>
      </c>
      <c r="E6" s="189">
        <v>-15</v>
      </c>
      <c r="F6" s="189">
        <v>-302</v>
      </c>
      <c r="G6" s="333" t="s">
        <v>117</v>
      </c>
      <c r="H6" s="333" t="s">
        <v>117</v>
      </c>
      <c r="I6" s="331"/>
      <c r="J6" s="180">
        <v>6</v>
      </c>
      <c r="K6" s="189">
        <v>-619</v>
      </c>
      <c r="L6" s="333" t="s">
        <v>117</v>
      </c>
      <c r="M6" s="404"/>
      <c r="N6" s="404"/>
    </row>
    <row r="7" spans="1:14" s="680" customFormat="1" ht="14.25" customHeight="1" x14ac:dyDescent="0.25">
      <c r="A7" s="357"/>
      <c r="B7" s="323" t="s">
        <v>417</v>
      </c>
      <c r="C7" s="323"/>
      <c r="D7" s="180">
        <v>7150</v>
      </c>
      <c r="E7" s="384">
        <v>7344</v>
      </c>
      <c r="F7" s="384">
        <v>7627</v>
      </c>
      <c r="G7" s="333">
        <v>-6.2540972859577826</v>
      </c>
      <c r="H7" s="333">
        <v>-2.6416122004357279</v>
      </c>
      <c r="I7" s="331"/>
      <c r="J7" s="180">
        <v>14494</v>
      </c>
      <c r="K7" s="384">
        <v>15043</v>
      </c>
      <c r="L7" s="333">
        <v>-3.6495379910921999</v>
      </c>
      <c r="M7" s="404"/>
      <c r="N7" s="404"/>
    </row>
    <row r="8" spans="1:14" s="680" customFormat="1" ht="14.25" customHeight="1" x14ac:dyDescent="0.25">
      <c r="A8" s="381"/>
      <c r="B8" s="331"/>
      <c r="C8" s="331"/>
      <c r="D8" s="179"/>
      <c r="E8" s="382"/>
      <c r="F8" s="382"/>
      <c r="G8" s="331"/>
      <c r="H8" s="331"/>
      <c r="I8" s="331"/>
      <c r="J8" s="179"/>
      <c r="K8" s="382"/>
      <c r="L8" s="384"/>
      <c r="M8" s="404"/>
      <c r="N8" s="404"/>
    </row>
    <row r="9" spans="1:14" s="680" customFormat="1" ht="14.25" customHeight="1" x14ac:dyDescent="0.25">
      <c r="A9" s="328" t="s">
        <v>69</v>
      </c>
      <c r="B9" s="331"/>
      <c r="C9" s="331"/>
      <c r="D9" s="179"/>
      <c r="E9" s="382"/>
      <c r="F9" s="382"/>
      <c r="G9" s="331"/>
      <c r="H9" s="331"/>
      <c r="I9" s="331"/>
      <c r="J9" s="179"/>
      <c r="K9" s="382"/>
      <c r="L9" s="384"/>
      <c r="M9" s="404"/>
      <c r="N9" s="404"/>
    </row>
    <row r="10" spans="1:14" s="680" customFormat="1" ht="14.25" customHeight="1" x14ac:dyDescent="0.25">
      <c r="A10" s="376" t="s">
        <v>70</v>
      </c>
      <c r="B10" s="376"/>
      <c r="C10" s="331"/>
      <c r="D10" s="179">
        <v>733326</v>
      </c>
      <c r="E10" s="383">
        <v>709263</v>
      </c>
      <c r="F10" s="383">
        <v>683738</v>
      </c>
      <c r="G10" s="333">
        <v>7.2524856012098127</v>
      </c>
      <c r="H10" s="333">
        <v>3.3926766234809946</v>
      </c>
      <c r="I10" s="331"/>
      <c r="J10" s="179">
        <v>721393</v>
      </c>
      <c r="K10" s="383">
        <v>676148</v>
      </c>
      <c r="L10" s="333">
        <v>6.6915823162976062</v>
      </c>
      <c r="M10" s="404"/>
      <c r="N10" s="404"/>
    </row>
    <row r="11" spans="1:14" s="680" customFormat="1" ht="14.25" customHeight="1" x14ac:dyDescent="0.25">
      <c r="A11" s="357"/>
      <c r="B11" s="324" t="s">
        <v>22</v>
      </c>
      <c r="C11" s="323"/>
      <c r="D11" s="180">
        <v>134248</v>
      </c>
      <c r="E11" s="384">
        <v>141953</v>
      </c>
      <c r="F11" s="384">
        <v>141226</v>
      </c>
      <c r="G11" s="333">
        <v>-4.9410165267018797</v>
      </c>
      <c r="H11" s="333">
        <v>-5.4278528808831101</v>
      </c>
      <c r="I11" s="331"/>
      <c r="J11" s="180">
        <v>138069</v>
      </c>
      <c r="K11" s="384">
        <v>138325</v>
      </c>
      <c r="L11" s="333">
        <v>-0.18507138984276139</v>
      </c>
      <c r="M11" s="404"/>
      <c r="N11" s="404"/>
    </row>
    <row r="12" spans="1:14" s="680" customFormat="1" ht="14.25" customHeight="1" x14ac:dyDescent="0.25">
      <c r="A12" s="357"/>
      <c r="B12" s="323" t="s">
        <v>417</v>
      </c>
      <c r="C12" s="323"/>
      <c r="D12" s="180">
        <v>599078</v>
      </c>
      <c r="E12" s="384">
        <v>567310</v>
      </c>
      <c r="F12" s="384">
        <v>542512</v>
      </c>
      <c r="G12" s="333">
        <v>10.426681806116722</v>
      </c>
      <c r="H12" s="333">
        <v>5.5997602721616024</v>
      </c>
      <c r="I12" s="331"/>
      <c r="J12" s="180">
        <v>583324</v>
      </c>
      <c r="K12" s="384">
        <v>537823</v>
      </c>
      <c r="L12" s="333">
        <v>8.4602183246160969</v>
      </c>
      <c r="M12" s="404"/>
      <c r="N12" s="404"/>
    </row>
    <row r="13" spans="1:14" s="680" customFormat="1" ht="14.25" customHeight="1" x14ac:dyDescent="0.25">
      <c r="A13" s="381"/>
      <c r="B13" s="331"/>
      <c r="C13" s="331"/>
      <c r="D13" s="179"/>
      <c r="E13" s="382"/>
      <c r="F13" s="382"/>
      <c r="G13" s="331"/>
      <c r="H13" s="331"/>
      <c r="I13" s="331"/>
      <c r="J13" s="179"/>
      <c r="K13" s="382"/>
      <c r="L13" s="384"/>
      <c r="M13" s="404"/>
      <c r="N13" s="404"/>
    </row>
    <row r="14" spans="1:14" s="680" customFormat="1" ht="14.25" customHeight="1" x14ac:dyDescent="0.25">
      <c r="A14" s="385" t="s">
        <v>71</v>
      </c>
      <c r="B14" s="331"/>
      <c r="C14" s="331"/>
      <c r="D14" s="179"/>
      <c r="E14" s="382"/>
      <c r="F14" s="382"/>
      <c r="G14" s="331"/>
      <c r="H14" s="331"/>
      <c r="I14" s="331"/>
      <c r="J14" s="179"/>
      <c r="K14" s="382"/>
      <c r="L14" s="384"/>
      <c r="M14" s="404"/>
      <c r="N14" s="404"/>
    </row>
    <row r="15" spans="1:14" s="680" customFormat="1" ht="14.25" customHeight="1" x14ac:dyDescent="0.25">
      <c r="A15" s="386" t="s">
        <v>418</v>
      </c>
      <c r="B15" s="331"/>
      <c r="C15" s="331"/>
      <c r="D15" s="181">
        <v>1.94</v>
      </c>
      <c r="E15" s="387">
        <v>2.08</v>
      </c>
      <c r="F15" s="387">
        <v>2.13</v>
      </c>
      <c r="G15" s="162">
        <v>-0.18999999999999995</v>
      </c>
      <c r="H15" s="388">
        <v>-0.14000000000000012</v>
      </c>
      <c r="I15" s="331"/>
      <c r="J15" s="181">
        <v>2.0099999999999998</v>
      </c>
      <c r="K15" s="387">
        <v>2.13</v>
      </c>
      <c r="L15" s="162">
        <v>-0.12000000000000011</v>
      </c>
      <c r="M15" s="404"/>
      <c r="N15" s="404"/>
    </row>
    <row r="16" spans="1:14" s="680" customFormat="1" ht="17.25" x14ac:dyDescent="0.25">
      <c r="A16" s="357" t="s">
        <v>419</v>
      </c>
      <c r="B16" s="323"/>
      <c r="C16" s="323"/>
      <c r="D16" s="182">
        <v>2.37</v>
      </c>
      <c r="E16" s="389">
        <v>2.61</v>
      </c>
      <c r="F16" s="389">
        <v>2.8</v>
      </c>
      <c r="G16" s="388">
        <v>-0.42999999999999972</v>
      </c>
      <c r="H16" s="388">
        <v>-0.23999999999999977</v>
      </c>
      <c r="I16" s="331"/>
      <c r="J16" s="182">
        <v>2.48</v>
      </c>
      <c r="K16" s="389">
        <v>2.8</v>
      </c>
      <c r="L16" s="162">
        <v>-0.31999999999999984</v>
      </c>
      <c r="M16" s="404"/>
      <c r="N16" s="404"/>
    </row>
    <row r="17" spans="1:14" s="680" customFormat="1" ht="10.35" customHeight="1" x14ac:dyDescent="0.25">
      <c r="A17" s="381"/>
      <c r="B17" s="331"/>
      <c r="C17" s="331"/>
      <c r="D17" s="179"/>
      <c r="E17" s="382"/>
      <c r="F17" s="382"/>
      <c r="G17" s="331"/>
      <c r="H17" s="331"/>
      <c r="I17" s="331"/>
      <c r="J17" s="179"/>
      <c r="K17" s="382"/>
      <c r="L17" s="384"/>
      <c r="M17" s="404"/>
      <c r="N17" s="404"/>
    </row>
    <row r="18" spans="1:14" s="680" customFormat="1" ht="15" x14ac:dyDescent="0.25">
      <c r="A18" s="352" t="s">
        <v>68</v>
      </c>
      <c r="B18" s="331"/>
      <c r="C18" s="331"/>
      <c r="D18" s="179"/>
      <c r="E18" s="382"/>
      <c r="F18" s="382"/>
      <c r="G18" s="331"/>
      <c r="H18" s="331"/>
      <c r="I18" s="331"/>
      <c r="J18" s="179"/>
      <c r="K18" s="382"/>
      <c r="L18" s="384"/>
      <c r="M18" s="404"/>
      <c r="N18" s="404"/>
    </row>
    <row r="19" spans="1:14" s="681" customFormat="1" ht="15" x14ac:dyDescent="0.25">
      <c r="A19" s="376" t="s">
        <v>37</v>
      </c>
      <c r="B19" s="376"/>
      <c r="C19" s="376"/>
      <c r="D19" s="179">
        <v>7171</v>
      </c>
      <c r="E19" s="383">
        <v>7329</v>
      </c>
      <c r="F19" s="383">
        <v>7325</v>
      </c>
      <c r="G19" s="333">
        <v>-2.1023890784982902</v>
      </c>
      <c r="H19" s="333">
        <v>-2.1558193477964283</v>
      </c>
      <c r="I19" s="390"/>
      <c r="J19" s="179">
        <v>14500</v>
      </c>
      <c r="K19" s="383">
        <v>14424</v>
      </c>
      <c r="L19" s="333">
        <v>0.52689961175818034</v>
      </c>
      <c r="M19" s="404"/>
      <c r="N19" s="404"/>
    </row>
    <row r="20" spans="1:14" s="681" customFormat="1" ht="15" x14ac:dyDescent="0.25">
      <c r="A20" s="376"/>
      <c r="B20" s="376" t="s">
        <v>345</v>
      </c>
      <c r="C20" s="376"/>
      <c r="D20" s="179">
        <v>13727</v>
      </c>
      <c r="E20" s="383">
        <v>14541</v>
      </c>
      <c r="F20" s="383">
        <v>15460</v>
      </c>
      <c r="G20" s="333">
        <v>-11.209573091849933</v>
      </c>
      <c r="H20" s="333">
        <v>-5.5979643765903253</v>
      </c>
      <c r="I20" s="390"/>
      <c r="J20" s="179">
        <v>28268</v>
      </c>
      <c r="K20" s="383">
        <v>30927</v>
      </c>
      <c r="L20" s="333">
        <v>-8.5976654703010311</v>
      </c>
      <c r="M20" s="404"/>
      <c r="N20" s="404"/>
    </row>
    <row r="21" spans="1:14" ht="15" x14ac:dyDescent="0.25">
      <c r="A21" s="324"/>
      <c r="B21" s="324"/>
      <c r="C21" s="324" t="s">
        <v>72</v>
      </c>
      <c r="D21" s="183">
        <v>7782</v>
      </c>
      <c r="E21" s="391">
        <v>8393</v>
      </c>
      <c r="F21" s="391">
        <v>8891</v>
      </c>
      <c r="G21" s="335">
        <v>-12.47328759419638</v>
      </c>
      <c r="H21" s="336">
        <v>-7.2798760872155421</v>
      </c>
      <c r="I21" s="392"/>
      <c r="J21" s="183">
        <v>16174</v>
      </c>
      <c r="K21" s="391">
        <v>18112</v>
      </c>
      <c r="L21" s="336">
        <v>-10.700088339222614</v>
      </c>
      <c r="M21" s="404"/>
      <c r="N21" s="404"/>
    </row>
    <row r="22" spans="1:14" ht="15" x14ac:dyDescent="0.25">
      <c r="A22" s="324"/>
      <c r="B22" s="324"/>
      <c r="C22" s="324" t="s">
        <v>73</v>
      </c>
      <c r="D22" s="184">
        <v>1059</v>
      </c>
      <c r="E22" s="384">
        <v>1044</v>
      </c>
      <c r="F22" s="384">
        <v>1237</v>
      </c>
      <c r="G22" s="333">
        <v>-14.389652384801943</v>
      </c>
      <c r="H22" s="337">
        <v>1.4367816091954033</v>
      </c>
      <c r="I22" s="392"/>
      <c r="J22" s="184">
        <v>2103</v>
      </c>
      <c r="K22" s="384">
        <v>2473</v>
      </c>
      <c r="L22" s="337">
        <v>-14.961585119288312</v>
      </c>
      <c r="M22" s="404"/>
      <c r="N22" s="404"/>
    </row>
    <row r="23" spans="1:14" ht="17.25" x14ac:dyDescent="0.25">
      <c r="A23" s="324"/>
      <c r="B23" s="324"/>
      <c r="C23" s="324" t="s">
        <v>420</v>
      </c>
      <c r="D23" s="184">
        <v>1181</v>
      </c>
      <c r="E23" s="384">
        <v>1483</v>
      </c>
      <c r="F23" s="384">
        <v>1747</v>
      </c>
      <c r="G23" s="333">
        <v>-32.398397252432744</v>
      </c>
      <c r="H23" s="337">
        <v>-20.364126770060686</v>
      </c>
      <c r="I23" s="392"/>
      <c r="J23" s="184">
        <v>2665</v>
      </c>
      <c r="K23" s="384">
        <v>3583</v>
      </c>
      <c r="L23" s="337">
        <v>-25.620987998883614</v>
      </c>
      <c r="M23" s="404"/>
      <c r="N23" s="404"/>
    </row>
    <row r="24" spans="1:14" ht="15" x14ac:dyDescent="0.25">
      <c r="A24" s="324"/>
      <c r="B24" s="324"/>
      <c r="C24" s="324" t="s">
        <v>353</v>
      </c>
      <c r="D24" s="185">
        <v>3705</v>
      </c>
      <c r="E24" s="393">
        <v>3621</v>
      </c>
      <c r="F24" s="393">
        <v>3585</v>
      </c>
      <c r="G24" s="340">
        <v>3.3472803347280422</v>
      </c>
      <c r="H24" s="341">
        <v>2.3198011599005808</v>
      </c>
      <c r="I24" s="392"/>
      <c r="J24" s="185">
        <v>7326</v>
      </c>
      <c r="K24" s="393">
        <v>6759</v>
      </c>
      <c r="L24" s="341">
        <v>8.3888149134487389</v>
      </c>
      <c r="M24" s="404"/>
      <c r="N24" s="404"/>
    </row>
    <row r="25" spans="1:14" s="681" customFormat="1" ht="15" x14ac:dyDescent="0.25">
      <c r="A25" s="376"/>
      <c r="B25" s="376" t="s">
        <v>74</v>
      </c>
      <c r="C25" s="376"/>
      <c r="D25" s="179">
        <v>6556</v>
      </c>
      <c r="E25" s="383">
        <v>7212</v>
      </c>
      <c r="F25" s="383">
        <v>8135</v>
      </c>
      <c r="G25" s="333">
        <v>-19.409956976029509</v>
      </c>
      <c r="H25" s="333">
        <v>-9.0959511924570187</v>
      </c>
      <c r="I25" s="390"/>
      <c r="J25" s="179">
        <v>13768</v>
      </c>
      <c r="K25" s="383">
        <v>16503</v>
      </c>
      <c r="L25" s="333">
        <v>-16.572744349512213</v>
      </c>
      <c r="M25" s="404"/>
      <c r="N25" s="404"/>
    </row>
    <row r="26" spans="1:14" ht="15" x14ac:dyDescent="0.25">
      <c r="A26" s="324"/>
      <c r="B26" s="324"/>
      <c r="C26" s="324" t="s">
        <v>11</v>
      </c>
      <c r="D26" s="183">
        <v>4579</v>
      </c>
      <c r="E26" s="391">
        <v>5195</v>
      </c>
      <c r="F26" s="391">
        <v>5988</v>
      </c>
      <c r="G26" s="335">
        <v>-23.530394121576482</v>
      </c>
      <c r="H26" s="336">
        <v>-11.857555341674686</v>
      </c>
      <c r="I26" s="392"/>
      <c r="J26" s="183">
        <v>9774</v>
      </c>
      <c r="K26" s="391">
        <v>12362</v>
      </c>
      <c r="L26" s="336">
        <v>-20.935123766380848</v>
      </c>
      <c r="M26" s="404"/>
      <c r="N26" s="404"/>
    </row>
    <row r="27" spans="1:14" ht="15" x14ac:dyDescent="0.25">
      <c r="A27" s="324"/>
      <c r="B27" s="324"/>
      <c r="C27" s="324" t="s">
        <v>75</v>
      </c>
      <c r="D27" s="185">
        <v>1977</v>
      </c>
      <c r="E27" s="393">
        <v>2017</v>
      </c>
      <c r="F27" s="393">
        <v>2147</v>
      </c>
      <c r="G27" s="340">
        <v>-7.9180251513740085</v>
      </c>
      <c r="H27" s="341">
        <v>-1.9831432821021289</v>
      </c>
      <c r="I27" s="392"/>
      <c r="J27" s="185">
        <v>3994</v>
      </c>
      <c r="K27" s="393">
        <v>4141</v>
      </c>
      <c r="L27" s="341">
        <v>-3.5498671818401384</v>
      </c>
      <c r="M27" s="404"/>
      <c r="N27" s="404"/>
    </row>
    <row r="28" spans="1:14" ht="15" x14ac:dyDescent="0.25">
      <c r="A28" s="324"/>
      <c r="B28" s="324"/>
      <c r="C28" s="339"/>
      <c r="D28" s="180"/>
      <c r="F28" s="394"/>
      <c r="G28" s="144"/>
      <c r="H28" s="144"/>
      <c r="I28" s="392"/>
      <c r="J28" s="180"/>
      <c r="K28" s="394"/>
      <c r="L28" s="394"/>
      <c r="M28" s="404"/>
      <c r="N28" s="404"/>
    </row>
    <row r="29" spans="1:14" s="681" customFormat="1" ht="15" x14ac:dyDescent="0.25">
      <c r="A29" s="328" t="s">
        <v>69</v>
      </c>
      <c r="B29" s="376"/>
      <c r="C29" s="376"/>
      <c r="D29" s="180"/>
      <c r="E29" s="394"/>
      <c r="F29" s="394"/>
      <c r="G29" s="144"/>
      <c r="H29" s="144"/>
      <c r="I29" s="390"/>
      <c r="J29" s="180"/>
      <c r="K29" s="394"/>
      <c r="L29" s="394"/>
      <c r="M29" s="404"/>
      <c r="N29" s="404"/>
    </row>
    <row r="30" spans="1:14" s="681" customFormat="1" ht="15" x14ac:dyDescent="0.25">
      <c r="A30" s="376"/>
      <c r="B30" s="376" t="s">
        <v>70</v>
      </c>
      <c r="C30" s="376"/>
      <c r="D30" s="179">
        <v>733326</v>
      </c>
      <c r="E30" s="383">
        <v>709263</v>
      </c>
      <c r="F30" s="383">
        <v>683738</v>
      </c>
      <c r="G30" s="333">
        <v>7.2524856012098127</v>
      </c>
      <c r="H30" s="333">
        <v>3.3926766234809946</v>
      </c>
      <c r="I30" s="390"/>
      <c r="J30" s="179">
        <v>721393</v>
      </c>
      <c r="K30" s="383">
        <v>676148</v>
      </c>
      <c r="L30" s="333">
        <v>6.6915823162976062</v>
      </c>
      <c r="M30" s="404"/>
      <c r="N30" s="404"/>
    </row>
    <row r="31" spans="1:14" ht="15" x14ac:dyDescent="0.25">
      <c r="A31" s="324"/>
      <c r="B31" s="324"/>
      <c r="C31" s="324" t="s">
        <v>72</v>
      </c>
      <c r="D31" s="183">
        <v>393124</v>
      </c>
      <c r="E31" s="391">
        <v>390459</v>
      </c>
      <c r="F31" s="391">
        <v>380925</v>
      </c>
      <c r="G31" s="335">
        <v>3.2024676773643179</v>
      </c>
      <c r="H31" s="336">
        <v>0.68253004796918759</v>
      </c>
      <c r="I31" s="392"/>
      <c r="J31" s="183">
        <v>391802</v>
      </c>
      <c r="K31" s="391">
        <v>381992</v>
      </c>
      <c r="L31" s="336">
        <v>2.5681166097719421</v>
      </c>
      <c r="M31" s="404"/>
      <c r="N31" s="404"/>
    </row>
    <row r="32" spans="1:14" ht="15" x14ac:dyDescent="0.25">
      <c r="A32" s="324"/>
      <c r="B32" s="324"/>
      <c r="C32" s="324" t="s">
        <v>73</v>
      </c>
      <c r="D32" s="184">
        <v>44480</v>
      </c>
      <c r="E32" s="384">
        <v>41615</v>
      </c>
      <c r="F32" s="384">
        <v>43260</v>
      </c>
      <c r="G32" s="333">
        <v>2.8201571890892341</v>
      </c>
      <c r="H32" s="337">
        <v>6.884536825663834</v>
      </c>
      <c r="I32" s="392"/>
      <c r="J32" s="184">
        <v>43060</v>
      </c>
      <c r="K32" s="384">
        <v>42330</v>
      </c>
      <c r="L32" s="337">
        <v>1.724545239782671</v>
      </c>
      <c r="M32" s="404"/>
      <c r="N32" s="404"/>
    </row>
    <row r="33" spans="1:17" ht="17.25" x14ac:dyDescent="0.25">
      <c r="A33" s="324"/>
      <c r="B33" s="324"/>
      <c r="C33" s="324" t="s">
        <v>420</v>
      </c>
      <c r="D33" s="184">
        <v>85759</v>
      </c>
      <c r="E33" s="384">
        <v>94167</v>
      </c>
      <c r="F33" s="384">
        <v>91887</v>
      </c>
      <c r="G33" s="333">
        <v>-6.6690609117720729</v>
      </c>
      <c r="H33" s="337">
        <v>-8.9288179510868986</v>
      </c>
      <c r="I33" s="392"/>
      <c r="J33" s="184">
        <v>89928</v>
      </c>
      <c r="K33" s="384">
        <v>90739</v>
      </c>
      <c r="L33" s="337">
        <v>-0.89377224787577925</v>
      </c>
      <c r="M33" s="404"/>
      <c r="N33" s="404"/>
      <c r="O33" s="324"/>
      <c r="P33" s="324"/>
      <c r="Q33" s="324"/>
    </row>
    <row r="34" spans="1:17" ht="15" x14ac:dyDescent="0.25">
      <c r="A34" s="324"/>
      <c r="B34" s="324"/>
      <c r="C34" s="324" t="s">
        <v>353</v>
      </c>
      <c r="D34" s="185">
        <v>209963</v>
      </c>
      <c r="E34" s="393">
        <v>183022</v>
      </c>
      <c r="F34" s="393">
        <v>167666</v>
      </c>
      <c r="G34" s="340">
        <v>25.226939272124337</v>
      </c>
      <c r="H34" s="341">
        <v>14.720088295396172</v>
      </c>
      <c r="I34" s="392"/>
      <c r="J34" s="185">
        <v>196603</v>
      </c>
      <c r="K34" s="393">
        <v>161087</v>
      </c>
      <c r="L34" s="341">
        <v>22.047713347445796</v>
      </c>
      <c r="M34" s="404"/>
      <c r="N34" s="404"/>
      <c r="O34" s="324"/>
      <c r="P34" s="324"/>
      <c r="Q34" s="324"/>
    </row>
    <row r="35" spans="1:17" s="681" customFormat="1" ht="15" x14ac:dyDescent="0.25">
      <c r="A35" s="376"/>
      <c r="B35" s="376" t="s">
        <v>76</v>
      </c>
      <c r="C35" s="376"/>
      <c r="D35" s="179">
        <v>699813</v>
      </c>
      <c r="E35" s="383">
        <v>672139</v>
      </c>
      <c r="F35" s="383">
        <v>646731</v>
      </c>
      <c r="G35" s="333">
        <v>8.2077401578090523</v>
      </c>
      <c r="H35" s="333">
        <v>4.1173031173611374</v>
      </c>
      <c r="I35" s="390"/>
      <c r="J35" s="179">
        <v>686090</v>
      </c>
      <c r="K35" s="383">
        <v>638689</v>
      </c>
      <c r="L35" s="333">
        <v>7.4216089520877881</v>
      </c>
      <c r="M35" s="404"/>
      <c r="N35" s="404"/>
      <c r="O35" s="376"/>
      <c r="P35" s="376"/>
      <c r="Q35" s="376"/>
    </row>
    <row r="36" spans="1:17" ht="15" x14ac:dyDescent="0.25">
      <c r="A36" s="324"/>
      <c r="B36" s="324"/>
      <c r="C36" s="324" t="s">
        <v>11</v>
      </c>
      <c r="D36" s="183">
        <v>596127</v>
      </c>
      <c r="E36" s="391">
        <v>571529</v>
      </c>
      <c r="F36" s="391">
        <v>551844</v>
      </c>
      <c r="G36" s="335">
        <v>8.0245504164220272</v>
      </c>
      <c r="H36" s="336">
        <v>4.3038935907014242</v>
      </c>
      <c r="I36" s="392"/>
      <c r="J36" s="183">
        <v>583930</v>
      </c>
      <c r="K36" s="391">
        <v>547782</v>
      </c>
      <c r="L36" s="336">
        <v>6.5989755048541099</v>
      </c>
      <c r="M36" s="404"/>
      <c r="N36" s="404"/>
      <c r="O36" s="324"/>
      <c r="P36" s="324"/>
      <c r="Q36" s="324"/>
    </row>
    <row r="37" spans="1:17" ht="15" x14ac:dyDescent="0.25">
      <c r="A37" s="324"/>
      <c r="B37" s="324"/>
      <c r="C37" s="324" t="s">
        <v>75</v>
      </c>
      <c r="D37" s="185">
        <v>103686</v>
      </c>
      <c r="E37" s="393">
        <v>100610</v>
      </c>
      <c r="F37" s="393">
        <v>94887</v>
      </c>
      <c r="G37" s="340">
        <v>9.2731354137026045</v>
      </c>
      <c r="H37" s="341">
        <v>3.0573501639995948</v>
      </c>
      <c r="I37" s="392"/>
      <c r="J37" s="185">
        <v>102160</v>
      </c>
      <c r="K37" s="393">
        <v>90907</v>
      </c>
      <c r="L37" s="341">
        <v>12.378584707448281</v>
      </c>
      <c r="M37" s="404"/>
      <c r="N37" s="404"/>
      <c r="O37" s="324"/>
      <c r="P37" s="324"/>
      <c r="Q37" s="324"/>
    </row>
    <row r="38" spans="1:17" ht="15" x14ac:dyDescent="0.25">
      <c r="A38" s="324"/>
      <c r="B38" s="324"/>
      <c r="C38" s="395"/>
      <c r="D38" s="180"/>
      <c r="F38" s="394"/>
      <c r="G38" s="331"/>
      <c r="H38" s="324"/>
      <c r="I38" s="392"/>
      <c r="J38" s="180"/>
      <c r="K38" s="394"/>
      <c r="L38" s="384"/>
      <c r="M38" s="404"/>
      <c r="N38" s="404"/>
      <c r="O38" s="324"/>
      <c r="P38" s="324"/>
      <c r="Q38" s="324"/>
    </row>
    <row r="39" spans="1:17" s="683" customFormat="1" ht="15" x14ac:dyDescent="0.25">
      <c r="A39" s="385" t="s">
        <v>71</v>
      </c>
      <c r="B39" s="386"/>
      <c r="C39" s="386"/>
      <c r="D39" s="180"/>
      <c r="E39" s="394"/>
      <c r="F39" s="394"/>
      <c r="G39" s="331"/>
      <c r="H39" s="190"/>
      <c r="I39" s="396"/>
      <c r="J39" s="180"/>
      <c r="K39" s="394"/>
      <c r="L39" s="397"/>
      <c r="M39" s="404"/>
      <c r="N39" s="404"/>
      <c r="O39" s="386"/>
      <c r="P39" s="386"/>
      <c r="Q39" s="386"/>
    </row>
    <row r="40" spans="1:17" s="683" customFormat="1" ht="17.25" x14ac:dyDescent="0.25">
      <c r="A40" s="386" t="s">
        <v>421</v>
      </c>
      <c r="B40" s="386"/>
      <c r="C40" s="386"/>
      <c r="D40" s="181">
        <v>1.94</v>
      </c>
      <c r="E40" s="387">
        <v>2.08</v>
      </c>
      <c r="F40" s="387">
        <v>2.13</v>
      </c>
      <c r="G40" s="162">
        <v>-0.18999999999999995</v>
      </c>
      <c r="H40" s="150">
        <v>-0.14000000000000012</v>
      </c>
      <c r="I40" s="396"/>
      <c r="J40" s="181">
        <v>2.0099999999999998</v>
      </c>
      <c r="K40" s="387">
        <v>2.13</v>
      </c>
      <c r="L40" s="173">
        <v>-0.12000000000000011</v>
      </c>
      <c r="M40" s="684"/>
      <c r="N40" s="684"/>
      <c r="O40" s="386"/>
      <c r="P40" s="386"/>
      <c r="Q40" s="386"/>
    </row>
    <row r="41" spans="1:17" s="683" customFormat="1" ht="15" x14ac:dyDescent="0.25">
      <c r="A41" s="386"/>
      <c r="B41" s="386" t="s">
        <v>77</v>
      </c>
      <c r="C41" s="386"/>
      <c r="D41" s="181">
        <v>3.71</v>
      </c>
      <c r="E41" s="387">
        <v>4.13</v>
      </c>
      <c r="F41" s="387">
        <v>4.49</v>
      </c>
      <c r="G41" s="150">
        <v>-0.78000000000000025</v>
      </c>
      <c r="H41" s="150">
        <v>-0.41999999999999993</v>
      </c>
      <c r="I41" s="396"/>
      <c r="J41" s="181">
        <v>3.92</v>
      </c>
      <c r="K41" s="387">
        <v>4.5599999999999996</v>
      </c>
      <c r="L41" s="173">
        <v>-0.63999999999999968</v>
      </c>
      <c r="M41" s="684"/>
      <c r="N41" s="684"/>
      <c r="O41" s="386"/>
      <c r="P41" s="386"/>
      <c r="Q41" s="386"/>
    </row>
    <row r="42" spans="1:17" s="685" customFormat="1" ht="15" x14ac:dyDescent="0.25">
      <c r="A42" s="398"/>
      <c r="B42" s="398"/>
      <c r="C42" s="324" t="s">
        <v>72</v>
      </c>
      <c r="D42" s="186">
        <v>3.93</v>
      </c>
      <c r="E42" s="399">
        <v>4.33</v>
      </c>
      <c r="F42" s="399">
        <v>4.63</v>
      </c>
      <c r="G42" s="191">
        <v>-0.69999999999999973</v>
      </c>
      <c r="H42" s="192">
        <v>-0.39999999999999991</v>
      </c>
      <c r="I42" s="400"/>
      <c r="J42" s="186">
        <v>4.13</v>
      </c>
      <c r="K42" s="399">
        <v>4.7300000000000004</v>
      </c>
      <c r="L42" s="192">
        <v>-0.60000000000000053</v>
      </c>
      <c r="M42" s="684"/>
      <c r="N42" s="684"/>
      <c r="O42" s="386"/>
      <c r="P42" s="386"/>
      <c r="Q42" s="386"/>
    </row>
    <row r="43" spans="1:17" s="685" customFormat="1" ht="15" x14ac:dyDescent="0.25">
      <c r="A43" s="398"/>
      <c r="B43" s="398"/>
      <c r="C43" s="324" t="s">
        <v>73</v>
      </c>
      <c r="D43" s="187">
        <v>4.72</v>
      </c>
      <c r="E43" s="389">
        <v>5.0599999999999996</v>
      </c>
      <c r="F43" s="389">
        <v>5.67</v>
      </c>
      <c r="G43" s="150">
        <v>-0.95000000000000018</v>
      </c>
      <c r="H43" s="193">
        <v>-0.33999999999999986</v>
      </c>
      <c r="I43" s="400"/>
      <c r="J43" s="187">
        <v>4.88</v>
      </c>
      <c r="K43" s="389">
        <v>5.83</v>
      </c>
      <c r="L43" s="193">
        <v>-0.95000000000000018</v>
      </c>
      <c r="M43" s="684"/>
      <c r="N43" s="684"/>
      <c r="O43" s="386"/>
      <c r="P43" s="386"/>
      <c r="Q43" s="386"/>
    </row>
    <row r="44" spans="1:17" s="685" customFormat="1" ht="17.25" x14ac:dyDescent="0.25">
      <c r="A44" s="398"/>
      <c r="B44" s="398"/>
      <c r="C44" s="324" t="s">
        <v>420</v>
      </c>
      <c r="D44" s="187">
        <v>2.73</v>
      </c>
      <c r="E44" s="389">
        <v>3.18</v>
      </c>
      <c r="F44" s="389">
        <v>3.77</v>
      </c>
      <c r="G44" s="150">
        <v>-1.04</v>
      </c>
      <c r="H44" s="193">
        <v>-0.45000000000000018</v>
      </c>
      <c r="I44" s="400"/>
      <c r="J44" s="187">
        <v>2.96</v>
      </c>
      <c r="K44" s="389">
        <v>3.94</v>
      </c>
      <c r="L44" s="193">
        <v>-0.98</v>
      </c>
      <c r="M44" s="684"/>
      <c r="N44" s="684"/>
      <c r="O44" s="386"/>
      <c r="P44" s="386"/>
      <c r="Q44" s="386"/>
    </row>
    <row r="45" spans="1:17" s="685" customFormat="1" ht="15" x14ac:dyDescent="0.25">
      <c r="A45" s="398"/>
      <c r="B45" s="398"/>
      <c r="C45" s="324" t="s">
        <v>353</v>
      </c>
      <c r="D45" s="188">
        <v>3.5</v>
      </c>
      <c r="E45" s="401">
        <v>3.99</v>
      </c>
      <c r="F45" s="401">
        <v>4.24</v>
      </c>
      <c r="G45" s="194">
        <v>-0.74000000000000021</v>
      </c>
      <c r="H45" s="195">
        <v>-0.49000000000000021</v>
      </c>
      <c r="I45" s="400"/>
      <c r="J45" s="188">
        <v>3.73</v>
      </c>
      <c r="K45" s="401">
        <v>4.18</v>
      </c>
      <c r="L45" s="195">
        <v>-0.44999999999999973</v>
      </c>
      <c r="M45" s="684"/>
      <c r="N45" s="684"/>
      <c r="O45" s="386"/>
      <c r="P45" s="386"/>
      <c r="Q45" s="386"/>
    </row>
    <row r="46" spans="1:17" s="683" customFormat="1" ht="15" x14ac:dyDescent="0.25">
      <c r="A46" s="386"/>
      <c r="B46" s="386" t="s">
        <v>78</v>
      </c>
      <c r="C46" s="386"/>
      <c r="D46" s="181">
        <v>1.86</v>
      </c>
      <c r="E46" s="387">
        <v>2.16</v>
      </c>
      <c r="F46" s="387">
        <v>2.5</v>
      </c>
      <c r="G46" s="150">
        <v>-0.6399999999999999</v>
      </c>
      <c r="H46" s="150">
        <v>-0.30000000000000004</v>
      </c>
      <c r="I46" s="396"/>
      <c r="J46" s="181">
        <v>2.0099999999999998</v>
      </c>
      <c r="K46" s="387">
        <v>2.58</v>
      </c>
      <c r="L46" s="173">
        <v>-0.57000000000000028</v>
      </c>
      <c r="M46" s="684"/>
      <c r="N46" s="684"/>
      <c r="O46" s="386"/>
      <c r="P46" s="386"/>
      <c r="Q46" s="386"/>
    </row>
    <row r="47" spans="1:17" s="685" customFormat="1" ht="15" x14ac:dyDescent="0.25">
      <c r="A47" s="398"/>
      <c r="B47" s="398"/>
      <c r="C47" s="398" t="s">
        <v>11</v>
      </c>
      <c r="D47" s="186">
        <v>1.52</v>
      </c>
      <c r="E47" s="399">
        <v>1.83</v>
      </c>
      <c r="F47" s="399">
        <v>2.15</v>
      </c>
      <c r="G47" s="191">
        <v>-0.62999999999999989</v>
      </c>
      <c r="H47" s="192">
        <v>-0.31000000000000005</v>
      </c>
      <c r="I47" s="400"/>
      <c r="J47" s="186">
        <v>1.67</v>
      </c>
      <c r="K47" s="399">
        <v>2.25</v>
      </c>
      <c r="L47" s="192">
        <v>-0.58000000000000007</v>
      </c>
      <c r="M47" s="684"/>
      <c r="N47" s="684"/>
      <c r="O47" s="386"/>
      <c r="P47" s="386"/>
      <c r="Q47" s="386"/>
    </row>
    <row r="48" spans="1:17" s="685" customFormat="1" ht="15" x14ac:dyDescent="0.25">
      <c r="A48" s="398"/>
      <c r="B48" s="398"/>
      <c r="C48" s="398" t="s">
        <v>75</v>
      </c>
      <c r="D48" s="188">
        <v>3.78</v>
      </c>
      <c r="E48" s="401">
        <v>4.04</v>
      </c>
      <c r="F48" s="401">
        <v>4.49</v>
      </c>
      <c r="G48" s="194">
        <v>-0.71000000000000041</v>
      </c>
      <c r="H48" s="195">
        <v>-0.26000000000000023</v>
      </c>
      <c r="I48" s="400"/>
      <c r="J48" s="188">
        <v>3.91</v>
      </c>
      <c r="K48" s="401">
        <v>4.54</v>
      </c>
      <c r="L48" s="195">
        <v>-0.62999999999999989</v>
      </c>
      <c r="M48" s="684"/>
      <c r="N48" s="684"/>
      <c r="O48" s="386"/>
      <c r="P48" s="386"/>
      <c r="Q48" s="386"/>
    </row>
    <row r="49" spans="1:17" ht="15" x14ac:dyDescent="0.25">
      <c r="A49" s="324"/>
      <c r="B49" s="324"/>
      <c r="C49" s="2"/>
      <c r="D49" s="347"/>
      <c r="F49" s="324"/>
      <c r="G49" s="377"/>
      <c r="H49" s="377"/>
      <c r="I49" s="324"/>
      <c r="K49" s="324"/>
      <c r="L49" s="384"/>
      <c r="M49" s="324"/>
      <c r="N49" s="686"/>
      <c r="O49" s="386"/>
      <c r="P49" s="386"/>
      <c r="Q49" s="386"/>
    </row>
    <row r="50" spans="1:17" ht="15" x14ac:dyDescent="0.25">
      <c r="A50" s="324"/>
      <c r="B50" s="324"/>
      <c r="C50" s="2"/>
      <c r="D50" s="347"/>
      <c r="F50" s="324"/>
      <c r="G50" s="377"/>
      <c r="H50" s="377"/>
      <c r="I50" s="324"/>
      <c r="K50" s="324"/>
      <c r="L50" s="384"/>
      <c r="M50" s="324"/>
      <c r="N50" s="686"/>
      <c r="O50" s="386"/>
      <c r="P50" s="386"/>
      <c r="Q50" s="386"/>
    </row>
    <row r="51" spans="1:17" s="377" customFormat="1" x14ac:dyDescent="0.2">
      <c r="A51" s="595"/>
      <c r="B51" s="70" t="s">
        <v>422</v>
      </c>
      <c r="C51" s="11"/>
      <c r="D51" s="347"/>
      <c r="E51" s="347"/>
      <c r="J51" s="347"/>
      <c r="L51" s="347"/>
      <c r="N51" s="687"/>
    </row>
    <row r="52" spans="1:17" s="377" customFormat="1" x14ac:dyDescent="0.2">
      <c r="A52" s="595"/>
      <c r="B52" s="70" t="s">
        <v>423</v>
      </c>
      <c r="C52" s="11"/>
      <c r="D52" s="347"/>
      <c r="E52" s="347"/>
      <c r="J52" s="347"/>
      <c r="L52" s="347"/>
      <c r="N52" s="687"/>
    </row>
  </sheetData>
  <mergeCells count="1">
    <mergeCell ref="A2:C2"/>
  </mergeCells>
  <phoneticPr fontId="2" type="noConversion"/>
  <hyperlinks>
    <hyperlink ref="A2" location="Index!A1" display="Back to Index" xr:uid="{091156D6-396C-4B59-AF75-70AF29FFFD14}"/>
  </hyperlinks>
  <pageMargins left="0.17" right="0.17" top="1" bottom="1" header="0.5" footer="0.5"/>
  <pageSetup scale="6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2EA4-8DAF-4CA2-BC9D-FD1592AC2BF8}">
  <sheetPr>
    <tabColor indexed="47"/>
    <pageSetUpPr fitToPage="1"/>
  </sheetPr>
  <dimension ref="A1:O28"/>
  <sheetViews>
    <sheetView showGridLines="0" zoomScale="85" zoomScaleNormal="85" workbookViewId="0">
      <pane ySplit="2" topLeftCell="A3" activePane="bottomLeft" state="frozen"/>
      <selection activeCell="L13" sqref="L13"/>
      <selection pane="bottomLeft"/>
    </sheetView>
  </sheetViews>
  <sheetFormatPr defaultColWidth="9.42578125" defaultRowHeight="14.25" x14ac:dyDescent="0.2"/>
  <cols>
    <col min="1" max="1" width="2.5703125" style="696" customWidth="1"/>
    <col min="2" max="2" width="4.42578125" style="696" customWidth="1"/>
    <col min="3" max="3" width="45.7109375" style="697" customWidth="1"/>
    <col min="4" max="5" width="11.42578125" style="698" customWidth="1"/>
    <col min="6" max="8" width="11.42578125" style="696" customWidth="1"/>
    <col min="9" max="9" width="2.5703125" style="696" customWidth="1"/>
    <col min="10" max="10" width="11.42578125" style="698" customWidth="1"/>
    <col min="11" max="12" width="11.42578125" style="696" customWidth="1"/>
    <col min="13" max="16384" width="9.42578125" style="696"/>
  </cols>
  <sheetData>
    <row r="1" spans="1:15" s="693" customFormat="1" ht="20.25" x14ac:dyDescent="0.3">
      <c r="A1" s="3" t="s">
        <v>6</v>
      </c>
      <c r="B1" s="4"/>
      <c r="C1" s="4"/>
      <c r="D1" s="366"/>
      <c r="E1" s="366"/>
      <c r="F1" s="4"/>
      <c r="G1" s="4"/>
      <c r="H1" s="4"/>
      <c r="I1" s="4"/>
      <c r="J1" s="366"/>
      <c r="K1" s="4"/>
      <c r="L1" s="4"/>
      <c r="M1" s="4"/>
      <c r="N1" s="4"/>
      <c r="O1" s="4"/>
    </row>
    <row r="2" spans="1:15" s="694" customFormat="1" ht="60" x14ac:dyDescent="0.25">
      <c r="A2" s="782" t="s">
        <v>33</v>
      </c>
      <c r="B2" s="782"/>
      <c r="C2" s="782"/>
      <c r="D2" s="367" t="s">
        <v>409</v>
      </c>
      <c r="E2" s="367" t="s">
        <v>410</v>
      </c>
      <c r="F2" s="367" t="s">
        <v>362</v>
      </c>
      <c r="G2" s="367" t="s">
        <v>433</v>
      </c>
      <c r="H2" s="367" t="s">
        <v>434</v>
      </c>
      <c r="I2" s="380"/>
      <c r="J2" s="367" t="s">
        <v>412</v>
      </c>
      <c r="K2" s="380" t="s">
        <v>363</v>
      </c>
      <c r="L2" s="367" t="s">
        <v>435</v>
      </c>
      <c r="M2" s="6"/>
      <c r="N2" s="6"/>
      <c r="O2" s="6"/>
    </row>
    <row r="3" spans="1:15" s="695" customFormat="1" ht="8.25" customHeight="1" x14ac:dyDescent="0.25">
      <c r="A3" s="381"/>
      <c r="B3" s="331"/>
      <c r="C3" s="331"/>
      <c r="D3" s="168"/>
      <c r="E3" s="24"/>
      <c r="F3" s="331"/>
      <c r="G3" s="331"/>
      <c r="H3" s="331"/>
      <c r="I3" s="331"/>
      <c r="J3" s="168"/>
      <c r="K3" s="331"/>
      <c r="L3" s="331"/>
      <c r="M3" s="331"/>
      <c r="N3" s="331"/>
      <c r="O3" s="331"/>
    </row>
    <row r="4" spans="1:15" s="695" customFormat="1" ht="15" customHeight="1" x14ac:dyDescent="0.25">
      <c r="A4" s="352" t="s">
        <v>68</v>
      </c>
      <c r="B4" s="331"/>
      <c r="C4" s="331"/>
      <c r="D4" s="168"/>
      <c r="E4" s="24"/>
      <c r="F4" s="331"/>
      <c r="G4" s="402"/>
      <c r="H4" s="402"/>
      <c r="I4" s="331"/>
      <c r="J4" s="168"/>
      <c r="K4" s="331"/>
      <c r="L4" s="331"/>
      <c r="M4" s="331"/>
      <c r="N4" s="331"/>
      <c r="O4" s="331"/>
    </row>
    <row r="5" spans="1:15" s="331" customFormat="1" ht="15" customHeight="1" x14ac:dyDescent="0.25">
      <c r="A5" s="376" t="s">
        <v>6</v>
      </c>
      <c r="D5" s="107">
        <v>4092</v>
      </c>
      <c r="E5" s="403">
        <v>4308</v>
      </c>
      <c r="F5" s="403">
        <v>3933</v>
      </c>
      <c r="G5" s="333">
        <v>4.0427154843630797</v>
      </c>
      <c r="H5" s="333">
        <v>-5.0139275766016738</v>
      </c>
      <c r="J5" s="107">
        <v>8400</v>
      </c>
      <c r="K5" s="383">
        <v>7873</v>
      </c>
      <c r="L5" s="333">
        <v>6.693763495490912</v>
      </c>
      <c r="M5" s="404"/>
      <c r="N5" s="405"/>
      <c r="O5" s="406"/>
    </row>
    <row r="6" spans="1:15" s="695" customFormat="1" ht="3" customHeight="1" x14ac:dyDescent="0.25">
      <c r="A6" s="331"/>
      <c r="B6" s="376"/>
      <c r="C6" s="331"/>
      <c r="D6" s="107"/>
      <c r="E6" s="403"/>
      <c r="F6" s="403"/>
      <c r="G6" s="374"/>
      <c r="H6" s="374"/>
      <c r="I6" s="323"/>
      <c r="J6" s="168"/>
      <c r="K6" s="383"/>
      <c r="L6" s="384"/>
      <c r="M6" s="331"/>
      <c r="N6" s="407"/>
      <c r="O6" s="407"/>
    </row>
    <row r="7" spans="1:15" ht="15" customHeight="1" x14ac:dyDescent="0.25">
      <c r="A7" s="323"/>
      <c r="B7" s="323"/>
      <c r="C7" s="339" t="s">
        <v>80</v>
      </c>
      <c r="D7" s="133">
        <v>99</v>
      </c>
      <c r="E7" s="333">
        <v>47</v>
      </c>
      <c r="F7" s="333">
        <v>64</v>
      </c>
      <c r="G7" s="333">
        <v>54.6875</v>
      </c>
      <c r="H7" s="333" t="s">
        <v>500</v>
      </c>
      <c r="I7" s="323"/>
      <c r="J7" s="103">
        <v>146</v>
      </c>
      <c r="K7" s="384">
        <v>101</v>
      </c>
      <c r="L7" s="333">
        <v>44.554455445544548</v>
      </c>
      <c r="M7" s="404"/>
      <c r="N7" s="404"/>
      <c r="O7" s="407"/>
    </row>
    <row r="8" spans="1:15" ht="15" customHeight="1" x14ac:dyDescent="0.25">
      <c r="A8" s="323"/>
      <c r="B8" s="323"/>
      <c r="C8" s="339" t="s">
        <v>492</v>
      </c>
      <c r="D8" s="133">
        <v>475</v>
      </c>
      <c r="E8" s="333">
        <v>467</v>
      </c>
      <c r="F8" s="333">
        <v>459</v>
      </c>
      <c r="G8" s="333">
        <v>3.4858387799564294</v>
      </c>
      <c r="H8" s="333">
        <v>1.7130620985010614</v>
      </c>
      <c r="I8" s="323"/>
      <c r="J8" s="103">
        <v>942</v>
      </c>
      <c r="K8" s="384">
        <v>918</v>
      </c>
      <c r="L8" s="333">
        <v>2.614379084967311</v>
      </c>
      <c r="M8" s="404"/>
      <c r="N8" s="404"/>
      <c r="O8" s="407"/>
    </row>
    <row r="9" spans="1:15" ht="15" customHeight="1" x14ac:dyDescent="0.25">
      <c r="A9" s="323"/>
      <c r="B9" s="323"/>
      <c r="C9" s="339" t="s">
        <v>81</v>
      </c>
      <c r="D9" s="133">
        <v>321</v>
      </c>
      <c r="E9" s="333">
        <v>412</v>
      </c>
      <c r="F9" s="333">
        <v>273</v>
      </c>
      <c r="G9" s="333">
        <v>17.582417582417587</v>
      </c>
      <c r="H9" s="333">
        <v>-22.087378640776699</v>
      </c>
      <c r="I9" s="323"/>
      <c r="J9" s="103">
        <v>733</v>
      </c>
      <c r="K9" s="384">
        <v>644</v>
      </c>
      <c r="L9" s="333">
        <v>13.819875776397517</v>
      </c>
      <c r="M9" s="404"/>
      <c r="N9" s="404"/>
      <c r="O9" s="407"/>
    </row>
    <row r="10" spans="1:15" ht="15" customHeight="1" x14ac:dyDescent="0.25">
      <c r="A10" s="323"/>
      <c r="B10" s="323"/>
      <c r="C10" s="339" t="s">
        <v>493</v>
      </c>
      <c r="D10" s="133">
        <v>626</v>
      </c>
      <c r="E10" s="333">
        <v>599</v>
      </c>
      <c r="F10" s="333">
        <v>626</v>
      </c>
      <c r="G10" s="333">
        <v>0</v>
      </c>
      <c r="H10" s="333">
        <v>4.5075125208681177</v>
      </c>
      <c r="I10" s="323"/>
      <c r="J10" s="103">
        <v>1225</v>
      </c>
      <c r="K10" s="384">
        <v>1240</v>
      </c>
      <c r="L10" s="333">
        <v>-1.2096774193548376</v>
      </c>
      <c r="M10" s="404"/>
      <c r="N10" s="404"/>
      <c r="O10" s="407"/>
    </row>
    <row r="11" spans="1:15" ht="15" customHeight="1" x14ac:dyDescent="0.25">
      <c r="A11" s="323"/>
      <c r="B11" s="323"/>
      <c r="C11" s="339" t="s">
        <v>82</v>
      </c>
      <c r="D11" s="133">
        <v>1441</v>
      </c>
      <c r="E11" s="333">
        <v>1373</v>
      </c>
      <c r="F11" s="333">
        <v>1129</v>
      </c>
      <c r="G11" s="333">
        <v>27.635075287865373</v>
      </c>
      <c r="H11" s="333">
        <v>4.9526584122359774</v>
      </c>
      <c r="I11" s="323"/>
      <c r="J11" s="103">
        <v>2814</v>
      </c>
      <c r="K11" s="384">
        <v>2183</v>
      </c>
      <c r="L11" s="333">
        <v>28.905176362803473</v>
      </c>
      <c r="M11" s="404"/>
      <c r="N11" s="404"/>
      <c r="O11" s="407"/>
    </row>
    <row r="12" spans="1:15" s="331" customFormat="1" ht="15" customHeight="1" x14ac:dyDescent="0.25">
      <c r="B12" s="376" t="s">
        <v>83</v>
      </c>
      <c r="C12" s="343"/>
      <c r="D12" s="107">
        <v>2962</v>
      </c>
      <c r="E12" s="403">
        <v>2898</v>
      </c>
      <c r="F12" s="403">
        <v>2551</v>
      </c>
      <c r="G12" s="333">
        <v>16.111328890631114</v>
      </c>
      <c r="H12" s="333">
        <v>2.2084195997239542</v>
      </c>
      <c r="J12" s="107">
        <v>5860</v>
      </c>
      <c r="K12" s="383">
        <v>5086</v>
      </c>
      <c r="L12" s="333">
        <v>15.218246165945736</v>
      </c>
      <c r="M12" s="404"/>
      <c r="N12" s="404"/>
      <c r="O12" s="407"/>
    </row>
    <row r="13" spans="1:15" ht="15" customHeight="1" x14ac:dyDescent="0.25">
      <c r="A13" s="323"/>
      <c r="B13" s="324" t="s">
        <v>84</v>
      </c>
      <c r="C13" s="339"/>
      <c r="D13" s="133">
        <v>506</v>
      </c>
      <c r="E13" s="333">
        <v>456</v>
      </c>
      <c r="F13" s="333">
        <v>474</v>
      </c>
      <c r="G13" s="333">
        <v>6.7510548523206815</v>
      </c>
      <c r="H13" s="333">
        <v>10.964912280701755</v>
      </c>
      <c r="I13" s="323"/>
      <c r="J13" s="103">
        <v>962</v>
      </c>
      <c r="K13" s="384">
        <v>918</v>
      </c>
      <c r="L13" s="333">
        <v>4.7930283224400849</v>
      </c>
      <c r="M13" s="404"/>
      <c r="N13" s="404"/>
      <c r="O13" s="407"/>
    </row>
    <row r="14" spans="1:15" s="331" customFormat="1" ht="15" customHeight="1" x14ac:dyDescent="0.25">
      <c r="B14" s="331" t="s">
        <v>38</v>
      </c>
      <c r="C14" s="343"/>
      <c r="D14" s="107">
        <v>2456</v>
      </c>
      <c r="E14" s="403">
        <v>2442</v>
      </c>
      <c r="F14" s="403">
        <v>2077</v>
      </c>
      <c r="G14" s="333">
        <v>18.247472315840163</v>
      </c>
      <c r="H14" s="333">
        <v>0.57330057330058359</v>
      </c>
      <c r="J14" s="107">
        <v>4898</v>
      </c>
      <c r="K14" s="383">
        <v>4168</v>
      </c>
      <c r="L14" s="333">
        <v>17.514395393474082</v>
      </c>
      <c r="M14" s="404"/>
      <c r="N14" s="404"/>
      <c r="O14" s="407"/>
    </row>
    <row r="15" spans="1:15" ht="15" customHeight="1" x14ac:dyDescent="0.25">
      <c r="A15" s="323"/>
      <c r="B15" s="323"/>
      <c r="C15" s="339"/>
      <c r="D15" s="133"/>
      <c r="E15" s="333"/>
      <c r="F15" s="333"/>
      <c r="G15" s="374"/>
      <c r="H15" s="374"/>
      <c r="I15" s="323"/>
      <c r="J15" s="103"/>
      <c r="K15" s="384"/>
      <c r="L15" s="384"/>
      <c r="M15" s="323"/>
      <c r="N15" s="407"/>
      <c r="O15" s="407"/>
    </row>
    <row r="16" spans="1:15" s="331" customFormat="1" ht="15" customHeight="1" x14ac:dyDescent="0.25">
      <c r="B16" s="376" t="s">
        <v>85</v>
      </c>
      <c r="D16" s="107">
        <v>1636</v>
      </c>
      <c r="E16" s="403">
        <v>1866</v>
      </c>
      <c r="F16" s="403">
        <v>1856</v>
      </c>
      <c r="G16" s="333">
        <v>-11.853448275862066</v>
      </c>
      <c r="H16" s="333">
        <v>-12.325830653804925</v>
      </c>
      <c r="J16" s="107">
        <v>3502</v>
      </c>
      <c r="K16" s="383">
        <v>3705</v>
      </c>
      <c r="L16" s="333">
        <v>-5.4790823211875894</v>
      </c>
      <c r="N16" s="407"/>
      <c r="O16" s="407"/>
    </row>
    <row r="17" spans="2:15" s="331" customFormat="1" ht="15" customHeight="1" x14ac:dyDescent="0.25">
      <c r="B17" s="376" t="s">
        <v>86</v>
      </c>
      <c r="D17" s="107">
        <v>1638</v>
      </c>
      <c r="E17" s="403">
        <v>1723</v>
      </c>
      <c r="F17" s="403">
        <v>1648</v>
      </c>
      <c r="G17" s="333">
        <v>-0.60679611650485965</v>
      </c>
      <c r="H17" s="333">
        <v>-4.9332559489262966</v>
      </c>
      <c r="J17" s="107">
        <v>3361</v>
      </c>
      <c r="K17" s="383">
        <v>3381</v>
      </c>
      <c r="L17" s="333">
        <v>-0.59154096421176749</v>
      </c>
      <c r="N17" s="407"/>
      <c r="O17" s="407"/>
    </row>
    <row r="18" spans="2:15" s="331" customFormat="1" ht="15" customHeight="1" x14ac:dyDescent="0.25">
      <c r="B18" s="376"/>
      <c r="C18" s="339" t="s">
        <v>424</v>
      </c>
      <c r="D18" s="133">
        <v>1066</v>
      </c>
      <c r="E18" s="691">
        <v>1076</v>
      </c>
      <c r="F18" s="691">
        <v>910</v>
      </c>
      <c r="G18" s="333">
        <v>17.142857142857149</v>
      </c>
      <c r="H18" s="333">
        <v>-0.92936802973977439</v>
      </c>
      <c r="I18" s="323"/>
      <c r="J18" s="103">
        <v>2142</v>
      </c>
      <c r="K18" s="692">
        <v>1886</v>
      </c>
      <c r="L18" s="333">
        <v>13.573700954400847</v>
      </c>
      <c r="N18" s="407"/>
      <c r="O18" s="407"/>
    </row>
    <row r="19" spans="2:15" s="331" customFormat="1" ht="15" customHeight="1" x14ac:dyDescent="0.25">
      <c r="B19" s="376"/>
      <c r="C19" s="339" t="s">
        <v>425</v>
      </c>
      <c r="D19" s="133">
        <v>572</v>
      </c>
      <c r="E19" s="691">
        <v>647</v>
      </c>
      <c r="F19" s="691">
        <v>738</v>
      </c>
      <c r="G19" s="333">
        <v>-22.493224932249323</v>
      </c>
      <c r="H19" s="333">
        <v>-11.591962905718701</v>
      </c>
      <c r="I19" s="323"/>
      <c r="J19" s="103">
        <v>1219</v>
      </c>
      <c r="K19" s="692">
        <v>1495</v>
      </c>
      <c r="L19" s="333">
        <v>-18.461538461538463</v>
      </c>
      <c r="N19" s="407"/>
      <c r="O19" s="407"/>
    </row>
    <row r="20" spans="2:15" s="331" customFormat="1" ht="15" customHeight="1" x14ac:dyDescent="0.25">
      <c r="B20" s="376" t="s">
        <v>87</v>
      </c>
      <c r="D20" s="107">
        <v>-2</v>
      </c>
      <c r="E20" s="403">
        <v>143</v>
      </c>
      <c r="F20" s="403">
        <v>208</v>
      </c>
      <c r="G20" s="333" t="s">
        <v>117</v>
      </c>
      <c r="H20" s="333" t="s">
        <v>117</v>
      </c>
      <c r="J20" s="107">
        <v>141</v>
      </c>
      <c r="K20" s="383">
        <v>324</v>
      </c>
      <c r="L20" s="333">
        <v>-56.481481481481488</v>
      </c>
      <c r="N20" s="407"/>
      <c r="O20" s="407"/>
    </row>
    <row r="21" spans="2:15" ht="15" customHeight="1" x14ac:dyDescent="0.25">
      <c r="B21" s="323"/>
      <c r="C21" s="339" t="s">
        <v>88</v>
      </c>
      <c r="D21" s="133">
        <v>-23</v>
      </c>
      <c r="E21" s="333">
        <v>123</v>
      </c>
      <c r="F21" s="333">
        <v>72</v>
      </c>
      <c r="G21" s="333" t="s">
        <v>117</v>
      </c>
      <c r="H21" s="333" t="s">
        <v>117</v>
      </c>
      <c r="I21" s="323"/>
      <c r="J21" s="103">
        <v>100</v>
      </c>
      <c r="K21" s="384">
        <v>163</v>
      </c>
      <c r="L21" s="333">
        <v>-38.650306748466257</v>
      </c>
      <c r="M21" s="323"/>
      <c r="N21" s="407"/>
      <c r="O21" s="407"/>
    </row>
    <row r="22" spans="2:15" ht="29.25" x14ac:dyDescent="0.25">
      <c r="B22" s="323"/>
      <c r="C22" s="339" t="s">
        <v>494</v>
      </c>
      <c r="D22" s="133">
        <v>21</v>
      </c>
      <c r="E22" s="333">
        <v>20</v>
      </c>
      <c r="F22" s="333">
        <v>136</v>
      </c>
      <c r="G22" s="333">
        <v>-84.558823529411768</v>
      </c>
      <c r="H22" s="333">
        <v>5.0000000000000044</v>
      </c>
      <c r="I22" s="323"/>
      <c r="J22" s="103">
        <v>41</v>
      </c>
      <c r="K22" s="384">
        <v>161</v>
      </c>
      <c r="L22" s="333">
        <v>-74.534161490683232</v>
      </c>
      <c r="M22" s="323"/>
      <c r="N22" s="407"/>
      <c r="O22" s="407"/>
    </row>
    <row r="23" spans="2:15" ht="15" x14ac:dyDescent="0.25">
      <c r="B23" s="323"/>
      <c r="C23" s="323"/>
      <c r="D23" s="330"/>
      <c r="E23" s="329"/>
      <c r="F23" s="323"/>
      <c r="G23" s="408"/>
      <c r="H23" s="408"/>
      <c r="I23" s="323"/>
      <c r="J23" s="329"/>
      <c r="K23" s="323"/>
      <c r="L23" s="323"/>
      <c r="M23" s="323"/>
      <c r="N23" s="407"/>
      <c r="O23" s="407"/>
    </row>
    <row r="24" spans="2:15" x14ac:dyDescent="0.2">
      <c r="B24" s="323"/>
      <c r="C24" s="357"/>
      <c r="D24" s="329"/>
      <c r="E24" s="329"/>
      <c r="F24" s="323"/>
      <c r="G24" s="323"/>
      <c r="H24" s="323"/>
      <c r="I24" s="323"/>
      <c r="J24" s="329"/>
      <c r="K24" s="323"/>
      <c r="L24" s="323"/>
      <c r="M24" s="323"/>
      <c r="N24" s="323"/>
      <c r="O24" s="323"/>
    </row>
    <row r="25" spans="2:15" s="351" customFormat="1" x14ac:dyDescent="0.2">
      <c r="B25" s="363" t="s">
        <v>89</v>
      </c>
      <c r="C25" s="363" t="s">
        <v>91</v>
      </c>
      <c r="D25" s="330"/>
      <c r="E25" s="330"/>
      <c r="J25" s="330"/>
    </row>
    <row r="26" spans="2:15" s="351" customFormat="1" x14ac:dyDescent="0.2">
      <c r="B26" s="363" t="s">
        <v>90</v>
      </c>
      <c r="C26" s="363" t="s">
        <v>92</v>
      </c>
      <c r="D26" s="330"/>
      <c r="E26" s="330"/>
      <c r="F26" s="330"/>
      <c r="G26" s="330"/>
      <c r="H26" s="330"/>
      <c r="J26" s="330"/>
    </row>
    <row r="27" spans="2:15" x14ac:dyDescent="0.2">
      <c r="B27" s="323"/>
      <c r="C27" s="357"/>
      <c r="D27" s="8"/>
      <c r="E27" s="8"/>
      <c r="F27" s="8"/>
      <c r="G27" s="8"/>
      <c r="H27" s="8"/>
      <c r="I27" s="323"/>
      <c r="J27" s="8"/>
      <c r="K27" s="323"/>
      <c r="L27" s="323"/>
      <c r="M27" s="323"/>
      <c r="N27" s="323"/>
      <c r="O27" s="323"/>
    </row>
    <row r="28" spans="2:15" x14ac:dyDescent="0.2">
      <c r="B28" s="323"/>
      <c r="C28" s="357"/>
      <c r="D28" s="8"/>
      <c r="E28" s="8"/>
      <c r="F28" s="8"/>
      <c r="G28" s="8"/>
      <c r="H28" s="8"/>
      <c r="I28" s="323"/>
      <c r="J28" s="8"/>
      <c r="K28" s="323"/>
      <c r="L28" s="323"/>
      <c r="M28" s="323"/>
      <c r="N28" s="323"/>
      <c r="O28" s="323"/>
    </row>
  </sheetData>
  <mergeCells count="1">
    <mergeCell ref="A2:C2"/>
  </mergeCells>
  <phoneticPr fontId="2" type="noConversion"/>
  <hyperlinks>
    <hyperlink ref="A2" location="Index!A1" display="Back to Index" xr:uid="{01DCF991-0B83-4B72-9C45-372276C82D5D}"/>
  </hyperlinks>
  <printOptions gridLines="1"/>
  <pageMargins left="0.55118110236220497" right="0.55118110236220497" top="0.98425196850393704" bottom="0.98425196850393704" header="0.511811023622047" footer="0.511811023622047"/>
  <pageSetup scale="65" orientation="portrait" r:id="rId1"/>
  <headerFooter alignWithMargins="0">
    <oddHeader>&amp;C&amp;A</oddHeader>
    <oddFooter>&amp;L&amp;Z&amp;F &amp;D &amp;T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83EA9-B6AF-44AF-B243-A19B0CA61498}">
  <sheetPr>
    <tabColor indexed="47"/>
    <pageSetUpPr fitToPage="1"/>
  </sheetPr>
  <dimension ref="A1:Q30"/>
  <sheetViews>
    <sheetView showGridLines="0" zoomScale="85" zoomScaleNormal="85" workbookViewId="0">
      <selection activeCell="O32" sqref="O32"/>
    </sheetView>
  </sheetViews>
  <sheetFormatPr defaultColWidth="9.42578125" defaultRowHeight="14.25" x14ac:dyDescent="0.2"/>
  <cols>
    <col min="1" max="1" width="2.42578125" style="412" customWidth="1"/>
    <col min="2" max="2" width="3.42578125" style="412" customWidth="1"/>
    <col min="3" max="3" width="69.5703125" style="424" customWidth="1"/>
    <col min="4" max="8" width="11.42578125" style="412" customWidth="1"/>
    <col min="9" max="9" width="2.5703125" style="412" customWidth="1"/>
    <col min="10" max="12" width="11.42578125" style="412" customWidth="1"/>
    <col min="13" max="16384" width="9.42578125" style="412"/>
  </cols>
  <sheetData>
    <row r="1" spans="1:17" s="4" customFormat="1" ht="19.5" customHeight="1" x14ac:dyDescent="0.3">
      <c r="A1" s="3" t="s">
        <v>7</v>
      </c>
      <c r="D1" s="366"/>
      <c r="E1" s="366"/>
      <c r="J1" s="366"/>
    </row>
    <row r="2" spans="1:17" s="6" customFormat="1" ht="60" x14ac:dyDescent="0.25">
      <c r="A2" s="781" t="s">
        <v>33</v>
      </c>
      <c r="B2" s="781"/>
      <c r="C2" s="781"/>
      <c r="D2" s="321" t="s">
        <v>409</v>
      </c>
      <c r="E2" s="321" t="s">
        <v>410</v>
      </c>
      <c r="F2" s="321" t="s">
        <v>362</v>
      </c>
      <c r="G2" s="367" t="s">
        <v>433</v>
      </c>
      <c r="H2" s="367" t="s">
        <v>434</v>
      </c>
      <c r="J2" s="321" t="s">
        <v>412</v>
      </c>
      <c r="K2" s="380" t="s">
        <v>363</v>
      </c>
      <c r="L2" s="367" t="s">
        <v>435</v>
      </c>
    </row>
    <row r="3" spans="1:17" s="376" customFormat="1" ht="14.25" customHeight="1" x14ac:dyDescent="0.25">
      <c r="A3" s="1"/>
      <c r="D3" s="197"/>
      <c r="J3" s="197"/>
    </row>
    <row r="4" spans="1:17" s="376" customFormat="1" ht="14.25" customHeight="1" x14ac:dyDescent="0.25">
      <c r="A4" s="352" t="s">
        <v>68</v>
      </c>
      <c r="D4" s="197"/>
      <c r="G4" s="392"/>
      <c r="H4" s="392"/>
      <c r="J4" s="197"/>
    </row>
    <row r="5" spans="1:17" s="331" customFormat="1" ht="17.25" x14ac:dyDescent="0.25">
      <c r="A5" s="376" t="s">
        <v>93</v>
      </c>
      <c r="D5" s="107">
        <v>4765</v>
      </c>
      <c r="E5" s="409">
        <v>4484</v>
      </c>
      <c r="F5" s="332">
        <v>4644</v>
      </c>
      <c r="G5" s="333">
        <v>2.6055124892334192</v>
      </c>
      <c r="H5" s="333">
        <v>6.266726137377332</v>
      </c>
      <c r="J5" s="198">
        <v>9249</v>
      </c>
      <c r="K5" s="376">
        <v>8895</v>
      </c>
      <c r="L5" s="333">
        <v>3.9797639123102968</v>
      </c>
    </row>
    <row r="6" spans="1:17" s="331" customFormat="1" ht="15" x14ac:dyDescent="0.25">
      <c r="B6" s="376" t="s">
        <v>94</v>
      </c>
      <c r="D6" s="107">
        <v>2923</v>
      </c>
      <c r="E6" s="409">
        <v>2909</v>
      </c>
      <c r="F6" s="332">
        <v>2866</v>
      </c>
      <c r="G6" s="333">
        <v>1.9888346127006296</v>
      </c>
      <c r="H6" s="333">
        <v>0.48126503953247468</v>
      </c>
      <c r="J6" s="198">
        <v>5832</v>
      </c>
      <c r="K6" s="376">
        <v>5594</v>
      </c>
      <c r="L6" s="410">
        <v>4.2545584554880334</v>
      </c>
    </row>
    <row r="7" spans="1:17" s="331" customFormat="1" ht="15" x14ac:dyDescent="0.25">
      <c r="B7" s="376" t="s">
        <v>95</v>
      </c>
      <c r="D7" s="107">
        <v>1842</v>
      </c>
      <c r="E7" s="409">
        <v>1575</v>
      </c>
      <c r="F7" s="332">
        <v>1778</v>
      </c>
      <c r="G7" s="333">
        <v>3.5995500562429728</v>
      </c>
      <c r="H7" s="333">
        <v>16.952380952380963</v>
      </c>
      <c r="J7" s="198">
        <v>3417</v>
      </c>
      <c r="K7" s="376">
        <v>3301</v>
      </c>
      <c r="L7" s="410">
        <v>3.5140866404119953</v>
      </c>
    </row>
    <row r="8" spans="1:17" ht="15" x14ac:dyDescent="0.25">
      <c r="A8" s="323"/>
      <c r="B8" s="376"/>
      <c r="C8" s="339" t="s">
        <v>96</v>
      </c>
      <c r="D8" s="133">
        <v>245</v>
      </c>
      <c r="E8" s="411">
        <v>214</v>
      </c>
      <c r="F8" s="8">
        <v>238</v>
      </c>
      <c r="G8" s="333">
        <v>2.9411764705882248</v>
      </c>
      <c r="H8" s="333">
        <v>14.485981308411212</v>
      </c>
      <c r="I8" s="331"/>
      <c r="J8" s="199">
        <v>459</v>
      </c>
      <c r="K8" s="324">
        <v>453</v>
      </c>
      <c r="L8" s="410">
        <v>1.3245033112582849</v>
      </c>
      <c r="M8" s="323"/>
      <c r="N8" s="331"/>
      <c r="O8" s="331"/>
      <c r="P8" s="331"/>
      <c r="Q8" s="331"/>
    </row>
    <row r="9" spans="1:17" ht="15" x14ac:dyDescent="0.25">
      <c r="A9" s="323"/>
      <c r="B9" s="376"/>
      <c r="C9" s="339" t="s">
        <v>97</v>
      </c>
      <c r="D9" s="133">
        <v>720</v>
      </c>
      <c r="E9" s="411">
        <v>640</v>
      </c>
      <c r="F9" s="8">
        <v>729</v>
      </c>
      <c r="G9" s="333">
        <v>-1.2345679012345734</v>
      </c>
      <c r="H9" s="333">
        <v>12.5</v>
      </c>
      <c r="I9" s="331"/>
      <c r="J9" s="199">
        <v>1360</v>
      </c>
      <c r="K9" s="324">
        <v>1335</v>
      </c>
      <c r="L9" s="410">
        <v>1.8726591760299671</v>
      </c>
      <c r="M9" s="323"/>
      <c r="N9" s="331"/>
      <c r="O9" s="331"/>
      <c r="P9" s="331"/>
      <c r="Q9" s="331"/>
    </row>
    <row r="10" spans="1:17" ht="15" x14ac:dyDescent="0.25">
      <c r="A10" s="323"/>
      <c r="B10" s="376"/>
      <c r="C10" s="339" t="s">
        <v>98</v>
      </c>
      <c r="D10" s="133">
        <v>336</v>
      </c>
      <c r="E10" s="411">
        <v>276</v>
      </c>
      <c r="F10" s="8">
        <v>283</v>
      </c>
      <c r="G10" s="333">
        <v>18.727915194346288</v>
      </c>
      <c r="H10" s="333">
        <v>21.739130434782616</v>
      </c>
      <c r="I10" s="331"/>
      <c r="J10" s="199">
        <v>612</v>
      </c>
      <c r="K10" s="324">
        <v>536</v>
      </c>
      <c r="L10" s="410">
        <v>14.179104477611947</v>
      </c>
      <c r="M10" s="323"/>
      <c r="N10" s="331"/>
      <c r="O10" s="331"/>
      <c r="P10" s="331"/>
      <c r="Q10" s="331"/>
    </row>
    <row r="11" spans="1:17" ht="15" x14ac:dyDescent="0.25">
      <c r="A11" s="323"/>
      <c r="B11" s="323"/>
      <c r="C11" s="339" t="s">
        <v>99</v>
      </c>
      <c r="D11" s="133">
        <v>541</v>
      </c>
      <c r="E11" s="411">
        <v>445</v>
      </c>
      <c r="F11" s="8">
        <v>528</v>
      </c>
      <c r="G11" s="333">
        <v>2.4621212121212155</v>
      </c>
      <c r="H11" s="333">
        <v>21.573033707865164</v>
      </c>
      <c r="I11" s="331"/>
      <c r="J11" s="199">
        <v>986</v>
      </c>
      <c r="K11" s="324">
        <v>977</v>
      </c>
      <c r="L11" s="410">
        <v>0.92118730808596894</v>
      </c>
      <c r="M11" s="323"/>
      <c r="N11" s="331"/>
      <c r="O11" s="331"/>
      <c r="P11" s="331"/>
      <c r="Q11" s="331"/>
    </row>
    <row r="12" spans="1:17" ht="15" x14ac:dyDescent="0.25">
      <c r="A12" s="323"/>
      <c r="B12" s="323"/>
      <c r="C12" s="323"/>
      <c r="D12" s="200"/>
      <c r="E12" s="408"/>
      <c r="F12" s="413"/>
      <c r="G12" s="323"/>
      <c r="H12" s="323"/>
      <c r="I12" s="323"/>
      <c r="J12" s="201"/>
      <c r="K12" s="324"/>
      <c r="L12" s="338"/>
      <c r="M12" s="323"/>
      <c r="N12" s="331"/>
      <c r="O12" s="331"/>
      <c r="P12" s="323"/>
      <c r="Q12" s="323"/>
    </row>
    <row r="13" spans="1:17" s="376" customFormat="1" ht="14.25" customHeight="1" x14ac:dyDescent="0.25">
      <c r="A13" s="328" t="s">
        <v>100</v>
      </c>
      <c r="D13" s="202"/>
      <c r="E13" s="390"/>
      <c r="F13" s="414"/>
      <c r="G13" s="324"/>
      <c r="H13" s="324"/>
      <c r="J13" s="202"/>
      <c r="L13" s="338"/>
    </row>
    <row r="14" spans="1:17" s="323" customFormat="1" ht="15" x14ac:dyDescent="0.25">
      <c r="B14" s="323" t="s">
        <v>101</v>
      </c>
      <c r="D14" s="133">
        <v>414</v>
      </c>
      <c r="E14" s="411">
        <v>410</v>
      </c>
      <c r="F14" s="204">
        <v>401</v>
      </c>
      <c r="G14" s="333">
        <v>3.2418952618453956</v>
      </c>
      <c r="H14" s="333">
        <v>0.97560975609756184</v>
      </c>
      <c r="I14" s="331"/>
      <c r="J14" s="203">
        <v>824</v>
      </c>
      <c r="K14" s="324">
        <v>806</v>
      </c>
      <c r="L14" s="410">
        <v>2.2332506203474045</v>
      </c>
    </row>
    <row r="15" spans="1:17" ht="17.25" x14ac:dyDescent="0.25">
      <c r="A15" s="323"/>
      <c r="B15" s="324" t="s">
        <v>102</v>
      </c>
      <c r="C15" s="323"/>
      <c r="D15" s="199">
        <v>39721</v>
      </c>
      <c r="E15" s="415">
        <v>40187</v>
      </c>
      <c r="F15" s="8">
        <v>41354</v>
      </c>
      <c r="G15" s="333">
        <v>-3.9488320355951068</v>
      </c>
      <c r="H15" s="333">
        <v>-1.1595789683230939</v>
      </c>
      <c r="I15" s="331"/>
      <c r="J15" s="199">
        <v>39721</v>
      </c>
      <c r="K15" s="416">
        <v>41354</v>
      </c>
      <c r="L15" s="410">
        <v>-3.9488320355951068</v>
      </c>
      <c r="M15" s="323"/>
      <c r="N15" s="323"/>
      <c r="O15" s="323"/>
      <c r="P15" s="323"/>
      <c r="Q15" s="323"/>
    </row>
    <row r="16" spans="1:17" s="417" customFormat="1" ht="15" customHeight="1" x14ac:dyDescent="0.25">
      <c r="B16" s="349"/>
      <c r="C16" s="349"/>
      <c r="D16" s="418"/>
      <c r="E16" s="418"/>
      <c r="F16" s="350"/>
      <c r="G16" s="338"/>
      <c r="H16" s="338"/>
      <c r="I16" s="331"/>
      <c r="J16" s="419"/>
      <c r="K16" s="420"/>
      <c r="L16" s="338"/>
    </row>
    <row r="17" spans="1:12" s="417" customFormat="1" ht="15" customHeight="1" x14ac:dyDescent="0.25">
      <c r="B17" s="349"/>
      <c r="C17" s="349"/>
      <c r="D17" s="418"/>
      <c r="E17" s="418"/>
      <c r="F17" s="350"/>
      <c r="G17" s="338"/>
      <c r="H17" s="338"/>
      <c r="I17" s="331"/>
      <c r="J17" s="419"/>
      <c r="K17" s="420"/>
      <c r="L17" s="338"/>
    </row>
    <row r="18" spans="1:12" s="351" customFormat="1" x14ac:dyDescent="0.2">
      <c r="A18" s="323"/>
      <c r="B18" s="70" t="s">
        <v>89</v>
      </c>
      <c r="C18" s="70" t="s">
        <v>103</v>
      </c>
      <c r="D18" s="421"/>
      <c r="E18" s="421"/>
      <c r="F18" s="422"/>
      <c r="G18" s="374"/>
      <c r="H18" s="374"/>
      <c r="J18" s="423"/>
      <c r="K18" s="422"/>
      <c r="L18" s="374"/>
    </row>
    <row r="19" spans="1:12" s="351" customFormat="1" x14ac:dyDescent="0.2">
      <c r="A19" s="323"/>
      <c r="B19" s="70" t="s">
        <v>90</v>
      </c>
      <c r="C19" s="70" t="s">
        <v>426</v>
      </c>
    </row>
    <row r="20" spans="1:12" x14ac:dyDescent="0.2">
      <c r="A20" s="323"/>
      <c r="B20" s="323"/>
      <c r="C20" s="357"/>
      <c r="D20" s="323"/>
      <c r="E20" s="323"/>
      <c r="F20" s="323"/>
      <c r="G20" s="323"/>
      <c r="H20" s="323"/>
      <c r="I20" s="323"/>
      <c r="J20" s="323"/>
      <c r="K20" s="323"/>
      <c r="L20" s="323"/>
    </row>
    <row r="21" spans="1:12" x14ac:dyDescent="0.2">
      <c r="A21" s="323"/>
      <c r="B21" s="323"/>
      <c r="C21" s="357"/>
      <c r="D21" s="323"/>
      <c r="E21" s="323"/>
      <c r="F21" s="323"/>
      <c r="G21" s="323"/>
      <c r="H21" s="323"/>
      <c r="I21" s="323"/>
      <c r="J21" s="323"/>
      <c r="K21" s="323"/>
      <c r="L21" s="323"/>
    </row>
    <row r="22" spans="1:12" x14ac:dyDescent="0.2">
      <c r="A22" s="323"/>
      <c r="B22" s="323"/>
      <c r="C22" s="357"/>
      <c r="D22" s="323"/>
      <c r="E22" s="323"/>
      <c r="F22" s="323"/>
      <c r="G22" s="323"/>
      <c r="H22" s="323"/>
      <c r="I22" s="323"/>
      <c r="J22" s="323"/>
      <c r="K22" s="323"/>
      <c r="L22" s="323"/>
    </row>
    <row r="23" spans="1:12" x14ac:dyDescent="0.2">
      <c r="A23" s="323"/>
      <c r="B23" s="323"/>
      <c r="C23" s="357"/>
      <c r="D23" s="323"/>
      <c r="E23" s="323"/>
      <c r="F23" s="323"/>
      <c r="G23" s="323"/>
      <c r="H23" s="323"/>
      <c r="I23" s="323"/>
      <c r="J23" s="323"/>
      <c r="K23" s="323"/>
      <c r="L23" s="323"/>
    </row>
    <row r="24" spans="1:12" x14ac:dyDescent="0.2">
      <c r="A24" s="323"/>
      <c r="B24" s="323"/>
      <c r="C24" s="357"/>
      <c r="D24" s="323"/>
      <c r="E24" s="323"/>
      <c r="F24" s="323"/>
      <c r="G24" s="323"/>
      <c r="H24" s="323"/>
      <c r="I24" s="323"/>
      <c r="J24" s="323"/>
      <c r="K24" s="323"/>
      <c r="L24" s="323"/>
    </row>
    <row r="25" spans="1:12" x14ac:dyDescent="0.2">
      <c r="A25" s="323"/>
      <c r="B25" s="323"/>
      <c r="C25" s="357"/>
      <c r="D25" s="323"/>
      <c r="E25" s="323"/>
      <c r="F25" s="323"/>
      <c r="G25" s="323"/>
      <c r="H25" s="323"/>
      <c r="I25" s="323"/>
      <c r="J25" s="323"/>
      <c r="K25" s="323"/>
      <c r="L25" s="323"/>
    </row>
    <row r="26" spans="1:12" x14ac:dyDescent="0.2">
      <c r="A26" s="323"/>
      <c r="B26" s="323"/>
      <c r="C26" s="357"/>
      <c r="D26" s="323"/>
      <c r="E26" s="323"/>
      <c r="F26" s="323"/>
      <c r="G26" s="323"/>
      <c r="H26" s="323"/>
      <c r="I26" s="323"/>
      <c r="J26" s="323"/>
      <c r="K26" s="323"/>
      <c r="L26" s="323"/>
    </row>
    <row r="27" spans="1:12" x14ac:dyDescent="0.2">
      <c r="A27" s="323"/>
      <c r="B27" s="323"/>
      <c r="C27" s="357"/>
      <c r="D27" s="323"/>
      <c r="E27" s="323"/>
      <c r="F27" s="323"/>
      <c r="G27" s="323"/>
      <c r="H27" s="323"/>
      <c r="I27" s="323"/>
      <c r="J27" s="323"/>
      <c r="K27" s="323"/>
      <c r="L27" s="323"/>
    </row>
    <row r="28" spans="1:12" x14ac:dyDescent="0.2">
      <c r="A28" s="323"/>
      <c r="B28" s="323"/>
      <c r="C28" s="357"/>
      <c r="D28" s="323"/>
      <c r="E28" s="323"/>
      <c r="F28" s="323"/>
      <c r="G28" s="323"/>
      <c r="H28" s="323"/>
      <c r="I28" s="323"/>
      <c r="J28" s="323"/>
      <c r="K28" s="323"/>
      <c r="L28" s="323"/>
    </row>
    <row r="29" spans="1:12" x14ac:dyDescent="0.2">
      <c r="A29" s="323"/>
      <c r="B29" s="323"/>
      <c r="C29" s="357"/>
      <c r="D29" s="323"/>
      <c r="E29" s="323"/>
      <c r="F29" s="323"/>
      <c r="G29" s="323"/>
      <c r="H29" s="323"/>
      <c r="I29" s="323"/>
      <c r="J29" s="323"/>
      <c r="K29" s="323"/>
      <c r="L29" s="323"/>
    </row>
    <row r="30" spans="1:12" x14ac:dyDescent="0.2">
      <c r="A30" s="323"/>
      <c r="B30" s="323"/>
      <c r="C30" s="357"/>
      <c r="D30" s="323"/>
      <c r="E30" s="323"/>
      <c r="F30" s="323"/>
      <c r="G30" s="323"/>
      <c r="H30" s="323"/>
      <c r="I30" s="323"/>
      <c r="J30" s="323"/>
      <c r="K30" s="323"/>
      <c r="L30" s="323"/>
    </row>
  </sheetData>
  <mergeCells count="1">
    <mergeCell ref="A2:C2"/>
  </mergeCells>
  <phoneticPr fontId="2" type="noConversion"/>
  <hyperlinks>
    <hyperlink ref="A2" location="Index!A1" display="Back to Index" xr:uid="{0BDA3CA1-8A13-4D29-AAA2-CAD548033BBF}"/>
  </hyperlinks>
  <pageMargins left="0.75" right="0.75" top="1" bottom="1" header="0.5" footer="0.5"/>
  <pageSetup scale="72" orientation="landscape" verticalDpi="597" r:id="rId1"/>
  <headerFooter alignWithMargins="0">
    <oddFooter>&amp;L&amp;Z&amp;F&amp;A&amp;R&amp;D&amp;T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24953-B2E0-4398-9925-F64EA0C8D87C}">
  <sheetPr>
    <tabColor indexed="47"/>
    <pageSetUpPr fitToPage="1"/>
  </sheetPr>
  <dimension ref="A1:L154"/>
  <sheetViews>
    <sheetView showGridLines="0" zoomScaleNormal="100" workbookViewId="0">
      <pane xSplit="3" ySplit="2" topLeftCell="D13" activePane="bottomRight" state="frozen"/>
      <selection pane="topRight" activeCell="D1" sqref="D1"/>
      <selection pane="bottomLeft" activeCell="A3" sqref="A3"/>
      <selection pane="bottomRight" activeCell="P64" sqref="P64"/>
    </sheetView>
  </sheetViews>
  <sheetFormatPr defaultColWidth="9.42578125" defaultRowHeight="14.25" x14ac:dyDescent="0.2"/>
  <cols>
    <col min="1" max="1" width="2.5703125" style="434" customWidth="1"/>
    <col min="2" max="2" width="4.42578125" style="434" customWidth="1"/>
    <col min="3" max="3" width="58.42578125" style="443" customWidth="1"/>
    <col min="4" max="5" width="11.42578125" style="444" customWidth="1"/>
    <col min="6" max="8" width="11.42578125" style="434" customWidth="1"/>
    <col min="9" max="9" width="2.5703125" style="434" customWidth="1"/>
    <col min="10" max="10" width="11.42578125" style="444" customWidth="1"/>
    <col min="11" max="12" width="11.42578125" style="434" customWidth="1"/>
    <col min="13" max="16384" width="9.42578125" style="434"/>
  </cols>
  <sheetData>
    <row r="1" spans="1:12" s="425" customFormat="1" ht="20.25" x14ac:dyDescent="0.3">
      <c r="A1" s="3" t="s">
        <v>8</v>
      </c>
      <c r="B1" s="4"/>
      <c r="C1" s="4"/>
      <c r="D1" s="366"/>
      <c r="E1" s="366"/>
      <c r="F1" s="4"/>
      <c r="G1" s="4"/>
      <c r="H1" s="4"/>
      <c r="I1" s="4"/>
      <c r="J1" s="366"/>
      <c r="K1" s="4"/>
      <c r="L1" s="4"/>
    </row>
    <row r="2" spans="1:12" s="426" customFormat="1" ht="60" x14ac:dyDescent="0.25">
      <c r="A2" s="781" t="s">
        <v>33</v>
      </c>
      <c r="B2" s="781"/>
      <c r="C2" s="781"/>
      <c r="D2" s="321" t="s">
        <v>409</v>
      </c>
      <c r="E2" s="321" t="s">
        <v>410</v>
      </c>
      <c r="F2" s="321" t="s">
        <v>362</v>
      </c>
      <c r="G2" s="367" t="s">
        <v>433</v>
      </c>
      <c r="H2" s="367" t="s">
        <v>434</v>
      </c>
      <c r="I2" s="6"/>
      <c r="J2" s="321" t="s">
        <v>412</v>
      </c>
      <c r="K2" s="380" t="s">
        <v>363</v>
      </c>
      <c r="L2" s="367" t="s">
        <v>435</v>
      </c>
    </row>
    <row r="3" spans="1:12" s="427" customFormat="1" ht="10.5" customHeight="1" x14ac:dyDescent="0.25">
      <c r="A3" s="1"/>
      <c r="B3" s="376"/>
      <c r="C3" s="376"/>
      <c r="D3" s="168"/>
      <c r="E3" s="332"/>
      <c r="F3" s="376"/>
      <c r="G3" s="376"/>
      <c r="H3" s="376"/>
      <c r="I3" s="376"/>
      <c r="J3" s="168"/>
      <c r="K3" s="376"/>
      <c r="L3" s="376"/>
    </row>
    <row r="4" spans="1:12" s="427" customFormat="1" ht="15" x14ac:dyDescent="0.25">
      <c r="A4" s="352" t="s">
        <v>68</v>
      </c>
      <c r="B4" s="376"/>
      <c r="C4" s="376"/>
      <c r="D4" s="168"/>
      <c r="E4" s="428"/>
      <c r="F4" s="376"/>
      <c r="G4" s="376"/>
      <c r="H4" s="376"/>
      <c r="I4" s="376"/>
      <c r="J4" s="168"/>
      <c r="K4" s="376"/>
      <c r="L4" s="376"/>
    </row>
    <row r="5" spans="1:12" s="430" customFormat="1" ht="15" x14ac:dyDescent="0.25">
      <c r="A5" s="376" t="s">
        <v>8</v>
      </c>
      <c r="B5" s="331"/>
      <c r="C5" s="331"/>
      <c r="D5" s="119">
        <v>333</v>
      </c>
      <c r="E5" s="149">
        <v>458</v>
      </c>
      <c r="F5" s="209">
        <v>339</v>
      </c>
      <c r="G5" s="161">
        <v>-1.7699115044247815</v>
      </c>
      <c r="H5" s="161">
        <v>-27.292576419213976</v>
      </c>
      <c r="I5" s="429"/>
      <c r="J5" s="119">
        <v>791</v>
      </c>
      <c r="K5" s="219">
        <v>622</v>
      </c>
      <c r="L5" s="161">
        <v>27.170418006430875</v>
      </c>
    </row>
    <row r="6" spans="1:12" s="430" customFormat="1" ht="15" x14ac:dyDescent="0.25">
      <c r="A6" s="331"/>
      <c r="B6" s="376" t="s">
        <v>384</v>
      </c>
      <c r="C6" s="331"/>
      <c r="D6" s="116">
        <v>-251</v>
      </c>
      <c r="E6" s="146">
        <v>188</v>
      </c>
      <c r="F6" s="209">
        <v>-10</v>
      </c>
      <c r="G6" s="161" t="s">
        <v>501</v>
      </c>
      <c r="H6" s="161" t="s">
        <v>117</v>
      </c>
      <c r="I6" s="429"/>
      <c r="J6" s="116">
        <v>-63</v>
      </c>
      <c r="K6" s="219">
        <v>63</v>
      </c>
      <c r="L6" s="161" t="s">
        <v>117</v>
      </c>
    </row>
    <row r="7" spans="1:12" s="430" customFormat="1" ht="15" x14ac:dyDescent="0.25">
      <c r="A7" s="331"/>
      <c r="B7" s="376" t="s">
        <v>427</v>
      </c>
      <c r="C7" s="36"/>
      <c r="D7" s="119">
        <v>585</v>
      </c>
      <c r="E7" s="149">
        <v>260</v>
      </c>
      <c r="F7" s="209">
        <v>348</v>
      </c>
      <c r="G7" s="161">
        <v>68.103448275862078</v>
      </c>
      <c r="H7" s="161" t="s">
        <v>500</v>
      </c>
      <c r="I7" s="429"/>
      <c r="J7" s="119">
        <v>845</v>
      </c>
      <c r="K7" s="219">
        <v>560</v>
      </c>
      <c r="L7" s="161">
        <v>50.892857142857139</v>
      </c>
    </row>
    <row r="8" spans="1:12" s="432" customFormat="1" ht="17.25" x14ac:dyDescent="0.25">
      <c r="A8" s="378"/>
      <c r="B8" s="378"/>
      <c r="C8" s="376" t="s">
        <v>428</v>
      </c>
      <c r="D8" s="119">
        <v>575</v>
      </c>
      <c r="E8" s="149">
        <v>267</v>
      </c>
      <c r="F8" s="209">
        <v>372</v>
      </c>
      <c r="G8" s="161">
        <v>54.569892473118273</v>
      </c>
      <c r="H8" s="161" t="s">
        <v>500</v>
      </c>
      <c r="I8" s="431"/>
      <c r="J8" s="119">
        <v>842</v>
      </c>
      <c r="K8" s="219">
        <v>562</v>
      </c>
      <c r="L8" s="161">
        <v>49.822064056939496</v>
      </c>
    </row>
    <row r="9" spans="1:12" x14ac:dyDescent="0.2">
      <c r="A9" s="323"/>
      <c r="B9" s="324"/>
      <c r="C9" s="433" t="s">
        <v>25</v>
      </c>
      <c r="D9" s="109">
        <v>197</v>
      </c>
      <c r="E9" s="143">
        <v>-39</v>
      </c>
      <c r="F9" s="210">
        <v>-19</v>
      </c>
      <c r="G9" s="159" t="s">
        <v>117</v>
      </c>
      <c r="H9" s="160" t="s">
        <v>117</v>
      </c>
      <c r="I9" s="217"/>
      <c r="J9" s="178">
        <v>158</v>
      </c>
      <c r="K9" s="220">
        <v>35</v>
      </c>
      <c r="L9" s="161" t="s">
        <v>500</v>
      </c>
    </row>
    <row r="10" spans="1:12" x14ac:dyDescent="0.2">
      <c r="A10" s="323"/>
      <c r="B10" s="324"/>
      <c r="C10" s="433" t="s">
        <v>26</v>
      </c>
      <c r="D10" s="111">
        <v>267</v>
      </c>
      <c r="E10" s="144">
        <v>60</v>
      </c>
      <c r="F10" s="211">
        <v>61</v>
      </c>
      <c r="G10" s="212" t="s">
        <v>500</v>
      </c>
      <c r="H10" s="213" t="s">
        <v>500</v>
      </c>
      <c r="I10" s="217"/>
      <c r="J10" s="118">
        <v>327</v>
      </c>
      <c r="K10" s="220">
        <v>103</v>
      </c>
      <c r="L10" s="161" t="s">
        <v>500</v>
      </c>
    </row>
    <row r="11" spans="1:12" x14ac:dyDescent="0.2">
      <c r="A11" s="323"/>
      <c r="B11" s="324"/>
      <c r="C11" s="433" t="s">
        <v>27</v>
      </c>
      <c r="D11" s="111">
        <v>59</v>
      </c>
      <c r="E11" s="144">
        <v>46</v>
      </c>
      <c r="F11" s="211">
        <v>162</v>
      </c>
      <c r="G11" s="212">
        <v>-63.58024691358024</v>
      </c>
      <c r="H11" s="213">
        <v>28.260869565217384</v>
      </c>
      <c r="I11" s="217"/>
      <c r="J11" s="118">
        <v>105</v>
      </c>
      <c r="K11" s="220">
        <v>214</v>
      </c>
      <c r="L11" s="161">
        <v>-50.934579439252339</v>
      </c>
    </row>
    <row r="12" spans="1:12" x14ac:dyDescent="0.2">
      <c r="A12" s="323"/>
      <c r="B12" s="324"/>
      <c r="C12" s="433" t="s">
        <v>28</v>
      </c>
      <c r="D12" s="111">
        <v>57</v>
      </c>
      <c r="E12" s="144">
        <v>62</v>
      </c>
      <c r="F12" s="211">
        <v>86</v>
      </c>
      <c r="G12" s="212">
        <v>-33.720930232558146</v>
      </c>
      <c r="H12" s="213">
        <v>-8.0645161290322616</v>
      </c>
      <c r="I12" s="217"/>
      <c r="J12" s="178">
        <v>119</v>
      </c>
      <c r="K12" s="220">
        <v>136</v>
      </c>
      <c r="L12" s="161">
        <v>-12.5</v>
      </c>
    </row>
    <row r="13" spans="1:12" x14ac:dyDescent="0.2">
      <c r="A13" s="323"/>
      <c r="B13" s="324"/>
      <c r="C13" s="433" t="s">
        <v>104</v>
      </c>
      <c r="D13" s="113">
        <v>-5</v>
      </c>
      <c r="E13" s="145">
        <v>138</v>
      </c>
      <c r="F13" s="214">
        <v>82</v>
      </c>
      <c r="G13" s="215" t="s">
        <v>117</v>
      </c>
      <c r="H13" s="216" t="s">
        <v>117</v>
      </c>
      <c r="I13" s="217"/>
      <c r="J13" s="118">
        <v>133</v>
      </c>
      <c r="K13" s="220">
        <v>74</v>
      </c>
      <c r="L13" s="161">
        <v>79.72972972972974</v>
      </c>
    </row>
    <row r="14" spans="1:12" s="432" customFormat="1" ht="15" x14ac:dyDescent="0.25">
      <c r="A14" s="378"/>
      <c r="B14" s="378"/>
      <c r="C14" s="376" t="s">
        <v>429</v>
      </c>
      <c r="D14" s="116">
        <v>10</v>
      </c>
      <c r="E14" s="146">
        <v>-7</v>
      </c>
      <c r="F14" s="209">
        <v>-24</v>
      </c>
      <c r="G14" s="161" t="s">
        <v>117</v>
      </c>
      <c r="H14" s="161" t="s">
        <v>117</v>
      </c>
      <c r="I14" s="431"/>
      <c r="J14" s="116">
        <v>3</v>
      </c>
      <c r="K14" s="221">
        <v>-2</v>
      </c>
      <c r="L14" s="161" t="s">
        <v>117</v>
      </c>
    </row>
    <row r="15" spans="1:12" s="376" customFormat="1" ht="14.25" customHeight="1" x14ac:dyDescent="0.25">
      <c r="A15" s="331"/>
      <c r="B15" s="435" t="s">
        <v>105</v>
      </c>
      <c r="C15" s="435"/>
      <c r="D15" s="116">
        <v>-1</v>
      </c>
      <c r="E15" s="146">
        <v>10</v>
      </c>
      <c r="F15" s="209">
        <v>1</v>
      </c>
      <c r="G15" s="161" t="s">
        <v>117</v>
      </c>
      <c r="H15" s="161" t="s">
        <v>117</v>
      </c>
      <c r="I15" s="263"/>
      <c r="J15" s="116">
        <v>9</v>
      </c>
      <c r="K15" s="221">
        <v>-1</v>
      </c>
      <c r="L15" s="161" t="s">
        <v>117</v>
      </c>
    </row>
    <row r="16" spans="1:12" x14ac:dyDescent="0.2">
      <c r="A16" s="323"/>
      <c r="B16" s="323"/>
      <c r="C16" s="323"/>
      <c r="D16" s="133"/>
      <c r="E16" s="338"/>
      <c r="F16" s="436"/>
      <c r="G16" s="217"/>
      <c r="H16" s="217"/>
      <c r="I16" s="217"/>
      <c r="J16" s="178"/>
      <c r="K16" s="222"/>
      <c r="L16" s="223"/>
    </row>
    <row r="17" spans="1:12" ht="15" x14ac:dyDescent="0.25">
      <c r="A17" s="328" t="s">
        <v>430</v>
      </c>
      <c r="B17" s="376"/>
      <c r="C17" s="376"/>
      <c r="D17" s="133"/>
      <c r="E17" s="338"/>
      <c r="F17" s="436"/>
      <c r="G17" s="218"/>
      <c r="H17" s="217"/>
      <c r="I17" s="217"/>
      <c r="J17" s="206"/>
      <c r="K17" s="222"/>
      <c r="L17" s="223"/>
    </row>
    <row r="18" spans="1:12" ht="15" x14ac:dyDescent="0.25">
      <c r="A18" s="376" t="s">
        <v>106</v>
      </c>
      <c r="B18" s="376"/>
      <c r="C18" s="376"/>
      <c r="D18" s="133"/>
      <c r="E18" s="338"/>
      <c r="F18" s="436"/>
      <c r="G18" s="217"/>
      <c r="H18" s="217"/>
      <c r="I18" s="217"/>
      <c r="J18" s="206"/>
      <c r="K18" s="222"/>
      <c r="L18" s="223"/>
    </row>
    <row r="19" spans="1:12" ht="15" x14ac:dyDescent="0.25">
      <c r="A19" s="323"/>
      <c r="B19" s="331" t="s">
        <v>107</v>
      </c>
      <c r="C19" s="437"/>
      <c r="D19" s="133"/>
      <c r="E19" s="338"/>
      <c r="F19" s="436"/>
      <c r="G19" s="217"/>
      <c r="H19" s="217"/>
      <c r="I19" s="217"/>
      <c r="J19" s="206"/>
      <c r="K19" s="222"/>
      <c r="L19" s="223"/>
    </row>
    <row r="20" spans="1:12" x14ac:dyDescent="0.2">
      <c r="A20" s="323"/>
      <c r="B20" s="323"/>
      <c r="C20" s="437" t="s">
        <v>108</v>
      </c>
      <c r="D20" s="133">
        <v>344</v>
      </c>
      <c r="E20" s="333">
        <v>93</v>
      </c>
      <c r="F20" s="282">
        <v>178</v>
      </c>
      <c r="G20" s="161">
        <v>93.258426966292134</v>
      </c>
      <c r="H20" s="161" t="s">
        <v>500</v>
      </c>
      <c r="I20" s="217"/>
      <c r="J20" s="206">
        <v>428</v>
      </c>
      <c r="K20" s="224">
        <v>278</v>
      </c>
      <c r="L20" s="161">
        <v>53.956834532374096</v>
      </c>
    </row>
    <row r="21" spans="1:12" x14ac:dyDescent="0.2">
      <c r="A21" s="323"/>
      <c r="B21" s="323"/>
      <c r="C21" s="323" t="s">
        <v>109</v>
      </c>
      <c r="D21" s="133">
        <v>128</v>
      </c>
      <c r="E21" s="333">
        <v>169</v>
      </c>
      <c r="F21" s="282">
        <v>112</v>
      </c>
      <c r="G21" s="161">
        <v>14.285714285714279</v>
      </c>
      <c r="H21" s="161">
        <v>-24.260355029585799</v>
      </c>
      <c r="I21" s="217"/>
      <c r="J21" s="206">
        <v>275</v>
      </c>
      <c r="K21" s="224">
        <v>99</v>
      </c>
      <c r="L21" s="161" t="s">
        <v>500</v>
      </c>
    </row>
    <row r="22" spans="1:12" ht="15" x14ac:dyDescent="0.25">
      <c r="A22" s="323"/>
      <c r="B22" s="331" t="s">
        <v>110</v>
      </c>
      <c r="C22" s="323"/>
      <c r="D22" s="133"/>
      <c r="E22" s="333"/>
      <c r="F22" s="436"/>
      <c r="G22" s="161"/>
      <c r="H22" s="161"/>
      <c r="I22" s="217"/>
      <c r="J22" s="206"/>
      <c r="K22" s="224"/>
      <c r="L22" s="161"/>
    </row>
    <row r="23" spans="1:12" x14ac:dyDescent="0.2">
      <c r="A23" s="323"/>
      <c r="B23" s="323"/>
      <c r="C23" s="323" t="s">
        <v>111</v>
      </c>
      <c r="D23" s="133">
        <v>1</v>
      </c>
      <c r="E23" s="333">
        <v>120</v>
      </c>
      <c r="F23" s="282">
        <v>2</v>
      </c>
      <c r="G23" s="189">
        <v>-50</v>
      </c>
      <c r="H23" s="161">
        <v>-99.166666666666671</v>
      </c>
      <c r="I23" s="217"/>
      <c r="J23" s="206">
        <v>119</v>
      </c>
      <c r="K23" s="224">
        <v>17</v>
      </c>
      <c r="L23" s="161" t="s">
        <v>500</v>
      </c>
    </row>
    <row r="24" spans="1:12" x14ac:dyDescent="0.2">
      <c r="A24" s="323"/>
      <c r="B24" s="323"/>
      <c r="C24" s="323" t="s">
        <v>112</v>
      </c>
      <c r="D24" s="133">
        <v>105</v>
      </c>
      <c r="E24" s="333">
        <v>50</v>
      </c>
      <c r="F24" s="282">
        <v>88</v>
      </c>
      <c r="G24" s="189">
        <v>19.318181818181813</v>
      </c>
      <c r="H24" s="161" t="s">
        <v>500</v>
      </c>
      <c r="I24" s="217"/>
      <c r="J24" s="206">
        <v>125</v>
      </c>
      <c r="K24" s="224">
        <v>151</v>
      </c>
      <c r="L24" s="161">
        <v>-17.218543046357617</v>
      </c>
    </row>
    <row r="25" spans="1:12" x14ac:dyDescent="0.2">
      <c r="A25" s="323"/>
      <c r="B25" s="323"/>
      <c r="C25" s="323" t="s">
        <v>113</v>
      </c>
      <c r="D25" s="133">
        <v>13</v>
      </c>
      <c r="E25" s="333">
        <v>34</v>
      </c>
      <c r="F25" s="282">
        <v>50</v>
      </c>
      <c r="G25" s="161">
        <v>-74</v>
      </c>
      <c r="H25" s="161">
        <v>-61.764705882352942</v>
      </c>
      <c r="I25" s="217"/>
      <c r="J25" s="206">
        <v>48</v>
      </c>
      <c r="K25" s="224">
        <v>67</v>
      </c>
      <c r="L25" s="161">
        <v>-28.358208955223883</v>
      </c>
    </row>
    <row r="26" spans="1:12" x14ac:dyDescent="0.2">
      <c r="A26" s="323"/>
      <c r="B26" s="323"/>
      <c r="C26" s="323"/>
      <c r="D26" s="133"/>
      <c r="E26" s="333"/>
      <c r="F26" s="436"/>
      <c r="G26" s="161"/>
      <c r="H26" s="161"/>
      <c r="I26" s="217"/>
      <c r="J26" s="206"/>
      <c r="K26" s="224"/>
      <c r="L26" s="161"/>
    </row>
    <row r="27" spans="1:12" ht="15" x14ac:dyDescent="0.25">
      <c r="A27" s="376" t="s">
        <v>114</v>
      </c>
      <c r="B27" s="323"/>
      <c r="C27" s="323"/>
      <c r="D27" s="133">
        <v>222</v>
      </c>
      <c r="E27" s="333">
        <v>209</v>
      </c>
      <c r="F27" s="282">
        <v>222</v>
      </c>
      <c r="G27" s="161">
        <v>0</v>
      </c>
      <c r="H27" s="161">
        <v>6.2200956937799035</v>
      </c>
      <c r="I27" s="217"/>
      <c r="J27" s="206">
        <v>431</v>
      </c>
      <c r="K27" s="224">
        <v>420</v>
      </c>
      <c r="L27" s="161">
        <v>2.6190476190476097</v>
      </c>
    </row>
    <row r="28" spans="1:12" ht="15" x14ac:dyDescent="0.25">
      <c r="A28" s="376" t="s">
        <v>115</v>
      </c>
      <c r="B28" s="323"/>
      <c r="C28" s="323"/>
      <c r="D28" s="133">
        <v>10</v>
      </c>
      <c r="E28" s="333">
        <v>-7</v>
      </c>
      <c r="F28" s="333">
        <v>-24</v>
      </c>
      <c r="G28" s="161" t="s">
        <v>117</v>
      </c>
      <c r="H28" s="161" t="s">
        <v>117</v>
      </c>
      <c r="I28" s="217"/>
      <c r="J28" s="206">
        <v>3</v>
      </c>
      <c r="K28" s="224">
        <v>-2</v>
      </c>
      <c r="L28" s="161" t="s">
        <v>117</v>
      </c>
    </row>
    <row r="29" spans="1:12" s="430" customFormat="1" ht="15" x14ac:dyDescent="0.25">
      <c r="A29" s="331"/>
      <c r="B29" s="376" t="s">
        <v>427</v>
      </c>
      <c r="C29" s="331"/>
      <c r="D29" s="107">
        <v>585</v>
      </c>
      <c r="E29" s="403">
        <v>260</v>
      </c>
      <c r="F29" s="319">
        <v>348</v>
      </c>
      <c r="G29" s="161">
        <v>68.103448275862078</v>
      </c>
      <c r="H29" s="161" t="s">
        <v>500</v>
      </c>
      <c r="I29" s="429"/>
      <c r="J29" s="208">
        <v>845</v>
      </c>
      <c r="K29" s="219">
        <v>560</v>
      </c>
      <c r="L29" s="161">
        <v>50.892857142857139</v>
      </c>
    </row>
    <row r="30" spans="1:12" x14ac:dyDescent="0.2">
      <c r="A30" s="323"/>
      <c r="B30" s="323"/>
      <c r="C30" s="357"/>
      <c r="D30" s="438"/>
      <c r="E30" s="439"/>
      <c r="F30" s="357"/>
      <c r="G30" s="440"/>
      <c r="H30" s="440"/>
      <c r="I30" s="217"/>
      <c r="J30" s="441"/>
      <c r="K30" s="217"/>
      <c r="L30" s="217"/>
    </row>
    <row r="31" spans="1:12" x14ac:dyDescent="0.2">
      <c r="A31" s="323"/>
      <c r="B31" s="323"/>
      <c r="C31" s="357"/>
      <c r="D31" s="8"/>
      <c r="E31" s="329"/>
      <c r="F31" s="323"/>
      <c r="G31" s="440"/>
      <c r="H31" s="440"/>
      <c r="I31" s="217"/>
      <c r="J31" s="441"/>
      <c r="K31" s="217"/>
      <c r="L31" s="217"/>
    </row>
    <row r="32" spans="1:12" s="351" customFormat="1" x14ac:dyDescent="0.2">
      <c r="B32" s="442" t="s">
        <v>89</v>
      </c>
      <c r="C32" s="442" t="s">
        <v>116</v>
      </c>
      <c r="D32" s="330"/>
      <c r="E32" s="330"/>
      <c r="J32" s="330"/>
    </row>
    <row r="33" spans="1:10" s="351" customFormat="1" x14ac:dyDescent="0.2">
      <c r="B33" s="70" t="s">
        <v>117</v>
      </c>
      <c r="C33" s="442" t="s">
        <v>118</v>
      </c>
      <c r="D33" s="330"/>
      <c r="E33" s="330"/>
      <c r="J33" s="330"/>
    </row>
    <row r="34" spans="1:10" x14ac:dyDescent="0.2">
      <c r="A34" s="323"/>
      <c r="B34" s="323"/>
      <c r="C34" s="357"/>
      <c r="D34" s="8"/>
      <c r="E34" s="8"/>
      <c r="F34" s="323"/>
      <c r="G34" s="323"/>
      <c r="H34" s="323"/>
      <c r="I34" s="323"/>
      <c r="J34" s="8"/>
    </row>
    <row r="35" spans="1:10" x14ac:dyDescent="0.2">
      <c r="A35" s="323"/>
      <c r="B35" s="323"/>
      <c r="C35" s="357"/>
      <c r="D35" s="8"/>
      <c r="E35" s="8"/>
      <c r="F35" s="323"/>
      <c r="G35" s="323"/>
      <c r="H35" s="323"/>
      <c r="I35" s="323"/>
      <c r="J35" s="8"/>
    </row>
    <row r="36" spans="1:10" x14ac:dyDescent="0.2">
      <c r="A36" s="323"/>
      <c r="B36" s="323"/>
      <c r="C36" s="357"/>
      <c r="D36" s="8"/>
      <c r="E36" s="8"/>
      <c r="F36" s="323"/>
      <c r="G36" s="323"/>
      <c r="H36" s="323"/>
      <c r="I36" s="323"/>
      <c r="J36" s="8"/>
    </row>
    <row r="37" spans="1:10" x14ac:dyDescent="0.2">
      <c r="A37" s="323"/>
      <c r="B37" s="323"/>
      <c r="C37" s="357"/>
      <c r="D37" s="8"/>
      <c r="E37" s="8"/>
      <c r="F37" s="323"/>
      <c r="G37" s="323"/>
      <c r="H37" s="323"/>
      <c r="I37" s="323"/>
      <c r="J37" s="8"/>
    </row>
    <row r="38" spans="1:10" x14ac:dyDescent="0.2">
      <c r="A38" s="323"/>
      <c r="B38" s="323"/>
      <c r="C38" s="357"/>
      <c r="D38" s="8"/>
      <c r="E38" s="8"/>
      <c r="F38" s="323"/>
      <c r="G38" s="323"/>
      <c r="H38" s="323"/>
      <c r="I38" s="323"/>
      <c r="J38" s="8"/>
    </row>
    <row r="39" spans="1:10" x14ac:dyDescent="0.2">
      <c r="A39" s="323"/>
      <c r="B39" s="323"/>
      <c r="C39" s="357"/>
      <c r="D39" s="8"/>
      <c r="E39" s="8"/>
      <c r="F39" s="323"/>
      <c r="G39" s="323"/>
      <c r="H39" s="323"/>
      <c r="I39" s="323"/>
      <c r="J39" s="8"/>
    </row>
    <row r="40" spans="1:10" x14ac:dyDescent="0.2">
      <c r="A40" s="323"/>
      <c r="B40" s="323"/>
      <c r="C40" s="357"/>
      <c r="D40" s="8"/>
      <c r="E40" s="8"/>
      <c r="F40" s="323"/>
      <c r="G40" s="323"/>
      <c r="H40" s="323"/>
      <c r="I40" s="323"/>
      <c r="J40" s="8"/>
    </row>
    <row r="41" spans="1:10" x14ac:dyDescent="0.2">
      <c r="A41" s="323"/>
      <c r="B41" s="323"/>
      <c r="C41" s="357"/>
      <c r="D41" s="8"/>
      <c r="E41" s="8"/>
      <c r="F41" s="323"/>
      <c r="G41" s="323"/>
      <c r="H41" s="323"/>
      <c r="I41" s="323"/>
      <c r="J41" s="8"/>
    </row>
    <row r="42" spans="1:10" x14ac:dyDescent="0.2">
      <c r="A42" s="323"/>
      <c r="B42" s="323"/>
      <c r="C42" s="357"/>
      <c r="D42" s="8"/>
      <c r="E42" s="8"/>
      <c r="F42" s="323"/>
      <c r="G42" s="323"/>
      <c r="H42" s="323"/>
      <c r="I42" s="323"/>
      <c r="J42" s="8"/>
    </row>
    <row r="43" spans="1:10" x14ac:dyDescent="0.2">
      <c r="A43" s="323"/>
      <c r="B43" s="323"/>
      <c r="C43" s="357"/>
      <c r="D43" s="8"/>
      <c r="E43" s="8"/>
      <c r="F43" s="323"/>
      <c r="G43" s="323"/>
      <c r="H43" s="323"/>
      <c r="I43" s="323"/>
      <c r="J43" s="8"/>
    </row>
    <row r="44" spans="1:10" x14ac:dyDescent="0.2">
      <c r="A44" s="323"/>
      <c r="B44" s="323"/>
      <c r="C44" s="357"/>
      <c r="D44" s="8"/>
      <c r="E44" s="8"/>
      <c r="F44" s="323"/>
      <c r="G44" s="323"/>
      <c r="H44" s="323"/>
      <c r="I44" s="323"/>
      <c r="J44" s="8"/>
    </row>
    <row r="45" spans="1:10" x14ac:dyDescent="0.2">
      <c r="A45" s="323"/>
      <c r="B45" s="323"/>
      <c r="C45" s="357"/>
      <c r="D45" s="8"/>
      <c r="E45" s="8"/>
      <c r="F45" s="323"/>
      <c r="G45" s="323"/>
      <c r="H45" s="323"/>
      <c r="I45" s="323"/>
      <c r="J45" s="8"/>
    </row>
    <row r="46" spans="1:10" x14ac:dyDescent="0.2">
      <c r="A46" s="323"/>
      <c r="B46" s="323"/>
      <c r="C46" s="357"/>
      <c r="D46" s="8"/>
      <c r="E46" s="8"/>
      <c r="F46" s="323"/>
      <c r="G46" s="323"/>
      <c r="H46" s="323"/>
      <c r="I46" s="323"/>
      <c r="J46" s="8"/>
    </row>
    <row r="47" spans="1:10" x14ac:dyDescent="0.2">
      <c r="A47" s="323"/>
      <c r="B47" s="323"/>
      <c r="C47" s="357"/>
      <c r="D47" s="8"/>
      <c r="E47" s="8"/>
      <c r="F47" s="323"/>
      <c r="G47" s="323"/>
      <c r="H47" s="323"/>
      <c r="I47" s="323"/>
      <c r="J47" s="8"/>
    </row>
    <row r="48" spans="1:10" x14ac:dyDescent="0.2">
      <c r="F48" s="323"/>
    </row>
    <row r="49" spans="6:6" x14ac:dyDescent="0.2">
      <c r="F49" s="323"/>
    </row>
    <row r="50" spans="6:6" x14ac:dyDescent="0.2">
      <c r="F50" s="323"/>
    </row>
    <row r="51" spans="6:6" x14ac:dyDescent="0.2">
      <c r="F51" s="323"/>
    </row>
    <row r="52" spans="6:6" x14ac:dyDescent="0.2">
      <c r="F52" s="323"/>
    </row>
    <row r="53" spans="6:6" x14ac:dyDescent="0.2">
      <c r="F53" s="323"/>
    </row>
    <row r="54" spans="6:6" x14ac:dyDescent="0.2">
      <c r="F54" s="323"/>
    </row>
    <row r="55" spans="6:6" x14ac:dyDescent="0.2">
      <c r="F55" s="323"/>
    </row>
    <row r="56" spans="6:6" x14ac:dyDescent="0.2">
      <c r="F56" s="323"/>
    </row>
    <row r="57" spans="6:6" x14ac:dyDescent="0.2">
      <c r="F57" s="323"/>
    </row>
    <row r="58" spans="6:6" x14ac:dyDescent="0.2">
      <c r="F58" s="323"/>
    </row>
    <row r="59" spans="6:6" x14ac:dyDescent="0.2">
      <c r="F59" s="323"/>
    </row>
    <row r="60" spans="6:6" x14ac:dyDescent="0.2">
      <c r="F60" s="323"/>
    </row>
    <row r="61" spans="6:6" x14ac:dyDescent="0.2">
      <c r="F61" s="323"/>
    </row>
    <row r="62" spans="6:6" x14ac:dyDescent="0.2">
      <c r="F62" s="323"/>
    </row>
    <row r="63" spans="6:6" x14ac:dyDescent="0.2">
      <c r="F63" s="323"/>
    </row>
    <row r="64" spans="6:6" x14ac:dyDescent="0.2">
      <c r="F64" s="323"/>
    </row>
    <row r="65" spans="6:6" x14ac:dyDescent="0.2">
      <c r="F65" s="323"/>
    </row>
    <row r="66" spans="6:6" x14ac:dyDescent="0.2">
      <c r="F66" s="323"/>
    </row>
    <row r="67" spans="6:6" x14ac:dyDescent="0.2">
      <c r="F67" s="323"/>
    </row>
    <row r="68" spans="6:6" x14ac:dyDescent="0.2">
      <c r="F68" s="323"/>
    </row>
    <row r="69" spans="6:6" x14ac:dyDescent="0.2">
      <c r="F69" s="323"/>
    </row>
    <row r="70" spans="6:6" x14ac:dyDescent="0.2">
      <c r="F70" s="323"/>
    </row>
    <row r="71" spans="6:6" x14ac:dyDescent="0.2">
      <c r="F71" s="323"/>
    </row>
    <row r="72" spans="6:6" x14ac:dyDescent="0.2">
      <c r="F72" s="323"/>
    </row>
    <row r="73" spans="6:6" x14ac:dyDescent="0.2">
      <c r="F73" s="323"/>
    </row>
    <row r="74" spans="6:6" x14ac:dyDescent="0.2">
      <c r="F74" s="323"/>
    </row>
    <row r="75" spans="6:6" x14ac:dyDescent="0.2">
      <c r="F75" s="323"/>
    </row>
    <row r="76" spans="6:6" x14ac:dyDescent="0.2">
      <c r="F76" s="323"/>
    </row>
    <row r="77" spans="6:6" x14ac:dyDescent="0.2">
      <c r="F77" s="323"/>
    </row>
    <row r="78" spans="6:6" x14ac:dyDescent="0.2">
      <c r="F78" s="323"/>
    </row>
    <row r="79" spans="6:6" x14ac:dyDescent="0.2">
      <c r="F79" s="323"/>
    </row>
    <row r="80" spans="6:6" x14ac:dyDescent="0.2">
      <c r="F80" s="323"/>
    </row>
    <row r="81" spans="6:6" x14ac:dyDescent="0.2">
      <c r="F81" s="323"/>
    </row>
    <row r="82" spans="6:6" x14ac:dyDescent="0.2">
      <c r="F82" s="323"/>
    </row>
    <row r="83" spans="6:6" x14ac:dyDescent="0.2">
      <c r="F83" s="323"/>
    </row>
    <row r="84" spans="6:6" x14ac:dyDescent="0.2">
      <c r="F84" s="323"/>
    </row>
    <row r="85" spans="6:6" x14ac:dyDescent="0.2">
      <c r="F85" s="323"/>
    </row>
    <row r="86" spans="6:6" x14ac:dyDescent="0.2">
      <c r="F86" s="323"/>
    </row>
    <row r="87" spans="6:6" x14ac:dyDescent="0.2">
      <c r="F87" s="323"/>
    </row>
    <row r="88" spans="6:6" x14ac:dyDescent="0.2">
      <c r="F88" s="323"/>
    </row>
    <row r="89" spans="6:6" x14ac:dyDescent="0.2">
      <c r="F89" s="323"/>
    </row>
    <row r="90" spans="6:6" x14ac:dyDescent="0.2">
      <c r="F90" s="323"/>
    </row>
    <row r="91" spans="6:6" x14ac:dyDescent="0.2">
      <c r="F91" s="323"/>
    </row>
    <row r="92" spans="6:6" x14ac:dyDescent="0.2">
      <c r="F92" s="323"/>
    </row>
    <row r="93" spans="6:6" x14ac:dyDescent="0.2">
      <c r="F93" s="323"/>
    </row>
    <row r="94" spans="6:6" x14ac:dyDescent="0.2">
      <c r="F94" s="323"/>
    </row>
    <row r="95" spans="6:6" x14ac:dyDescent="0.2">
      <c r="F95" s="323"/>
    </row>
    <row r="96" spans="6:6" x14ac:dyDescent="0.2">
      <c r="F96" s="323"/>
    </row>
    <row r="97" spans="6:6" x14ac:dyDescent="0.2">
      <c r="F97" s="323"/>
    </row>
    <row r="98" spans="6:6" x14ac:dyDescent="0.2">
      <c r="F98" s="323"/>
    </row>
    <row r="99" spans="6:6" x14ac:dyDescent="0.2">
      <c r="F99" s="323"/>
    </row>
    <row r="100" spans="6:6" x14ac:dyDescent="0.2">
      <c r="F100" s="323"/>
    </row>
    <row r="101" spans="6:6" x14ac:dyDescent="0.2">
      <c r="F101" s="323"/>
    </row>
    <row r="102" spans="6:6" x14ac:dyDescent="0.2">
      <c r="F102" s="323"/>
    </row>
    <row r="103" spans="6:6" x14ac:dyDescent="0.2">
      <c r="F103" s="323"/>
    </row>
    <row r="104" spans="6:6" x14ac:dyDescent="0.2">
      <c r="F104" s="323"/>
    </row>
    <row r="105" spans="6:6" x14ac:dyDescent="0.2">
      <c r="F105" s="323"/>
    </row>
    <row r="106" spans="6:6" x14ac:dyDescent="0.2">
      <c r="F106" s="323"/>
    </row>
    <row r="107" spans="6:6" x14ac:dyDescent="0.2">
      <c r="F107" s="323"/>
    </row>
    <row r="108" spans="6:6" x14ac:dyDescent="0.2">
      <c r="F108" s="323"/>
    </row>
    <row r="109" spans="6:6" x14ac:dyDescent="0.2">
      <c r="F109" s="323"/>
    </row>
    <row r="110" spans="6:6" x14ac:dyDescent="0.2">
      <c r="F110" s="323"/>
    </row>
    <row r="111" spans="6:6" x14ac:dyDescent="0.2">
      <c r="F111" s="323"/>
    </row>
    <row r="112" spans="6:6" x14ac:dyDescent="0.2">
      <c r="F112" s="323"/>
    </row>
    <row r="113" spans="6:6" x14ac:dyDescent="0.2">
      <c r="F113" s="323"/>
    </row>
    <row r="114" spans="6:6" x14ac:dyDescent="0.2">
      <c r="F114" s="323"/>
    </row>
    <row r="115" spans="6:6" x14ac:dyDescent="0.2">
      <c r="F115" s="323"/>
    </row>
    <row r="116" spans="6:6" x14ac:dyDescent="0.2">
      <c r="F116" s="323"/>
    </row>
    <row r="117" spans="6:6" x14ac:dyDescent="0.2">
      <c r="F117" s="323"/>
    </row>
    <row r="118" spans="6:6" x14ac:dyDescent="0.2">
      <c r="F118" s="323"/>
    </row>
    <row r="119" spans="6:6" x14ac:dyDescent="0.2">
      <c r="F119" s="323"/>
    </row>
    <row r="120" spans="6:6" x14ac:dyDescent="0.2">
      <c r="F120" s="323"/>
    </row>
    <row r="121" spans="6:6" x14ac:dyDescent="0.2">
      <c r="F121" s="323"/>
    </row>
    <row r="122" spans="6:6" x14ac:dyDescent="0.2">
      <c r="F122" s="323"/>
    </row>
    <row r="123" spans="6:6" x14ac:dyDescent="0.2">
      <c r="F123" s="323"/>
    </row>
    <row r="124" spans="6:6" x14ac:dyDescent="0.2">
      <c r="F124" s="323"/>
    </row>
    <row r="125" spans="6:6" x14ac:dyDescent="0.2">
      <c r="F125" s="323"/>
    </row>
    <row r="126" spans="6:6" x14ac:dyDescent="0.2">
      <c r="F126" s="323"/>
    </row>
    <row r="127" spans="6:6" x14ac:dyDescent="0.2">
      <c r="F127" s="323"/>
    </row>
    <row r="128" spans="6:6" x14ac:dyDescent="0.2">
      <c r="F128" s="323"/>
    </row>
    <row r="129" spans="6:6" x14ac:dyDescent="0.2">
      <c r="F129" s="323"/>
    </row>
    <row r="130" spans="6:6" x14ac:dyDescent="0.2">
      <c r="F130" s="323"/>
    </row>
    <row r="131" spans="6:6" x14ac:dyDescent="0.2">
      <c r="F131" s="323"/>
    </row>
    <row r="132" spans="6:6" x14ac:dyDescent="0.2">
      <c r="F132" s="323"/>
    </row>
    <row r="133" spans="6:6" x14ac:dyDescent="0.2">
      <c r="F133" s="323"/>
    </row>
    <row r="134" spans="6:6" x14ac:dyDescent="0.2">
      <c r="F134" s="323"/>
    </row>
    <row r="135" spans="6:6" x14ac:dyDescent="0.2">
      <c r="F135" s="323"/>
    </row>
    <row r="136" spans="6:6" x14ac:dyDescent="0.2">
      <c r="F136" s="323"/>
    </row>
    <row r="137" spans="6:6" x14ac:dyDescent="0.2">
      <c r="F137" s="323"/>
    </row>
    <row r="138" spans="6:6" x14ac:dyDescent="0.2">
      <c r="F138" s="323"/>
    </row>
    <row r="139" spans="6:6" x14ac:dyDescent="0.2">
      <c r="F139" s="323"/>
    </row>
    <row r="140" spans="6:6" x14ac:dyDescent="0.2">
      <c r="F140" s="323"/>
    </row>
    <row r="141" spans="6:6" x14ac:dyDescent="0.2">
      <c r="F141" s="323"/>
    </row>
    <row r="142" spans="6:6" x14ac:dyDescent="0.2">
      <c r="F142" s="323"/>
    </row>
    <row r="143" spans="6:6" x14ac:dyDescent="0.2">
      <c r="F143" s="323"/>
    </row>
    <row r="144" spans="6:6" x14ac:dyDescent="0.2">
      <c r="F144" s="323"/>
    </row>
    <row r="145" spans="6:6" x14ac:dyDescent="0.2">
      <c r="F145" s="323"/>
    </row>
    <row r="146" spans="6:6" x14ac:dyDescent="0.2">
      <c r="F146" s="323"/>
    </row>
    <row r="147" spans="6:6" x14ac:dyDescent="0.2">
      <c r="F147" s="323"/>
    </row>
    <row r="148" spans="6:6" x14ac:dyDescent="0.2">
      <c r="F148" s="323"/>
    </row>
    <row r="149" spans="6:6" x14ac:dyDescent="0.2">
      <c r="F149" s="323"/>
    </row>
    <row r="150" spans="6:6" x14ac:dyDescent="0.2">
      <c r="F150" s="323"/>
    </row>
    <row r="151" spans="6:6" x14ac:dyDescent="0.2">
      <c r="F151" s="323"/>
    </row>
    <row r="152" spans="6:6" x14ac:dyDescent="0.2">
      <c r="F152" s="323"/>
    </row>
    <row r="153" spans="6:6" x14ac:dyDescent="0.2">
      <c r="F153" s="323"/>
    </row>
    <row r="154" spans="6:6" x14ac:dyDescent="0.2">
      <c r="F154" s="323"/>
    </row>
  </sheetData>
  <mergeCells count="1">
    <mergeCell ref="A2:C2"/>
  </mergeCells>
  <phoneticPr fontId="2" type="noConversion"/>
  <hyperlinks>
    <hyperlink ref="A2" location="Index!A1" display="Back to Index" xr:uid="{B4106D30-25D6-4AC1-B6D2-668DE0812D37}"/>
  </hyperlinks>
  <printOptions gridLines="1"/>
  <pageMargins left="0.74803149606299213" right="0.51181102362204722" top="0.98425196850393704" bottom="0.98425196850393704" header="0.51181102362204722" footer="0.51181102362204722"/>
  <pageSetup paperSize="9" scale="85" orientation="landscape" blackAndWhite="1" r:id="rId1"/>
  <headerFooter alignWithMargins="0">
    <oddFooter>&amp;L&amp;D\&amp;T&amp;R&amp;F\&amp;A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8F31-4458-4A60-918C-1D43E0414F7D}">
  <sheetPr>
    <tabColor indexed="47"/>
  </sheetPr>
  <dimension ref="A1:K148"/>
  <sheetViews>
    <sheetView showGridLines="0" zoomScale="85" zoomScaleNormal="85" workbookViewId="0">
      <pane xSplit="3" ySplit="3" topLeftCell="D4" activePane="bottomRight" state="frozen"/>
      <selection pane="topRight" activeCell="L13" sqref="L13"/>
      <selection pane="bottomLeft" activeCell="L13" sqref="L13"/>
      <selection pane="bottomRight" sqref="A1:IV65536"/>
    </sheetView>
  </sheetViews>
  <sheetFormatPr defaultColWidth="9.42578125" defaultRowHeight="14.25" x14ac:dyDescent="0.2"/>
  <cols>
    <col min="1" max="1" width="3" style="412" customWidth="1"/>
    <col min="2" max="2" width="55.5703125" style="458" customWidth="1"/>
    <col min="3" max="3" width="1.42578125" style="424" customWidth="1"/>
    <col min="4" max="8" width="11.42578125" style="459" customWidth="1"/>
    <col min="9" max="16384" width="9.42578125" style="412"/>
  </cols>
  <sheetData>
    <row r="1" spans="1:11" s="4" customFormat="1" ht="20.25" x14ac:dyDescent="0.3">
      <c r="A1" s="3" t="s">
        <v>9</v>
      </c>
      <c r="B1" s="445"/>
      <c r="D1" s="320"/>
      <c r="E1" s="320"/>
      <c r="F1" s="320"/>
      <c r="G1" s="366"/>
      <c r="H1" s="366"/>
    </row>
    <row r="2" spans="1:11" s="6" customFormat="1" ht="60.75" customHeight="1" x14ac:dyDescent="0.25">
      <c r="A2" s="781" t="s">
        <v>33</v>
      </c>
      <c r="B2" s="781"/>
      <c r="C2" s="781"/>
      <c r="D2" s="446">
        <v>45992</v>
      </c>
      <c r="E2" s="446">
        <v>45809</v>
      </c>
      <c r="F2" s="446">
        <v>45627</v>
      </c>
      <c r="G2" s="446" t="s">
        <v>436</v>
      </c>
      <c r="H2" s="446" t="s">
        <v>437</v>
      </c>
      <c r="I2" s="447"/>
    </row>
    <row r="3" spans="1:11" s="376" customFormat="1" ht="6.75" customHeight="1" x14ac:dyDescent="0.25">
      <c r="A3" s="1"/>
      <c r="B3" s="343"/>
      <c r="D3" s="225"/>
      <c r="E3" s="24"/>
      <c r="F3" s="24"/>
      <c r="G3" s="24"/>
      <c r="H3" s="24"/>
      <c r="I3" s="448"/>
    </row>
    <row r="4" spans="1:11" s="376" customFormat="1" ht="15" x14ac:dyDescent="0.25">
      <c r="A4" s="352" t="s">
        <v>119</v>
      </c>
      <c r="B4" s="343"/>
      <c r="D4" s="107"/>
      <c r="E4" s="24"/>
      <c r="F4" s="24"/>
      <c r="G4" s="24"/>
      <c r="H4" s="24"/>
      <c r="I4" s="448"/>
    </row>
    <row r="5" spans="1:11" s="331" customFormat="1" ht="15" x14ac:dyDescent="0.25">
      <c r="A5" s="376" t="s">
        <v>120</v>
      </c>
      <c r="B5" s="342"/>
      <c r="D5" s="107">
        <v>450916</v>
      </c>
      <c r="E5" s="409">
        <v>439100</v>
      </c>
      <c r="F5" s="409">
        <v>436684</v>
      </c>
      <c r="G5" s="333">
        <v>2.6909587793213285</v>
      </c>
      <c r="H5" s="333">
        <v>3.2591072720777436</v>
      </c>
      <c r="I5" s="449"/>
      <c r="J5" s="404"/>
      <c r="K5" s="404"/>
    </row>
    <row r="6" spans="1:11" s="331" customFormat="1" ht="15" x14ac:dyDescent="0.25">
      <c r="A6" s="450" t="s">
        <v>121</v>
      </c>
      <c r="B6" s="342"/>
      <c r="D6" s="133"/>
      <c r="E6" s="411"/>
      <c r="F6" s="411"/>
      <c r="G6" s="333"/>
      <c r="H6" s="333"/>
      <c r="I6" s="451"/>
    </row>
    <row r="7" spans="1:11" ht="15" x14ac:dyDescent="0.25">
      <c r="A7" s="324"/>
      <c r="B7" s="339" t="s">
        <v>383</v>
      </c>
      <c r="C7" s="323"/>
      <c r="D7" s="133">
        <v>2324</v>
      </c>
      <c r="E7" s="411">
        <v>2216</v>
      </c>
      <c r="F7" s="411">
        <v>2393</v>
      </c>
      <c r="G7" s="333">
        <v>4.8736462093862842</v>
      </c>
      <c r="H7" s="333">
        <v>-2.8834099456748863</v>
      </c>
      <c r="I7" s="451"/>
      <c r="J7" s="404"/>
      <c r="K7" s="404"/>
    </row>
    <row r="8" spans="1:11" ht="15" x14ac:dyDescent="0.25">
      <c r="A8" s="324"/>
      <c r="B8" s="339" t="s">
        <v>384</v>
      </c>
      <c r="C8" s="323"/>
      <c r="D8" s="133">
        <v>3581</v>
      </c>
      <c r="E8" s="411">
        <v>3838</v>
      </c>
      <c r="F8" s="411">
        <v>3697</v>
      </c>
      <c r="G8" s="333">
        <v>-6.6961959353830096</v>
      </c>
      <c r="H8" s="333">
        <v>-3.1376791993508291</v>
      </c>
      <c r="I8" s="451"/>
      <c r="J8" s="404"/>
      <c r="K8" s="404"/>
    </row>
    <row r="9" spans="1:11" s="331" customFormat="1" ht="15" x14ac:dyDescent="0.25">
      <c r="A9" s="376" t="s">
        <v>122</v>
      </c>
      <c r="B9" s="343"/>
      <c r="D9" s="107">
        <v>445011</v>
      </c>
      <c r="E9" s="409">
        <v>433046</v>
      </c>
      <c r="F9" s="409">
        <v>430594</v>
      </c>
      <c r="G9" s="333">
        <v>2.7629859183550876</v>
      </c>
      <c r="H9" s="333">
        <v>3.3481655573463609</v>
      </c>
      <c r="I9" s="449"/>
      <c r="J9" s="404"/>
      <c r="K9" s="404"/>
    </row>
    <row r="10" spans="1:11" ht="15" x14ac:dyDescent="0.25">
      <c r="A10" s="323"/>
      <c r="B10" s="343"/>
      <c r="C10" s="339"/>
      <c r="D10" s="107"/>
      <c r="E10" s="409"/>
      <c r="F10" s="409"/>
      <c r="G10" s="144"/>
      <c r="H10" s="144"/>
      <c r="I10" s="449"/>
      <c r="J10" s="323"/>
      <c r="K10" s="323"/>
    </row>
    <row r="11" spans="1:11" s="331" customFormat="1" ht="15" x14ac:dyDescent="0.25">
      <c r="A11" s="331" t="s">
        <v>120</v>
      </c>
      <c r="B11" s="342"/>
      <c r="D11" s="107">
        <v>450916</v>
      </c>
      <c r="E11" s="409">
        <v>439100</v>
      </c>
      <c r="F11" s="409">
        <v>436684</v>
      </c>
      <c r="G11" s="333">
        <v>2.6909587793213285</v>
      </c>
      <c r="H11" s="333">
        <v>3.2591072720777436</v>
      </c>
      <c r="I11" s="449"/>
      <c r="J11" s="404"/>
      <c r="K11" s="404"/>
    </row>
    <row r="12" spans="1:11" x14ac:dyDescent="0.2">
      <c r="A12" s="450" t="s">
        <v>123</v>
      </c>
      <c r="B12" s="334"/>
      <c r="C12" s="323"/>
      <c r="D12" s="133"/>
      <c r="E12" s="411"/>
      <c r="F12" s="411"/>
      <c r="G12" s="144"/>
      <c r="H12" s="144"/>
      <c r="I12" s="451"/>
      <c r="J12" s="323"/>
      <c r="K12" s="323"/>
    </row>
    <row r="13" spans="1:11" s="323" customFormat="1" ht="15" x14ac:dyDescent="0.25">
      <c r="B13" s="334" t="s">
        <v>20</v>
      </c>
      <c r="D13" s="133">
        <v>135158</v>
      </c>
      <c r="E13" s="411">
        <v>132549</v>
      </c>
      <c r="F13" s="411">
        <v>132831</v>
      </c>
      <c r="G13" s="333">
        <v>1.9683286935397559</v>
      </c>
      <c r="H13" s="333">
        <v>1.7518500952337979</v>
      </c>
      <c r="I13" s="451"/>
      <c r="J13" s="404"/>
      <c r="K13" s="404"/>
    </row>
    <row r="14" spans="1:11" s="323" customFormat="1" ht="15" x14ac:dyDescent="0.25">
      <c r="B14" s="334" t="s">
        <v>21</v>
      </c>
      <c r="C14" s="324"/>
      <c r="D14" s="133">
        <v>310034</v>
      </c>
      <c r="E14" s="411">
        <v>302098</v>
      </c>
      <c r="F14" s="411">
        <v>300519</v>
      </c>
      <c r="G14" s="333">
        <v>2.6269621116326469</v>
      </c>
      <c r="H14" s="333">
        <v>3.1661891594208624</v>
      </c>
      <c r="I14" s="451"/>
      <c r="J14" s="404"/>
      <c r="K14" s="404"/>
    </row>
    <row r="15" spans="1:11" ht="15" x14ac:dyDescent="0.25">
      <c r="A15" s="323"/>
      <c r="B15" s="334" t="s">
        <v>23</v>
      </c>
      <c r="C15" s="324"/>
      <c r="D15" s="133">
        <v>5724</v>
      </c>
      <c r="E15" s="411">
        <v>4453</v>
      </c>
      <c r="F15" s="411">
        <v>3334</v>
      </c>
      <c r="G15" s="333">
        <v>28.542555580507532</v>
      </c>
      <c r="H15" s="333">
        <v>71.685662867426529</v>
      </c>
      <c r="I15" s="451"/>
      <c r="J15" s="404"/>
      <c r="K15" s="404"/>
    </row>
    <row r="16" spans="1:11" s="376" customFormat="1" ht="17.25" x14ac:dyDescent="0.25">
      <c r="A16" s="452" t="s">
        <v>431</v>
      </c>
      <c r="B16" s="343"/>
      <c r="D16" s="107"/>
      <c r="E16" s="409"/>
      <c r="F16" s="409"/>
      <c r="G16" s="144"/>
      <c r="H16" s="144"/>
      <c r="I16" s="449"/>
    </row>
    <row r="17" spans="1:11" ht="15" x14ac:dyDescent="0.25">
      <c r="A17" s="323"/>
      <c r="B17" s="334" t="s">
        <v>25</v>
      </c>
      <c r="C17" s="323"/>
      <c r="D17" s="133">
        <v>202317</v>
      </c>
      <c r="E17" s="411">
        <v>197458</v>
      </c>
      <c r="F17" s="411">
        <v>196076</v>
      </c>
      <c r="G17" s="333">
        <v>2.4607764689199785</v>
      </c>
      <c r="H17" s="333">
        <v>3.1829494685734039</v>
      </c>
      <c r="I17" s="451"/>
      <c r="J17" s="404"/>
      <c r="K17" s="404"/>
    </row>
    <row r="18" spans="1:11" ht="15" x14ac:dyDescent="0.25">
      <c r="A18" s="323"/>
      <c r="B18" s="334" t="s">
        <v>26</v>
      </c>
      <c r="C18" s="323"/>
      <c r="D18" s="133">
        <v>56184</v>
      </c>
      <c r="E18" s="411">
        <v>57196</v>
      </c>
      <c r="F18" s="411">
        <v>63003</v>
      </c>
      <c r="G18" s="333">
        <v>-1.7693545003147126</v>
      </c>
      <c r="H18" s="333">
        <v>-10.823294128851002</v>
      </c>
      <c r="I18" s="451"/>
      <c r="J18" s="404"/>
      <c r="K18" s="404"/>
    </row>
    <row r="19" spans="1:11" ht="15" x14ac:dyDescent="0.25">
      <c r="A19" s="323"/>
      <c r="B19" s="334" t="s">
        <v>27</v>
      </c>
      <c r="C19" s="323"/>
      <c r="D19" s="133">
        <v>58429</v>
      </c>
      <c r="E19" s="411">
        <v>59236</v>
      </c>
      <c r="F19" s="411">
        <v>57530</v>
      </c>
      <c r="G19" s="333">
        <v>-1.3623472212843546</v>
      </c>
      <c r="H19" s="333">
        <v>1.5626629584564622</v>
      </c>
      <c r="I19" s="451"/>
      <c r="J19" s="404"/>
      <c r="K19" s="404"/>
    </row>
    <row r="20" spans="1:11" ht="15" x14ac:dyDescent="0.25">
      <c r="A20" s="323"/>
      <c r="B20" s="334" t="s">
        <v>28</v>
      </c>
      <c r="C20" s="323"/>
      <c r="D20" s="133">
        <v>38773</v>
      </c>
      <c r="E20" s="411">
        <v>38588</v>
      </c>
      <c r="F20" s="411">
        <v>36731</v>
      </c>
      <c r="G20" s="333">
        <v>0.479423655022293</v>
      </c>
      <c r="H20" s="333">
        <v>5.5593367999782206</v>
      </c>
      <c r="I20" s="451"/>
      <c r="J20" s="404"/>
      <c r="K20" s="404"/>
    </row>
    <row r="21" spans="1:11" ht="15" x14ac:dyDescent="0.25">
      <c r="A21" s="323"/>
      <c r="B21" s="334" t="s">
        <v>104</v>
      </c>
      <c r="C21" s="323"/>
      <c r="D21" s="133">
        <v>95213</v>
      </c>
      <c r="E21" s="411">
        <v>86622</v>
      </c>
      <c r="F21" s="411">
        <v>83344</v>
      </c>
      <c r="G21" s="333">
        <v>9.9178037911846992</v>
      </c>
      <c r="H21" s="333">
        <v>14.240977154924161</v>
      </c>
      <c r="I21" s="451"/>
      <c r="J21" s="404"/>
      <c r="K21" s="404"/>
    </row>
    <row r="22" spans="1:11" ht="18.75" customHeight="1" x14ac:dyDescent="0.2">
      <c r="A22" s="450" t="s">
        <v>124</v>
      </c>
      <c r="B22" s="334"/>
      <c r="C22" s="323"/>
      <c r="D22" s="133"/>
      <c r="E22" s="411"/>
      <c r="F22" s="411"/>
      <c r="G22" s="144"/>
      <c r="H22" s="144"/>
      <c r="I22" s="451"/>
      <c r="J22" s="323"/>
      <c r="K22" s="323"/>
    </row>
    <row r="23" spans="1:11" ht="15" x14ac:dyDescent="0.25">
      <c r="A23" s="323"/>
      <c r="B23" s="334" t="s">
        <v>125</v>
      </c>
      <c r="C23" s="323"/>
      <c r="D23" s="133">
        <v>46829</v>
      </c>
      <c r="E23" s="411">
        <v>43744</v>
      </c>
      <c r="F23" s="411">
        <v>42934</v>
      </c>
      <c r="G23" s="333">
        <v>7.0523957571324125</v>
      </c>
      <c r="H23" s="333">
        <v>9.0720640983835708</v>
      </c>
      <c r="I23" s="451"/>
      <c r="J23" s="404"/>
      <c r="K23" s="404"/>
    </row>
    <row r="24" spans="1:11" ht="15" x14ac:dyDescent="0.25">
      <c r="A24" s="323"/>
      <c r="B24" s="334" t="s">
        <v>126</v>
      </c>
      <c r="C24" s="323"/>
      <c r="D24" s="133">
        <v>111925</v>
      </c>
      <c r="E24" s="411">
        <v>113902</v>
      </c>
      <c r="F24" s="411">
        <v>113451</v>
      </c>
      <c r="G24" s="333">
        <v>-1.7357026215518601</v>
      </c>
      <c r="H24" s="333">
        <v>-1.3450740848471976</v>
      </c>
      <c r="I24" s="451"/>
      <c r="J24" s="404"/>
      <c r="K24" s="404"/>
    </row>
    <row r="25" spans="1:11" ht="15" x14ac:dyDescent="0.25">
      <c r="A25" s="323"/>
      <c r="B25" s="334" t="s">
        <v>127</v>
      </c>
      <c r="C25" s="323"/>
      <c r="D25" s="133">
        <v>84012</v>
      </c>
      <c r="E25" s="411">
        <v>85512</v>
      </c>
      <c r="F25" s="411">
        <v>85746</v>
      </c>
      <c r="G25" s="333">
        <v>-1.7541397698568661</v>
      </c>
      <c r="H25" s="333">
        <v>-2.0222517668462614</v>
      </c>
      <c r="I25" s="451"/>
      <c r="J25" s="404"/>
      <c r="K25" s="404"/>
    </row>
    <row r="26" spans="1:11" ht="15" x14ac:dyDescent="0.25">
      <c r="A26" s="323"/>
      <c r="B26" s="334" t="s">
        <v>128</v>
      </c>
      <c r="C26" s="323"/>
      <c r="D26" s="133">
        <v>45576</v>
      </c>
      <c r="E26" s="411">
        <v>41961</v>
      </c>
      <c r="F26" s="411">
        <v>43709</v>
      </c>
      <c r="G26" s="333">
        <v>8.6151426324444067</v>
      </c>
      <c r="H26" s="333">
        <v>4.2714315129607217</v>
      </c>
      <c r="I26" s="451"/>
      <c r="J26" s="404"/>
      <c r="K26" s="404"/>
    </row>
    <row r="27" spans="1:11" ht="15" x14ac:dyDescent="0.25">
      <c r="A27" s="323"/>
      <c r="B27" s="334" t="s">
        <v>129</v>
      </c>
      <c r="C27" s="323"/>
      <c r="D27" s="133">
        <v>33703</v>
      </c>
      <c r="E27" s="411">
        <v>33092</v>
      </c>
      <c r="F27" s="411">
        <v>33599</v>
      </c>
      <c r="G27" s="333">
        <v>1.8463677021636649</v>
      </c>
      <c r="H27" s="333">
        <v>0.30953302181613296</v>
      </c>
      <c r="I27" s="451"/>
      <c r="J27" s="404"/>
      <c r="K27" s="404"/>
    </row>
    <row r="28" spans="1:11" ht="15" x14ac:dyDescent="0.25">
      <c r="A28" s="323"/>
      <c r="B28" s="323" t="s">
        <v>130</v>
      </c>
      <c r="C28" s="323"/>
      <c r="D28" s="133">
        <v>45343</v>
      </c>
      <c r="E28" s="411">
        <v>41941</v>
      </c>
      <c r="F28" s="411">
        <v>39641</v>
      </c>
      <c r="G28" s="333">
        <v>8.1113945780977978</v>
      </c>
      <c r="H28" s="333">
        <v>14.384097273025409</v>
      </c>
      <c r="I28" s="451"/>
      <c r="J28" s="404"/>
      <c r="K28" s="404"/>
    </row>
    <row r="29" spans="1:11" ht="29.25" x14ac:dyDescent="0.25">
      <c r="A29" s="323"/>
      <c r="B29" s="334" t="s">
        <v>131</v>
      </c>
      <c r="C29" s="334"/>
      <c r="D29" s="133">
        <v>44437</v>
      </c>
      <c r="E29" s="411">
        <v>41331</v>
      </c>
      <c r="F29" s="411">
        <v>41579</v>
      </c>
      <c r="G29" s="333">
        <v>7.514940359536415</v>
      </c>
      <c r="H29" s="333">
        <v>6.87366218523775</v>
      </c>
      <c r="I29" s="451"/>
      <c r="J29" s="404"/>
      <c r="K29" s="404"/>
    </row>
    <row r="30" spans="1:11" ht="15" x14ac:dyDescent="0.25">
      <c r="A30" s="323"/>
      <c r="B30" s="334" t="s">
        <v>23</v>
      </c>
      <c r="C30" s="323"/>
      <c r="D30" s="133">
        <v>39091</v>
      </c>
      <c r="E30" s="411">
        <v>37617</v>
      </c>
      <c r="F30" s="411">
        <v>36025</v>
      </c>
      <c r="G30" s="333">
        <v>3.9184411303400113</v>
      </c>
      <c r="H30" s="333">
        <v>8.5107564191533758</v>
      </c>
      <c r="I30" s="451"/>
      <c r="J30" s="404"/>
      <c r="K30" s="404"/>
    </row>
    <row r="31" spans="1:11" ht="20.100000000000001" customHeight="1" x14ac:dyDescent="0.2">
      <c r="A31" s="450" t="s">
        <v>132</v>
      </c>
      <c r="B31" s="334"/>
      <c r="C31" s="323"/>
      <c r="D31" s="133"/>
      <c r="E31" s="411"/>
      <c r="F31" s="411"/>
      <c r="G31" s="144"/>
      <c r="H31" s="144"/>
      <c r="I31" s="451"/>
      <c r="J31" s="323"/>
      <c r="K31" s="323"/>
    </row>
    <row r="32" spans="1:11" ht="15" x14ac:dyDescent="0.25">
      <c r="A32" s="323"/>
      <c r="B32" s="334" t="s">
        <v>133</v>
      </c>
      <c r="C32" s="323"/>
      <c r="D32" s="133">
        <v>168298</v>
      </c>
      <c r="E32" s="411">
        <v>168077</v>
      </c>
      <c r="F32" s="411">
        <v>166474</v>
      </c>
      <c r="G32" s="333">
        <v>0.13148735401036227</v>
      </c>
      <c r="H32" s="333">
        <v>1.0956665905787144</v>
      </c>
      <c r="I32" s="451"/>
      <c r="J32" s="404"/>
      <c r="K32" s="404"/>
    </row>
    <row r="33" spans="1:11" ht="15" x14ac:dyDescent="0.25">
      <c r="A33" s="323"/>
      <c r="B33" s="334" t="s">
        <v>134</v>
      </c>
      <c r="C33" s="323"/>
      <c r="D33" s="133">
        <v>120367</v>
      </c>
      <c r="E33" s="411">
        <v>108154</v>
      </c>
      <c r="F33" s="411">
        <v>109112</v>
      </c>
      <c r="G33" s="333">
        <v>11.292231447750423</v>
      </c>
      <c r="H33" s="333">
        <v>10.315089082777341</v>
      </c>
      <c r="I33" s="451"/>
      <c r="J33" s="404"/>
      <c r="K33" s="404"/>
    </row>
    <row r="34" spans="1:11" ht="15" x14ac:dyDescent="0.25">
      <c r="A34" s="323"/>
      <c r="B34" s="334" t="s">
        <v>135</v>
      </c>
      <c r="C34" s="323"/>
      <c r="D34" s="133">
        <v>40366</v>
      </c>
      <c r="E34" s="411">
        <v>40918</v>
      </c>
      <c r="F34" s="411">
        <v>45403</v>
      </c>
      <c r="G34" s="333">
        <v>-1.3490395424996304</v>
      </c>
      <c r="H34" s="333">
        <v>-11.093980573970885</v>
      </c>
      <c r="I34" s="451"/>
      <c r="J34" s="404"/>
      <c r="K34" s="404"/>
    </row>
    <row r="35" spans="1:11" ht="15" x14ac:dyDescent="0.25">
      <c r="A35" s="323"/>
      <c r="B35" s="334" t="s">
        <v>432</v>
      </c>
      <c r="C35" s="323"/>
      <c r="D35" s="133">
        <v>23071</v>
      </c>
      <c r="E35" s="411">
        <v>26987</v>
      </c>
      <c r="F35" s="411">
        <v>24452</v>
      </c>
      <c r="G35" s="333">
        <v>-14.510690332382259</v>
      </c>
      <c r="H35" s="333">
        <v>-5.6477997709798782</v>
      </c>
      <c r="I35" s="451"/>
      <c r="J35" s="404"/>
      <c r="K35" s="404"/>
    </row>
    <row r="36" spans="1:11" ht="15" x14ac:dyDescent="0.25">
      <c r="A36" s="323"/>
      <c r="B36" s="334" t="s">
        <v>136</v>
      </c>
      <c r="C36" s="323"/>
      <c r="D36" s="133">
        <v>24366</v>
      </c>
      <c r="E36" s="411">
        <v>22332</v>
      </c>
      <c r="F36" s="411">
        <v>21696</v>
      </c>
      <c r="G36" s="333">
        <v>9.1080064481461562</v>
      </c>
      <c r="H36" s="333">
        <v>12.30641592920354</v>
      </c>
      <c r="I36" s="451"/>
      <c r="J36" s="404"/>
      <c r="K36" s="404"/>
    </row>
    <row r="37" spans="1:11" ht="15" x14ac:dyDescent="0.25">
      <c r="A37" s="323"/>
      <c r="B37" s="334" t="s">
        <v>23</v>
      </c>
      <c r="C37" s="323"/>
      <c r="D37" s="133">
        <v>74448</v>
      </c>
      <c r="E37" s="411">
        <v>72632</v>
      </c>
      <c r="F37" s="411">
        <v>69547</v>
      </c>
      <c r="G37" s="333">
        <v>2.5002753607225481</v>
      </c>
      <c r="H37" s="333">
        <v>7.0470329417516187</v>
      </c>
      <c r="I37" s="451"/>
      <c r="J37" s="404"/>
      <c r="K37" s="404"/>
    </row>
    <row r="38" spans="1:11" x14ac:dyDescent="0.2">
      <c r="A38" s="323"/>
      <c r="B38" s="334"/>
      <c r="C38" s="357"/>
      <c r="D38" s="330"/>
      <c r="E38" s="8"/>
      <c r="F38" s="8"/>
      <c r="G38" s="330"/>
      <c r="H38" s="330"/>
      <c r="I38" s="323"/>
      <c r="J38" s="323"/>
      <c r="K38" s="323"/>
    </row>
    <row r="39" spans="1:11" x14ac:dyDescent="0.2">
      <c r="A39" s="323"/>
      <c r="B39" s="334"/>
      <c r="C39" s="357"/>
      <c r="D39" s="330"/>
      <c r="E39" s="8"/>
      <c r="F39" s="8"/>
      <c r="G39" s="330"/>
      <c r="H39" s="330"/>
      <c r="I39" s="323"/>
      <c r="J39" s="323"/>
      <c r="K39" s="323"/>
    </row>
    <row r="40" spans="1:11" s="351" customFormat="1" x14ac:dyDescent="0.2">
      <c r="A40" s="442" t="s">
        <v>89</v>
      </c>
      <c r="B40" s="453" t="s">
        <v>137</v>
      </c>
      <c r="C40" s="454"/>
      <c r="D40" s="455"/>
      <c r="E40" s="455"/>
      <c r="F40" s="456"/>
    </row>
    <row r="42" spans="1:11" x14ac:dyDescent="0.2">
      <c r="A42" s="323"/>
      <c r="B42" s="334"/>
      <c r="C42" s="357"/>
      <c r="D42" s="330"/>
      <c r="E42" s="330"/>
      <c r="F42" s="330"/>
      <c r="G42" s="329"/>
      <c r="H42" s="329"/>
      <c r="I42" s="323"/>
      <c r="J42" s="323"/>
      <c r="K42" s="323"/>
    </row>
    <row r="43" spans="1:11" x14ac:dyDescent="0.2">
      <c r="A43" s="323"/>
      <c r="B43" s="334"/>
      <c r="C43" s="357"/>
      <c r="D43" s="330"/>
      <c r="E43" s="330"/>
      <c r="F43" s="330"/>
      <c r="G43" s="329"/>
      <c r="H43" s="329"/>
      <c r="I43" s="323"/>
      <c r="J43" s="323"/>
      <c r="K43" s="323"/>
    </row>
    <row r="44" spans="1:11" x14ac:dyDescent="0.2">
      <c r="A44" s="323"/>
      <c r="B44" s="334"/>
      <c r="C44" s="357"/>
      <c r="D44" s="330"/>
      <c r="E44" s="330"/>
      <c r="F44" s="330"/>
      <c r="G44" s="329"/>
      <c r="H44" s="329"/>
      <c r="I44" s="323"/>
      <c r="J44" s="323"/>
      <c r="K44" s="323"/>
    </row>
    <row r="45" spans="1:11" x14ac:dyDescent="0.2">
      <c r="A45" s="323"/>
      <c r="B45" s="457"/>
      <c r="C45" s="357"/>
      <c r="D45" s="330"/>
      <c r="E45" s="330"/>
      <c r="F45" s="330"/>
      <c r="G45" s="329"/>
      <c r="H45" s="329"/>
      <c r="I45" s="323"/>
      <c r="J45" s="323"/>
      <c r="K45" s="323"/>
    </row>
    <row r="46" spans="1:11" x14ac:dyDescent="0.2">
      <c r="A46" s="323"/>
      <c r="B46" s="457"/>
      <c r="C46" s="357"/>
      <c r="D46" s="330"/>
      <c r="E46" s="330"/>
      <c r="F46" s="330"/>
      <c r="G46" s="329"/>
      <c r="H46" s="329"/>
      <c r="I46" s="323"/>
      <c r="J46" s="323"/>
      <c r="K46" s="323"/>
    </row>
    <row r="47" spans="1:11" x14ac:dyDescent="0.2">
      <c r="A47" s="323"/>
      <c r="B47" s="334"/>
      <c r="C47" s="357"/>
      <c r="D47" s="330"/>
      <c r="E47" s="330"/>
      <c r="F47" s="330"/>
      <c r="G47" s="329"/>
      <c r="H47" s="329"/>
      <c r="I47" s="323"/>
      <c r="J47" s="323"/>
      <c r="K47" s="323"/>
    </row>
    <row r="48" spans="1:11" x14ac:dyDescent="0.2">
      <c r="A48" s="323"/>
      <c r="B48" s="334"/>
      <c r="C48" s="357"/>
      <c r="D48" s="330"/>
      <c r="E48" s="330"/>
      <c r="F48" s="330"/>
      <c r="G48" s="329"/>
      <c r="H48" s="329"/>
      <c r="I48" s="323"/>
      <c r="J48" s="323"/>
      <c r="K48" s="323"/>
    </row>
    <row r="49" spans="2:8" x14ac:dyDescent="0.2">
      <c r="B49" s="334"/>
      <c r="C49" s="357"/>
      <c r="D49" s="330"/>
      <c r="E49" s="330"/>
      <c r="F49" s="330"/>
      <c r="G49" s="329"/>
      <c r="H49" s="329"/>
    </row>
    <row r="50" spans="2:8" x14ac:dyDescent="0.2">
      <c r="B50" s="334"/>
      <c r="C50" s="357"/>
      <c r="D50" s="330"/>
      <c r="E50" s="330"/>
      <c r="F50" s="330"/>
      <c r="G50" s="329"/>
      <c r="H50" s="329"/>
    </row>
    <row r="51" spans="2:8" x14ac:dyDescent="0.2">
      <c r="B51" s="334"/>
      <c r="C51" s="357"/>
      <c r="D51" s="330"/>
      <c r="E51" s="330"/>
      <c r="F51" s="330"/>
      <c r="G51" s="329"/>
      <c r="H51" s="329"/>
    </row>
    <row r="52" spans="2:8" x14ac:dyDescent="0.2">
      <c r="B52" s="334"/>
      <c r="C52" s="357"/>
      <c r="D52" s="330"/>
      <c r="E52" s="330"/>
      <c r="F52" s="330"/>
      <c r="G52" s="329"/>
      <c r="H52" s="329"/>
    </row>
    <row r="53" spans="2:8" x14ac:dyDescent="0.2">
      <c r="B53" s="334"/>
      <c r="C53" s="357"/>
      <c r="D53" s="330"/>
      <c r="E53" s="330"/>
      <c r="F53" s="330"/>
      <c r="G53" s="329"/>
      <c r="H53" s="329"/>
    </row>
    <row r="54" spans="2:8" x14ac:dyDescent="0.2">
      <c r="B54" s="334"/>
      <c r="C54" s="357"/>
      <c r="D54" s="330"/>
      <c r="E54" s="330"/>
      <c r="F54" s="330"/>
      <c r="G54" s="411"/>
      <c r="H54" s="411"/>
    </row>
    <row r="55" spans="2:8" x14ac:dyDescent="0.2">
      <c r="B55" s="334"/>
      <c r="C55" s="357"/>
      <c r="D55" s="330"/>
      <c r="E55" s="330"/>
      <c r="F55" s="330"/>
      <c r="G55" s="8"/>
      <c r="H55" s="8"/>
    </row>
    <row r="56" spans="2:8" x14ac:dyDescent="0.2">
      <c r="B56" s="334"/>
      <c r="C56" s="357"/>
      <c r="D56" s="330"/>
      <c r="E56" s="330"/>
      <c r="F56" s="330"/>
      <c r="G56" s="8"/>
      <c r="H56" s="8"/>
    </row>
    <row r="57" spans="2:8" x14ac:dyDescent="0.2">
      <c r="B57" s="334"/>
      <c r="C57" s="357"/>
      <c r="D57" s="330"/>
      <c r="E57" s="330"/>
      <c r="F57" s="330"/>
      <c r="G57" s="8"/>
      <c r="H57" s="8"/>
    </row>
    <row r="58" spans="2:8" x14ac:dyDescent="0.2">
      <c r="B58" s="334"/>
      <c r="C58" s="357"/>
      <c r="D58" s="330"/>
      <c r="E58" s="330"/>
      <c r="F58" s="330"/>
      <c r="G58" s="8"/>
      <c r="H58" s="8"/>
    </row>
    <row r="59" spans="2:8" x14ac:dyDescent="0.2">
      <c r="B59" s="334"/>
      <c r="C59" s="357"/>
      <c r="D59" s="330"/>
      <c r="E59" s="330"/>
      <c r="F59" s="330"/>
      <c r="G59" s="8"/>
      <c r="H59" s="8"/>
    </row>
    <row r="60" spans="2:8" x14ac:dyDescent="0.2">
      <c r="B60" s="334"/>
      <c r="C60" s="357"/>
      <c r="D60" s="330"/>
      <c r="E60" s="330"/>
      <c r="F60" s="330"/>
      <c r="G60" s="8"/>
      <c r="H60" s="8"/>
    </row>
    <row r="61" spans="2:8" x14ac:dyDescent="0.2">
      <c r="B61" s="334"/>
      <c r="C61" s="357"/>
      <c r="D61" s="330"/>
      <c r="E61" s="330"/>
      <c r="F61" s="330"/>
      <c r="G61" s="8"/>
      <c r="H61" s="8"/>
    </row>
    <row r="62" spans="2:8" x14ac:dyDescent="0.2">
      <c r="B62" s="334"/>
      <c r="C62" s="357"/>
      <c r="D62" s="330"/>
      <c r="E62" s="330"/>
      <c r="F62" s="330"/>
      <c r="G62" s="8"/>
      <c r="H62" s="8"/>
    </row>
    <row r="63" spans="2:8" x14ac:dyDescent="0.2">
      <c r="B63" s="334"/>
      <c r="C63" s="357"/>
      <c r="D63" s="330"/>
      <c r="E63" s="330"/>
      <c r="F63" s="330"/>
      <c r="G63" s="8"/>
      <c r="H63" s="8"/>
    </row>
    <row r="64" spans="2:8" x14ac:dyDescent="0.2">
      <c r="B64" s="334"/>
      <c r="C64" s="357"/>
      <c r="D64" s="330"/>
      <c r="E64" s="330"/>
      <c r="F64" s="330"/>
      <c r="G64" s="8"/>
      <c r="H64" s="8"/>
    </row>
    <row r="65" spans="4:6" x14ac:dyDescent="0.2">
      <c r="D65" s="330"/>
      <c r="E65" s="330"/>
      <c r="F65" s="330"/>
    </row>
    <row r="66" spans="4:6" x14ac:dyDescent="0.2">
      <c r="D66" s="330"/>
      <c r="E66" s="330"/>
      <c r="F66" s="330"/>
    </row>
    <row r="67" spans="4:6" x14ac:dyDescent="0.2">
      <c r="D67" s="330"/>
      <c r="E67" s="330"/>
      <c r="F67" s="330"/>
    </row>
    <row r="68" spans="4:6" x14ac:dyDescent="0.2">
      <c r="D68" s="330"/>
      <c r="E68" s="330"/>
      <c r="F68" s="330"/>
    </row>
    <row r="69" spans="4:6" x14ac:dyDescent="0.2">
      <c r="D69" s="330"/>
      <c r="E69" s="330"/>
      <c r="F69" s="330"/>
    </row>
    <row r="70" spans="4:6" x14ac:dyDescent="0.2">
      <c r="D70" s="330"/>
      <c r="E70" s="330"/>
      <c r="F70" s="330"/>
    </row>
    <row r="71" spans="4:6" x14ac:dyDescent="0.2">
      <c r="D71" s="330"/>
      <c r="E71" s="330"/>
      <c r="F71" s="330"/>
    </row>
    <row r="72" spans="4:6" x14ac:dyDescent="0.2">
      <c r="D72" s="330"/>
      <c r="E72" s="330"/>
      <c r="F72" s="330"/>
    </row>
    <row r="73" spans="4:6" x14ac:dyDescent="0.2">
      <c r="D73" s="330"/>
      <c r="E73" s="330"/>
      <c r="F73" s="330"/>
    </row>
    <row r="74" spans="4:6" x14ac:dyDescent="0.2">
      <c r="D74" s="330"/>
      <c r="E74" s="330"/>
      <c r="F74" s="330"/>
    </row>
    <row r="75" spans="4:6" x14ac:dyDescent="0.2">
      <c r="D75" s="330"/>
      <c r="E75" s="330"/>
      <c r="F75" s="330"/>
    </row>
    <row r="76" spans="4:6" x14ac:dyDescent="0.2">
      <c r="D76" s="330"/>
      <c r="E76" s="330"/>
      <c r="F76" s="330"/>
    </row>
    <row r="77" spans="4:6" x14ac:dyDescent="0.2">
      <c r="D77" s="330"/>
      <c r="E77" s="330"/>
      <c r="F77" s="330"/>
    </row>
    <row r="78" spans="4:6" x14ac:dyDescent="0.2">
      <c r="D78" s="330"/>
      <c r="E78" s="330"/>
      <c r="F78" s="330"/>
    </row>
    <row r="79" spans="4:6" x14ac:dyDescent="0.2">
      <c r="D79" s="330"/>
      <c r="E79" s="330"/>
      <c r="F79" s="330"/>
    </row>
    <row r="80" spans="4:6" x14ac:dyDescent="0.2">
      <c r="D80" s="330"/>
      <c r="E80" s="330"/>
      <c r="F80" s="330"/>
    </row>
    <row r="81" spans="4:6" x14ac:dyDescent="0.2">
      <c r="D81" s="330"/>
      <c r="E81" s="330"/>
      <c r="F81" s="330"/>
    </row>
    <row r="82" spans="4:6" x14ac:dyDescent="0.2">
      <c r="D82" s="330"/>
      <c r="E82" s="330"/>
      <c r="F82" s="330"/>
    </row>
    <row r="83" spans="4:6" x14ac:dyDescent="0.2">
      <c r="D83" s="330"/>
      <c r="E83" s="330"/>
      <c r="F83" s="330"/>
    </row>
    <row r="84" spans="4:6" x14ac:dyDescent="0.2">
      <c r="D84" s="330"/>
      <c r="E84" s="330"/>
      <c r="F84" s="330"/>
    </row>
    <row r="85" spans="4:6" x14ac:dyDescent="0.2">
      <c r="D85" s="330"/>
      <c r="E85" s="330"/>
      <c r="F85" s="330"/>
    </row>
    <row r="86" spans="4:6" x14ac:dyDescent="0.2">
      <c r="D86" s="330"/>
      <c r="E86" s="330"/>
      <c r="F86" s="330"/>
    </row>
    <row r="87" spans="4:6" x14ac:dyDescent="0.2">
      <c r="D87" s="330"/>
      <c r="E87" s="330"/>
      <c r="F87" s="330"/>
    </row>
    <row r="88" spans="4:6" x14ac:dyDescent="0.2">
      <c r="D88" s="330"/>
      <c r="E88" s="330"/>
      <c r="F88" s="330"/>
    </row>
    <row r="89" spans="4:6" x14ac:dyDescent="0.2">
      <c r="D89" s="330"/>
      <c r="E89" s="330"/>
      <c r="F89" s="330"/>
    </row>
    <row r="90" spans="4:6" x14ac:dyDescent="0.2">
      <c r="D90" s="330"/>
      <c r="E90" s="330"/>
      <c r="F90" s="330"/>
    </row>
    <row r="91" spans="4:6" x14ac:dyDescent="0.2">
      <c r="D91" s="330"/>
      <c r="E91" s="330"/>
      <c r="F91" s="330"/>
    </row>
    <row r="92" spans="4:6" x14ac:dyDescent="0.2">
      <c r="D92" s="330"/>
      <c r="E92" s="330"/>
      <c r="F92" s="330"/>
    </row>
    <row r="93" spans="4:6" x14ac:dyDescent="0.2">
      <c r="D93" s="330"/>
      <c r="E93" s="330"/>
      <c r="F93" s="330"/>
    </row>
    <row r="94" spans="4:6" x14ac:dyDescent="0.2">
      <c r="D94" s="330"/>
      <c r="E94" s="330"/>
      <c r="F94" s="330"/>
    </row>
    <row r="95" spans="4:6" x14ac:dyDescent="0.2">
      <c r="D95" s="330"/>
      <c r="E95" s="330"/>
      <c r="F95" s="330"/>
    </row>
    <row r="96" spans="4:6" x14ac:dyDescent="0.2">
      <c r="D96" s="330"/>
      <c r="E96" s="330"/>
      <c r="F96" s="330"/>
    </row>
    <row r="97" spans="4:6" x14ac:dyDescent="0.2">
      <c r="D97" s="330"/>
      <c r="E97" s="330"/>
      <c r="F97" s="330"/>
    </row>
    <row r="98" spans="4:6" x14ac:dyDescent="0.2">
      <c r="D98" s="330"/>
      <c r="E98" s="330"/>
      <c r="F98" s="330"/>
    </row>
    <row r="99" spans="4:6" x14ac:dyDescent="0.2">
      <c r="D99" s="330"/>
      <c r="E99" s="330"/>
      <c r="F99" s="330"/>
    </row>
    <row r="100" spans="4:6" x14ac:dyDescent="0.2">
      <c r="D100" s="330"/>
      <c r="E100" s="330"/>
      <c r="F100" s="330"/>
    </row>
    <row r="101" spans="4:6" x14ac:dyDescent="0.2">
      <c r="D101" s="330"/>
      <c r="E101" s="330"/>
      <c r="F101" s="330"/>
    </row>
    <row r="102" spans="4:6" x14ac:dyDescent="0.2">
      <c r="D102" s="330"/>
      <c r="E102" s="330"/>
      <c r="F102" s="330"/>
    </row>
    <row r="103" spans="4:6" x14ac:dyDescent="0.2">
      <c r="D103" s="330"/>
      <c r="E103" s="330"/>
      <c r="F103" s="330"/>
    </row>
    <row r="104" spans="4:6" x14ac:dyDescent="0.2">
      <c r="D104" s="330"/>
      <c r="E104" s="330"/>
      <c r="F104" s="330"/>
    </row>
    <row r="105" spans="4:6" x14ac:dyDescent="0.2">
      <c r="D105" s="330"/>
      <c r="E105" s="330"/>
      <c r="F105" s="330"/>
    </row>
    <row r="106" spans="4:6" x14ac:dyDescent="0.2">
      <c r="D106" s="330"/>
      <c r="E106" s="330"/>
      <c r="F106" s="330"/>
    </row>
    <row r="107" spans="4:6" x14ac:dyDescent="0.2">
      <c r="D107" s="330"/>
      <c r="E107" s="330"/>
      <c r="F107" s="330"/>
    </row>
    <row r="108" spans="4:6" x14ac:dyDescent="0.2">
      <c r="D108" s="330"/>
      <c r="E108" s="330"/>
      <c r="F108" s="330"/>
    </row>
    <row r="109" spans="4:6" x14ac:dyDescent="0.2">
      <c r="D109" s="330"/>
      <c r="E109" s="330"/>
      <c r="F109" s="330"/>
    </row>
    <row r="110" spans="4:6" x14ac:dyDescent="0.2">
      <c r="D110" s="330"/>
      <c r="E110" s="330"/>
      <c r="F110" s="330"/>
    </row>
    <row r="111" spans="4:6" x14ac:dyDescent="0.2">
      <c r="D111" s="330"/>
      <c r="E111" s="330"/>
      <c r="F111" s="330"/>
    </row>
    <row r="112" spans="4:6" x14ac:dyDescent="0.2">
      <c r="D112" s="330"/>
      <c r="E112" s="330"/>
      <c r="F112" s="330"/>
    </row>
    <row r="113" spans="4:6" x14ac:dyDescent="0.2">
      <c r="D113" s="330"/>
      <c r="E113" s="330"/>
      <c r="F113" s="330"/>
    </row>
    <row r="114" spans="4:6" x14ac:dyDescent="0.2">
      <c r="D114" s="330"/>
      <c r="E114" s="330"/>
      <c r="F114" s="330"/>
    </row>
    <row r="115" spans="4:6" x14ac:dyDescent="0.2">
      <c r="D115" s="330"/>
      <c r="E115" s="330"/>
      <c r="F115" s="330"/>
    </row>
    <row r="116" spans="4:6" x14ac:dyDescent="0.2">
      <c r="D116" s="330"/>
      <c r="E116" s="330"/>
      <c r="F116" s="330"/>
    </row>
    <row r="117" spans="4:6" x14ac:dyDescent="0.2">
      <c r="D117" s="330"/>
      <c r="E117" s="330"/>
      <c r="F117" s="330"/>
    </row>
    <row r="118" spans="4:6" x14ac:dyDescent="0.2">
      <c r="D118" s="330"/>
      <c r="E118" s="330"/>
      <c r="F118" s="330"/>
    </row>
    <row r="119" spans="4:6" x14ac:dyDescent="0.2">
      <c r="D119" s="330"/>
      <c r="E119" s="330"/>
      <c r="F119" s="330"/>
    </row>
    <row r="120" spans="4:6" x14ac:dyDescent="0.2">
      <c r="D120" s="330"/>
      <c r="E120" s="330"/>
      <c r="F120" s="330"/>
    </row>
    <row r="121" spans="4:6" x14ac:dyDescent="0.2">
      <c r="D121" s="330"/>
      <c r="E121" s="330"/>
      <c r="F121" s="330"/>
    </row>
    <row r="122" spans="4:6" x14ac:dyDescent="0.2">
      <c r="D122" s="330"/>
      <c r="E122" s="330"/>
      <c r="F122" s="330"/>
    </row>
    <row r="123" spans="4:6" x14ac:dyDescent="0.2">
      <c r="D123" s="330"/>
      <c r="E123" s="330"/>
      <c r="F123" s="330"/>
    </row>
    <row r="124" spans="4:6" x14ac:dyDescent="0.2">
      <c r="D124" s="330"/>
      <c r="E124" s="330"/>
      <c r="F124" s="330"/>
    </row>
    <row r="125" spans="4:6" x14ac:dyDescent="0.2">
      <c r="D125" s="330"/>
      <c r="E125" s="330"/>
      <c r="F125" s="330"/>
    </row>
    <row r="126" spans="4:6" x14ac:dyDescent="0.2">
      <c r="D126" s="330"/>
      <c r="E126" s="330"/>
      <c r="F126" s="330"/>
    </row>
    <row r="127" spans="4:6" x14ac:dyDescent="0.2">
      <c r="D127" s="330"/>
      <c r="E127" s="330"/>
      <c r="F127" s="330"/>
    </row>
    <row r="128" spans="4:6" x14ac:dyDescent="0.2">
      <c r="D128" s="330"/>
      <c r="E128" s="330"/>
      <c r="F128" s="330"/>
    </row>
    <row r="129" spans="4:6" x14ac:dyDescent="0.2">
      <c r="D129" s="330"/>
      <c r="E129" s="330"/>
      <c r="F129" s="330"/>
    </row>
    <row r="130" spans="4:6" x14ac:dyDescent="0.2">
      <c r="D130" s="330"/>
      <c r="E130" s="330"/>
      <c r="F130" s="330"/>
    </row>
    <row r="131" spans="4:6" x14ac:dyDescent="0.2">
      <c r="D131" s="330"/>
      <c r="E131" s="330"/>
      <c r="F131" s="330"/>
    </row>
    <row r="132" spans="4:6" x14ac:dyDescent="0.2">
      <c r="D132" s="330"/>
      <c r="E132" s="330"/>
      <c r="F132" s="330"/>
    </row>
    <row r="133" spans="4:6" x14ac:dyDescent="0.2">
      <c r="D133" s="330"/>
      <c r="E133" s="330"/>
      <c r="F133" s="330"/>
    </row>
    <row r="134" spans="4:6" x14ac:dyDescent="0.2">
      <c r="D134" s="330"/>
      <c r="E134" s="330"/>
      <c r="F134" s="330"/>
    </row>
    <row r="135" spans="4:6" x14ac:dyDescent="0.2">
      <c r="D135" s="330"/>
      <c r="E135" s="330"/>
      <c r="F135" s="330"/>
    </row>
    <row r="136" spans="4:6" x14ac:dyDescent="0.2">
      <c r="D136" s="330"/>
      <c r="E136" s="330"/>
      <c r="F136" s="330"/>
    </row>
    <row r="137" spans="4:6" x14ac:dyDescent="0.2">
      <c r="D137" s="330"/>
      <c r="E137" s="330"/>
      <c r="F137" s="330"/>
    </row>
    <row r="138" spans="4:6" x14ac:dyDescent="0.2">
      <c r="D138" s="330"/>
      <c r="E138" s="330"/>
      <c r="F138" s="330"/>
    </row>
    <row r="139" spans="4:6" x14ac:dyDescent="0.2">
      <c r="D139" s="330"/>
      <c r="E139" s="330"/>
      <c r="F139" s="330"/>
    </row>
    <row r="140" spans="4:6" x14ac:dyDescent="0.2">
      <c r="D140" s="330"/>
      <c r="E140" s="330"/>
      <c r="F140" s="330"/>
    </row>
    <row r="141" spans="4:6" x14ac:dyDescent="0.2">
      <c r="D141" s="330"/>
      <c r="E141" s="330"/>
      <c r="F141" s="330"/>
    </row>
    <row r="142" spans="4:6" x14ac:dyDescent="0.2">
      <c r="D142" s="460"/>
      <c r="E142" s="460"/>
      <c r="F142" s="460"/>
    </row>
    <row r="143" spans="4:6" x14ac:dyDescent="0.2">
      <c r="D143" s="460"/>
      <c r="E143" s="460"/>
      <c r="F143" s="460"/>
    </row>
    <row r="144" spans="4:6" x14ac:dyDescent="0.2">
      <c r="D144" s="460"/>
      <c r="E144" s="460"/>
      <c r="F144" s="460"/>
    </row>
    <row r="145" spans="4:6" x14ac:dyDescent="0.2">
      <c r="D145" s="460"/>
      <c r="E145" s="460"/>
      <c r="F145" s="460"/>
    </row>
    <row r="146" spans="4:6" x14ac:dyDescent="0.2">
      <c r="D146" s="460"/>
      <c r="E146" s="460"/>
      <c r="F146" s="460"/>
    </row>
    <row r="147" spans="4:6" x14ac:dyDescent="0.2">
      <c r="D147" s="460"/>
      <c r="E147" s="460"/>
      <c r="F147" s="460"/>
    </row>
    <row r="148" spans="4:6" x14ac:dyDescent="0.2">
      <c r="D148" s="460"/>
      <c r="E148" s="460"/>
      <c r="F148" s="460"/>
    </row>
  </sheetData>
  <mergeCells count="1">
    <mergeCell ref="A2:C2"/>
  </mergeCells>
  <phoneticPr fontId="2" type="noConversion"/>
  <hyperlinks>
    <hyperlink ref="A2" location="Index!A1" display="Back to Index" xr:uid="{580FD3DC-4B66-4A76-B0AE-1AAF5043372E}"/>
  </hyperlinks>
  <printOptions gridLines="1"/>
  <pageMargins left="0.74803149606299213" right="3.937007874015748E-2" top="0.78740157480314965" bottom="0.78740157480314965" header="0" footer="0"/>
  <pageSetup paperSize="9" scale="65" orientation="portrait" blackAndWhite="1" verticalDpi="598" r:id="rId1"/>
  <headerFooter alignWithMargins="0">
    <oddFooter>&amp;L&amp;8&amp;Z&amp;F&amp;A&amp;R&amp;8&amp;D&amp;T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729D3-E006-4F19-A3C7-4A97FD2C70A7}">
  <sheetPr>
    <tabColor indexed="47"/>
    <pageSetUpPr fitToPage="1"/>
  </sheetPr>
  <dimension ref="A1:K158"/>
  <sheetViews>
    <sheetView showGridLines="0" topLeftCell="A3" zoomScale="90" zoomScaleNormal="90" workbookViewId="0"/>
  </sheetViews>
  <sheetFormatPr defaultColWidth="9.42578125" defaultRowHeight="14.25" x14ac:dyDescent="0.2"/>
  <cols>
    <col min="1" max="1" width="2.42578125" style="412" customWidth="1"/>
    <col min="2" max="2" width="4.42578125" style="412" customWidth="1"/>
    <col min="3" max="3" width="75.5703125" style="424" customWidth="1"/>
    <col min="4" max="6" width="11.42578125" style="459" customWidth="1"/>
    <col min="7" max="11" width="11.42578125" style="412" customWidth="1"/>
    <col min="12" max="16384" width="9.42578125" style="412"/>
  </cols>
  <sheetData>
    <row r="1" spans="1:11" s="4" customFormat="1" ht="20.25" x14ac:dyDescent="0.3">
      <c r="A1" s="3" t="s">
        <v>138</v>
      </c>
      <c r="D1" s="366"/>
      <c r="E1" s="366"/>
      <c r="F1" s="366"/>
    </row>
    <row r="2" spans="1:11" s="6" customFormat="1" ht="60" x14ac:dyDescent="0.25">
      <c r="A2" s="461" t="s">
        <v>33</v>
      </c>
      <c r="B2" s="462"/>
      <c r="C2" s="462"/>
      <c r="D2" s="740">
        <v>45992</v>
      </c>
      <c r="E2" s="740">
        <v>45809</v>
      </c>
      <c r="F2" s="740">
        <v>45627</v>
      </c>
      <c r="G2" s="740" t="s">
        <v>436</v>
      </c>
      <c r="H2" s="740" t="s">
        <v>437</v>
      </c>
    </row>
    <row r="3" spans="1:11" s="376" customFormat="1" ht="9.75" customHeight="1" x14ac:dyDescent="0.25">
      <c r="A3" s="1"/>
      <c r="D3" s="168"/>
      <c r="E3" s="24"/>
      <c r="F3" s="24"/>
    </row>
    <row r="4" spans="1:11" s="331" customFormat="1" ht="15" customHeight="1" x14ac:dyDescent="0.25">
      <c r="A4" s="331" t="s">
        <v>139</v>
      </c>
      <c r="D4" s="168"/>
      <c r="E4" s="332"/>
      <c r="F4" s="332"/>
    </row>
    <row r="5" spans="1:11" s="331" customFormat="1" ht="15" customHeight="1" x14ac:dyDescent="0.25">
      <c r="B5" s="331" t="s">
        <v>140</v>
      </c>
      <c r="D5" s="107">
        <v>63779</v>
      </c>
      <c r="E5" s="332">
        <v>57980</v>
      </c>
      <c r="F5" s="332">
        <v>70595</v>
      </c>
      <c r="G5" s="333">
        <v>10.001724732666428</v>
      </c>
      <c r="H5" s="333">
        <v>-9.6550747220058071</v>
      </c>
    </row>
    <row r="6" spans="1:11" ht="15" customHeight="1" x14ac:dyDescent="0.2">
      <c r="A6" s="323"/>
      <c r="B6" s="323"/>
      <c r="C6" s="324" t="s">
        <v>141</v>
      </c>
      <c r="D6" s="118">
        <v>945</v>
      </c>
      <c r="E6" s="226">
        <v>2949</v>
      </c>
      <c r="F6" s="226">
        <v>1209</v>
      </c>
      <c r="G6" s="212">
        <v>-67.955239064089525</v>
      </c>
      <c r="H6" s="212">
        <v>-21.836228287841188</v>
      </c>
      <c r="I6" s="323"/>
      <c r="J6" s="323"/>
      <c r="K6" s="323"/>
    </row>
    <row r="7" spans="1:11" ht="15" customHeight="1" x14ac:dyDescent="0.2">
      <c r="A7" s="323"/>
      <c r="B7" s="323"/>
      <c r="C7" s="324" t="s">
        <v>142</v>
      </c>
      <c r="D7" s="118">
        <v>31257</v>
      </c>
      <c r="E7" s="226">
        <v>25458</v>
      </c>
      <c r="F7" s="226">
        <v>38086</v>
      </c>
      <c r="G7" s="212">
        <v>22.778694320056569</v>
      </c>
      <c r="H7" s="212">
        <v>-17.930473139736392</v>
      </c>
      <c r="I7" s="323"/>
      <c r="J7" s="323"/>
      <c r="K7" s="323"/>
    </row>
    <row r="8" spans="1:11" ht="15" customHeight="1" x14ac:dyDescent="0.2">
      <c r="A8" s="323"/>
      <c r="B8" s="323"/>
      <c r="C8" s="324" t="s">
        <v>143</v>
      </c>
      <c r="D8" s="118">
        <v>23851</v>
      </c>
      <c r="E8" s="226">
        <v>21486</v>
      </c>
      <c r="F8" s="226">
        <v>21748</v>
      </c>
      <c r="G8" s="212">
        <v>11.007167457879552</v>
      </c>
      <c r="H8" s="212">
        <v>9.6698546992826984</v>
      </c>
      <c r="I8" s="323"/>
      <c r="J8" s="323"/>
      <c r="K8" s="323"/>
    </row>
    <row r="9" spans="1:11" ht="15" customHeight="1" x14ac:dyDescent="0.2">
      <c r="A9" s="323"/>
      <c r="B9" s="323"/>
      <c r="C9" s="324" t="s">
        <v>144</v>
      </c>
      <c r="D9" s="118">
        <v>1885</v>
      </c>
      <c r="E9" s="226">
        <v>1740</v>
      </c>
      <c r="F9" s="226">
        <v>1732</v>
      </c>
      <c r="G9" s="212">
        <v>8.333333333333325</v>
      </c>
      <c r="H9" s="212">
        <v>8.8337182448037019</v>
      </c>
      <c r="I9" s="776"/>
      <c r="J9" s="323"/>
      <c r="K9" s="323"/>
    </row>
    <row r="10" spans="1:11" ht="15" customHeight="1" x14ac:dyDescent="0.25">
      <c r="A10" s="323"/>
      <c r="B10" s="376"/>
      <c r="C10" s="324" t="s">
        <v>438</v>
      </c>
      <c r="D10" s="118">
        <v>5841</v>
      </c>
      <c r="E10" s="226">
        <v>6347</v>
      </c>
      <c r="F10" s="226">
        <v>7820</v>
      </c>
      <c r="G10" s="212">
        <v>-7.9722703639514725</v>
      </c>
      <c r="H10" s="212">
        <v>-25.306905370843992</v>
      </c>
      <c r="I10" s="323"/>
      <c r="J10" s="323"/>
      <c r="K10" s="323"/>
    </row>
    <row r="11" spans="1:11" ht="15" x14ac:dyDescent="0.25">
      <c r="A11" s="323"/>
      <c r="B11" s="376"/>
      <c r="C11" s="324"/>
      <c r="D11" s="103"/>
      <c r="E11" s="8"/>
      <c r="F11" s="8"/>
      <c r="G11" s="330"/>
      <c r="H11" s="351"/>
      <c r="I11" s="323"/>
      <c r="J11" s="323"/>
      <c r="K11" s="323"/>
    </row>
    <row r="12" spans="1:11" s="6" customFormat="1" ht="60" x14ac:dyDescent="0.25">
      <c r="A12" s="461"/>
      <c r="B12" s="462"/>
      <c r="C12" s="462"/>
      <c r="D12" s="740" t="s">
        <v>409</v>
      </c>
      <c r="E12" s="740" t="s">
        <v>410</v>
      </c>
      <c r="F12" s="740" t="s">
        <v>362</v>
      </c>
      <c r="G12" s="740" t="s">
        <v>433</v>
      </c>
      <c r="H12" s="740" t="s">
        <v>434</v>
      </c>
      <c r="I12" s="380" t="s">
        <v>412</v>
      </c>
      <c r="J12" s="380" t="s">
        <v>363</v>
      </c>
      <c r="K12" s="740" t="s">
        <v>435</v>
      </c>
    </row>
    <row r="13" spans="1:11" ht="15" x14ac:dyDescent="0.25">
      <c r="A13" s="328" t="s">
        <v>145</v>
      </c>
      <c r="B13" s="323"/>
      <c r="C13" s="323"/>
      <c r="D13" s="103"/>
      <c r="E13" s="8"/>
      <c r="F13" s="741"/>
      <c r="G13" s="227"/>
      <c r="H13" s="408"/>
      <c r="I13" s="103"/>
      <c r="J13" s="323"/>
      <c r="K13" s="323"/>
    </row>
    <row r="14" spans="1:11" s="331" customFormat="1" ht="15" x14ac:dyDescent="0.25">
      <c r="B14" s="331" t="s">
        <v>146</v>
      </c>
      <c r="D14" s="116">
        <v>-395</v>
      </c>
      <c r="E14" s="146">
        <v>-750</v>
      </c>
      <c r="F14" s="146">
        <v>-1196</v>
      </c>
      <c r="G14" s="212">
        <v>66.973244147157203</v>
      </c>
      <c r="H14" s="212">
        <v>47.333333333333336</v>
      </c>
      <c r="I14" s="116">
        <v>-750</v>
      </c>
      <c r="J14" s="149">
        <v>-1304</v>
      </c>
      <c r="K14" s="212">
        <v>42.484662576687114</v>
      </c>
    </row>
    <row r="15" spans="1:11" s="331" customFormat="1" ht="15" x14ac:dyDescent="0.25">
      <c r="C15" s="331" t="s">
        <v>147</v>
      </c>
      <c r="D15" s="116"/>
      <c r="E15" s="403"/>
      <c r="F15" s="146"/>
      <c r="G15" s="228"/>
      <c r="H15" s="742"/>
      <c r="I15" s="116"/>
      <c r="J15" s="149"/>
    </row>
    <row r="16" spans="1:11" s="331" customFormat="1" ht="15" x14ac:dyDescent="0.25">
      <c r="C16" s="368" t="s">
        <v>508</v>
      </c>
      <c r="D16" s="118">
        <v>-1</v>
      </c>
      <c r="E16" s="161">
        <v>0</v>
      </c>
      <c r="F16" s="161">
        <v>0</v>
      </c>
      <c r="G16" s="161" t="s">
        <v>117</v>
      </c>
      <c r="H16" s="161" t="s">
        <v>117</v>
      </c>
      <c r="I16" s="178">
        <v>-1</v>
      </c>
      <c r="J16" s="161">
        <v>0</v>
      </c>
      <c r="K16" s="161" t="s">
        <v>117</v>
      </c>
    </row>
    <row r="17" spans="1:11" x14ac:dyDescent="0.2">
      <c r="A17" s="323"/>
      <c r="B17" s="323"/>
      <c r="C17" s="368" t="s">
        <v>439</v>
      </c>
      <c r="D17" s="178">
        <v>175</v>
      </c>
      <c r="E17" s="144">
        <v>417</v>
      </c>
      <c r="F17" s="144">
        <v>345</v>
      </c>
      <c r="G17" s="212">
        <v>-49.275362318840578</v>
      </c>
      <c r="H17" s="212">
        <v>-58.033573141486805</v>
      </c>
      <c r="I17" s="118">
        <v>592</v>
      </c>
      <c r="J17" s="189">
        <v>388</v>
      </c>
      <c r="K17" s="212">
        <v>52.577319587628857</v>
      </c>
    </row>
    <row r="18" spans="1:11" x14ac:dyDescent="0.2">
      <c r="A18" s="323"/>
      <c r="B18" s="323"/>
      <c r="C18" s="368" t="s">
        <v>479</v>
      </c>
      <c r="D18" s="178">
        <v>41</v>
      </c>
      <c r="E18" s="144">
        <v>-103</v>
      </c>
      <c r="F18" s="144">
        <v>-17</v>
      </c>
      <c r="G18" s="212" t="s">
        <v>117</v>
      </c>
      <c r="H18" s="212" t="s">
        <v>117</v>
      </c>
      <c r="I18" s="118">
        <v>-62</v>
      </c>
      <c r="J18" s="189">
        <v>-76</v>
      </c>
      <c r="K18" s="212">
        <v>18.421052631578949</v>
      </c>
    </row>
    <row r="19" spans="1:11" x14ac:dyDescent="0.2">
      <c r="A19" s="323"/>
      <c r="B19" s="323"/>
      <c r="C19" s="368" t="s">
        <v>148</v>
      </c>
      <c r="D19" s="178">
        <v>-33</v>
      </c>
      <c r="E19" s="144">
        <v>-39</v>
      </c>
      <c r="F19" s="144">
        <v>3</v>
      </c>
      <c r="G19" s="212" t="s">
        <v>117</v>
      </c>
      <c r="H19" s="212">
        <v>15.384615384615385</v>
      </c>
      <c r="I19" s="118">
        <v>-72</v>
      </c>
      <c r="J19" s="189">
        <v>25</v>
      </c>
      <c r="K19" s="212" t="s">
        <v>117</v>
      </c>
    </row>
    <row r="20" spans="1:11" ht="15" x14ac:dyDescent="0.25">
      <c r="A20" s="323"/>
      <c r="B20" s="323"/>
      <c r="C20" s="331" t="s">
        <v>149</v>
      </c>
      <c r="D20" s="118"/>
      <c r="E20" s="144"/>
      <c r="F20" s="144"/>
      <c r="G20" s="228"/>
      <c r="H20" s="742"/>
      <c r="I20" s="118"/>
      <c r="J20" s="189"/>
      <c r="K20" s="212">
        <v>0</v>
      </c>
    </row>
    <row r="21" spans="1:11" x14ac:dyDescent="0.2">
      <c r="A21" s="323"/>
      <c r="B21" s="323"/>
      <c r="C21" s="368" t="s">
        <v>508</v>
      </c>
      <c r="D21" s="178">
        <v>14</v>
      </c>
      <c r="E21" s="144">
        <v>0</v>
      </c>
      <c r="F21" s="144">
        <v>0</v>
      </c>
      <c r="G21" s="212" t="s">
        <v>117</v>
      </c>
      <c r="H21" s="212" t="s">
        <v>117</v>
      </c>
      <c r="I21" s="118">
        <v>14</v>
      </c>
      <c r="J21" s="189">
        <v>2</v>
      </c>
      <c r="K21" s="212" t="s">
        <v>500</v>
      </c>
    </row>
    <row r="22" spans="1:11" x14ac:dyDescent="0.2">
      <c r="A22" s="323"/>
      <c r="B22" s="323"/>
      <c r="C22" s="368" t="s">
        <v>509</v>
      </c>
      <c r="D22" s="178">
        <v>0</v>
      </c>
      <c r="E22" s="144">
        <v>0</v>
      </c>
      <c r="F22" s="144">
        <v>0</v>
      </c>
      <c r="G22" s="212">
        <v>0</v>
      </c>
      <c r="H22" s="212">
        <v>0</v>
      </c>
      <c r="I22" s="118">
        <v>0</v>
      </c>
      <c r="J22" s="189">
        <v>-2</v>
      </c>
      <c r="K22" s="212" t="s">
        <v>117</v>
      </c>
    </row>
    <row r="23" spans="1:11" x14ac:dyDescent="0.2">
      <c r="A23" s="323"/>
      <c r="B23" s="323"/>
      <c r="C23" s="368" t="s">
        <v>440</v>
      </c>
      <c r="D23" s="178">
        <v>46</v>
      </c>
      <c r="E23" s="144">
        <v>61</v>
      </c>
      <c r="F23" s="144">
        <v>77</v>
      </c>
      <c r="G23" s="212">
        <v>-40.259740259740262</v>
      </c>
      <c r="H23" s="212">
        <v>-24.590163934426236</v>
      </c>
      <c r="I23" s="118">
        <v>107</v>
      </c>
      <c r="J23" s="189">
        <v>110</v>
      </c>
      <c r="K23" s="212">
        <v>-2.7272727272727226</v>
      </c>
    </row>
    <row r="24" spans="1:11" x14ac:dyDescent="0.2">
      <c r="A24" s="323"/>
      <c r="B24" s="323"/>
      <c r="C24" s="368" t="s">
        <v>150</v>
      </c>
      <c r="D24" s="178">
        <v>40</v>
      </c>
      <c r="E24" s="144">
        <v>19</v>
      </c>
      <c r="F24" s="144">
        <v>38</v>
      </c>
      <c r="G24" s="212">
        <v>5.2631578947368363</v>
      </c>
      <c r="H24" s="212" t="s">
        <v>500</v>
      </c>
      <c r="I24" s="118">
        <v>59</v>
      </c>
      <c r="J24" s="189">
        <v>107</v>
      </c>
      <c r="K24" s="212">
        <v>-44.859813084112155</v>
      </c>
    </row>
    <row r="25" spans="1:11" s="331" customFormat="1" ht="15" x14ac:dyDescent="0.25">
      <c r="B25" s="331" t="s">
        <v>151</v>
      </c>
      <c r="D25" s="116">
        <v>-113</v>
      </c>
      <c r="E25" s="146">
        <v>-395</v>
      </c>
      <c r="F25" s="146">
        <v>-750</v>
      </c>
      <c r="G25" s="212">
        <v>84.933333333333323</v>
      </c>
      <c r="H25" s="212">
        <v>71.392405063291136</v>
      </c>
      <c r="I25" s="116">
        <v>-113</v>
      </c>
      <c r="J25" s="149">
        <v>-750</v>
      </c>
      <c r="K25" s="212">
        <v>84.933333333333323</v>
      </c>
    </row>
    <row r="26" spans="1:11" s="331" customFormat="1" ht="15" x14ac:dyDescent="0.25">
      <c r="D26" s="116"/>
      <c r="E26" s="146"/>
      <c r="F26" s="146"/>
      <c r="G26" s="228"/>
      <c r="H26" s="742"/>
      <c r="I26" s="116"/>
      <c r="J26" s="229"/>
    </row>
    <row r="27" spans="1:11" ht="15" x14ac:dyDescent="0.25">
      <c r="A27" s="328" t="s">
        <v>152</v>
      </c>
      <c r="B27" s="323"/>
      <c r="C27" s="357"/>
      <c r="D27" s="118"/>
      <c r="E27" s="333"/>
      <c r="F27" s="144"/>
      <c r="G27" s="228"/>
      <c r="H27" s="743"/>
      <c r="I27" s="118"/>
      <c r="J27" s="229"/>
      <c r="K27" s="323"/>
    </row>
    <row r="28" spans="1:11" s="331" customFormat="1" ht="15" x14ac:dyDescent="0.25">
      <c r="B28" s="331" t="s">
        <v>153</v>
      </c>
      <c r="D28" s="116">
        <v>67</v>
      </c>
      <c r="E28" s="146">
        <v>-764</v>
      </c>
      <c r="F28" s="146">
        <v>-1492</v>
      </c>
      <c r="G28" s="212" t="s">
        <v>117</v>
      </c>
      <c r="H28" s="212" t="s">
        <v>117</v>
      </c>
      <c r="I28" s="116">
        <v>-764</v>
      </c>
      <c r="J28" s="149">
        <v>-1380</v>
      </c>
      <c r="K28" s="212">
        <v>44.637681159420296</v>
      </c>
    </row>
    <row r="29" spans="1:11" x14ac:dyDescent="0.2">
      <c r="A29" s="323"/>
      <c r="B29" s="323"/>
      <c r="C29" s="323" t="s">
        <v>441</v>
      </c>
      <c r="D29" s="178">
        <v>853</v>
      </c>
      <c r="E29" s="144">
        <v>1531</v>
      </c>
      <c r="F29" s="144">
        <v>1026</v>
      </c>
      <c r="G29" s="212">
        <v>-16.861598440545812</v>
      </c>
      <c r="H29" s="212">
        <v>-44.284781188765507</v>
      </c>
      <c r="I29" s="118">
        <v>2384</v>
      </c>
      <c r="J29" s="189">
        <v>913</v>
      </c>
      <c r="K29" s="212" t="s">
        <v>500</v>
      </c>
    </row>
    <row r="30" spans="1:11" x14ac:dyDescent="0.2">
      <c r="A30" s="323"/>
      <c r="B30" s="323"/>
      <c r="C30" s="323" t="s">
        <v>442</v>
      </c>
      <c r="D30" s="178">
        <v>-809</v>
      </c>
      <c r="E30" s="144">
        <v>-574</v>
      </c>
      <c r="F30" s="144">
        <v>-260</v>
      </c>
      <c r="G30" s="212" t="s">
        <v>501</v>
      </c>
      <c r="H30" s="212">
        <v>-40.940766550522653</v>
      </c>
      <c r="I30" s="118">
        <v>-1383</v>
      </c>
      <c r="J30" s="189">
        <v>-285</v>
      </c>
      <c r="K30" s="212" t="s">
        <v>501</v>
      </c>
    </row>
    <row r="31" spans="1:11" x14ac:dyDescent="0.2">
      <c r="A31" s="323"/>
      <c r="B31" s="323"/>
      <c r="C31" s="323" t="s">
        <v>154</v>
      </c>
      <c r="D31" s="178">
        <v>-17</v>
      </c>
      <c r="E31" s="144">
        <v>-119</v>
      </c>
      <c r="F31" s="144">
        <v>-31</v>
      </c>
      <c r="G31" s="212">
        <v>45.161290322580648</v>
      </c>
      <c r="H31" s="212">
        <v>85.714285714285722</v>
      </c>
      <c r="I31" s="118">
        <v>-136</v>
      </c>
      <c r="J31" s="189">
        <v>-3</v>
      </c>
      <c r="K31" s="212" t="s">
        <v>501</v>
      </c>
    </row>
    <row r="32" spans="1:11" x14ac:dyDescent="0.2">
      <c r="A32" s="323"/>
      <c r="B32" s="323"/>
      <c r="C32" s="368" t="s">
        <v>513</v>
      </c>
      <c r="D32" s="178">
        <v>-3</v>
      </c>
      <c r="E32" s="144">
        <v>-7</v>
      </c>
      <c r="F32" s="144">
        <v>-7</v>
      </c>
      <c r="G32" s="212">
        <v>57.142857142857139</v>
      </c>
      <c r="H32" s="212">
        <v>57.142857142857139</v>
      </c>
      <c r="I32" s="118">
        <v>-10</v>
      </c>
      <c r="J32" s="189">
        <v>-9</v>
      </c>
      <c r="K32" s="212">
        <v>-11.111111111111116</v>
      </c>
    </row>
    <row r="33" spans="2:11" s="331" customFormat="1" ht="15" x14ac:dyDescent="0.25">
      <c r="B33" s="331" t="s">
        <v>155</v>
      </c>
      <c r="D33" s="116">
        <v>91</v>
      </c>
      <c r="E33" s="146">
        <v>67</v>
      </c>
      <c r="F33" s="146">
        <v>-764</v>
      </c>
      <c r="G33" s="212" t="s">
        <v>117</v>
      </c>
      <c r="H33" s="212">
        <v>35.820895522388049</v>
      </c>
      <c r="I33" s="116">
        <v>91</v>
      </c>
      <c r="J33" s="149">
        <v>-764</v>
      </c>
      <c r="K33" s="212" t="s">
        <v>117</v>
      </c>
    </row>
    <row r="34" spans="2:11" x14ac:dyDescent="0.2">
      <c r="B34" s="323"/>
      <c r="C34" s="357"/>
      <c r="D34" s="241"/>
      <c r="E34" s="241"/>
      <c r="F34" s="463"/>
      <c r="G34" s="351"/>
      <c r="H34" s="351"/>
      <c r="I34" s="408"/>
    </row>
    <row r="35" spans="2:11" x14ac:dyDescent="0.2">
      <c r="B35" s="323"/>
      <c r="C35" s="357"/>
      <c r="D35" s="241"/>
      <c r="E35" s="241"/>
      <c r="F35" s="463"/>
      <c r="G35" s="408"/>
      <c r="H35" s="408"/>
      <c r="I35" s="408"/>
    </row>
    <row r="36" spans="2:11" s="359" customFormat="1" ht="12.75" x14ac:dyDescent="0.2">
      <c r="B36" s="70" t="s">
        <v>156</v>
      </c>
      <c r="C36" s="70" t="s">
        <v>118</v>
      </c>
      <c r="D36" s="361"/>
      <c r="E36" s="361"/>
      <c r="F36" s="361"/>
    </row>
    <row r="37" spans="2:11" x14ac:dyDescent="0.2">
      <c r="B37" s="323"/>
      <c r="C37" s="357"/>
      <c r="D37" s="329"/>
      <c r="E37" s="329"/>
      <c r="F37" s="8"/>
      <c r="G37" s="323"/>
      <c r="H37" s="323"/>
      <c r="I37" s="323"/>
    </row>
    <row r="38" spans="2:11" x14ac:dyDescent="0.2">
      <c r="B38" s="323"/>
      <c r="C38" s="357"/>
      <c r="D38" s="329"/>
      <c r="E38" s="329"/>
      <c r="F38" s="8"/>
      <c r="G38" s="323"/>
      <c r="H38" s="323"/>
      <c r="I38" s="323"/>
    </row>
    <row r="39" spans="2:11" x14ac:dyDescent="0.2">
      <c r="B39" s="323"/>
      <c r="C39" s="357"/>
      <c r="D39" s="329"/>
      <c r="E39" s="329"/>
      <c r="F39" s="8"/>
      <c r="G39" s="323"/>
      <c r="H39" s="323"/>
      <c r="I39" s="323"/>
    </row>
    <row r="40" spans="2:11" x14ac:dyDescent="0.2">
      <c r="B40" s="323"/>
      <c r="C40" s="357"/>
      <c r="D40" s="329"/>
      <c r="E40" s="329"/>
      <c r="F40" s="8"/>
      <c r="G40" s="323"/>
      <c r="H40" s="323"/>
      <c r="I40" s="323"/>
    </row>
    <row r="41" spans="2:11" x14ac:dyDescent="0.2">
      <c r="B41" s="323"/>
      <c r="C41" s="357"/>
      <c r="D41" s="329"/>
      <c r="E41" s="329"/>
      <c r="F41" s="8"/>
      <c r="G41" s="323"/>
      <c r="H41" s="323"/>
      <c r="I41" s="323"/>
    </row>
    <row r="42" spans="2:11" x14ac:dyDescent="0.2">
      <c r="B42" s="323"/>
      <c r="C42" s="357"/>
      <c r="D42" s="329"/>
      <c r="E42" s="329"/>
      <c r="F42" s="8"/>
      <c r="G42" s="323"/>
      <c r="H42" s="323"/>
      <c r="I42" s="323"/>
    </row>
    <row r="43" spans="2:11" x14ac:dyDescent="0.2">
      <c r="B43" s="323"/>
      <c r="C43" s="357"/>
      <c r="D43" s="329"/>
      <c r="E43" s="329"/>
      <c r="F43" s="8"/>
      <c r="G43" s="323"/>
      <c r="H43" s="323"/>
      <c r="I43" s="323"/>
    </row>
    <row r="44" spans="2:11" x14ac:dyDescent="0.2">
      <c r="B44" s="323"/>
      <c r="C44" s="357"/>
      <c r="D44" s="329"/>
      <c r="E44" s="329"/>
      <c r="F44" s="8"/>
      <c r="G44" s="323"/>
      <c r="H44" s="323"/>
      <c r="I44" s="323"/>
    </row>
    <row r="45" spans="2:11" x14ac:dyDescent="0.2">
      <c r="B45" s="323"/>
      <c r="C45" s="357"/>
      <c r="D45" s="329"/>
      <c r="E45" s="329"/>
      <c r="F45" s="8"/>
      <c r="G45" s="323"/>
      <c r="H45" s="323"/>
      <c r="I45" s="323"/>
    </row>
    <row r="46" spans="2:11" x14ac:dyDescent="0.2">
      <c r="B46" s="323"/>
      <c r="C46" s="357"/>
      <c r="D46" s="329"/>
      <c r="E46" s="329"/>
      <c r="F46" s="8"/>
      <c r="G46" s="323"/>
      <c r="H46" s="323"/>
      <c r="I46" s="323"/>
    </row>
    <row r="47" spans="2:11" x14ac:dyDescent="0.2">
      <c r="B47" s="323"/>
      <c r="C47" s="357"/>
      <c r="D47" s="329"/>
      <c r="E47" s="329"/>
      <c r="F47" s="8"/>
      <c r="G47" s="323"/>
      <c r="H47" s="323"/>
      <c r="I47" s="323"/>
    </row>
    <row r="48" spans="2:11" x14ac:dyDescent="0.2">
      <c r="B48" s="323"/>
      <c r="C48" s="357"/>
      <c r="D48" s="330"/>
      <c r="E48" s="330"/>
      <c r="F48" s="8"/>
      <c r="G48" s="323"/>
      <c r="H48" s="323"/>
      <c r="I48" s="323"/>
    </row>
    <row r="49" spans="2:9" x14ac:dyDescent="0.2">
      <c r="B49" s="323"/>
      <c r="C49" s="357"/>
      <c r="D49" s="330"/>
      <c r="E49" s="330"/>
      <c r="F49" s="8"/>
      <c r="G49" s="323"/>
      <c r="H49" s="323"/>
      <c r="I49" s="323"/>
    </row>
    <row r="50" spans="2:9" x14ac:dyDescent="0.2">
      <c r="D50" s="330"/>
      <c r="E50" s="330"/>
      <c r="F50" s="8"/>
    </row>
    <row r="51" spans="2:9" x14ac:dyDescent="0.2">
      <c r="D51" s="330"/>
      <c r="E51" s="330"/>
      <c r="F51" s="8"/>
    </row>
    <row r="52" spans="2:9" x14ac:dyDescent="0.2">
      <c r="D52" s="330"/>
      <c r="E52" s="330"/>
      <c r="F52" s="8"/>
    </row>
    <row r="53" spans="2:9" x14ac:dyDescent="0.2">
      <c r="D53" s="330"/>
      <c r="E53" s="330"/>
      <c r="F53" s="8"/>
    </row>
    <row r="54" spans="2:9" x14ac:dyDescent="0.2">
      <c r="D54" s="330"/>
      <c r="E54" s="330"/>
      <c r="F54" s="8"/>
    </row>
    <row r="55" spans="2:9" x14ac:dyDescent="0.2">
      <c r="D55" s="330"/>
      <c r="E55" s="330"/>
      <c r="F55" s="8"/>
    </row>
    <row r="56" spans="2:9" x14ac:dyDescent="0.2">
      <c r="D56" s="330"/>
      <c r="E56" s="330"/>
      <c r="F56" s="8"/>
    </row>
    <row r="57" spans="2:9" x14ac:dyDescent="0.2">
      <c r="D57" s="330"/>
      <c r="E57" s="330"/>
      <c r="F57" s="8"/>
    </row>
    <row r="58" spans="2:9" x14ac:dyDescent="0.2">
      <c r="D58" s="330"/>
      <c r="E58" s="330"/>
      <c r="F58" s="8"/>
    </row>
    <row r="59" spans="2:9" x14ac:dyDescent="0.2">
      <c r="D59" s="330"/>
      <c r="E59" s="330"/>
      <c r="F59" s="8"/>
    </row>
    <row r="60" spans="2:9" x14ac:dyDescent="0.2">
      <c r="D60" s="330"/>
      <c r="E60" s="330"/>
      <c r="F60" s="8"/>
    </row>
    <row r="61" spans="2:9" x14ac:dyDescent="0.2">
      <c r="D61" s="330"/>
      <c r="E61" s="330"/>
      <c r="F61" s="8"/>
    </row>
    <row r="62" spans="2:9" x14ac:dyDescent="0.2">
      <c r="D62" s="330"/>
      <c r="E62" s="330"/>
      <c r="F62" s="8"/>
    </row>
    <row r="63" spans="2:9" x14ac:dyDescent="0.2">
      <c r="D63" s="330"/>
      <c r="E63" s="330"/>
      <c r="F63" s="8"/>
    </row>
    <row r="64" spans="2:9" x14ac:dyDescent="0.2">
      <c r="D64" s="330"/>
      <c r="E64" s="330"/>
      <c r="F64" s="8"/>
    </row>
    <row r="65" spans="4:6" x14ac:dyDescent="0.2">
      <c r="D65" s="330"/>
      <c r="E65" s="330"/>
      <c r="F65" s="8"/>
    </row>
    <row r="66" spans="4:6" x14ac:dyDescent="0.2">
      <c r="D66" s="330"/>
      <c r="E66" s="330"/>
      <c r="F66" s="8"/>
    </row>
    <row r="67" spans="4:6" x14ac:dyDescent="0.2">
      <c r="D67" s="330"/>
      <c r="E67" s="330"/>
      <c r="F67" s="8"/>
    </row>
    <row r="68" spans="4:6" x14ac:dyDescent="0.2">
      <c r="D68" s="330"/>
      <c r="E68" s="330"/>
      <c r="F68" s="8"/>
    </row>
    <row r="69" spans="4:6" x14ac:dyDescent="0.2">
      <c r="D69" s="330"/>
      <c r="E69" s="330"/>
      <c r="F69" s="8"/>
    </row>
    <row r="70" spans="4:6" x14ac:dyDescent="0.2">
      <c r="D70" s="330"/>
      <c r="E70" s="330"/>
      <c r="F70" s="8"/>
    </row>
    <row r="71" spans="4:6" x14ac:dyDescent="0.2">
      <c r="D71" s="330"/>
      <c r="E71" s="330"/>
      <c r="F71" s="8"/>
    </row>
    <row r="72" spans="4:6" x14ac:dyDescent="0.2">
      <c r="D72" s="330"/>
      <c r="E72" s="330"/>
      <c r="F72" s="8"/>
    </row>
    <row r="73" spans="4:6" x14ac:dyDescent="0.2">
      <c r="D73" s="330"/>
      <c r="E73" s="330"/>
      <c r="F73" s="8"/>
    </row>
    <row r="74" spans="4:6" x14ac:dyDescent="0.2">
      <c r="D74" s="330"/>
      <c r="E74" s="330"/>
      <c r="F74" s="8"/>
    </row>
    <row r="75" spans="4:6" x14ac:dyDescent="0.2">
      <c r="D75" s="330"/>
      <c r="E75" s="330"/>
      <c r="F75" s="8"/>
    </row>
    <row r="76" spans="4:6" x14ac:dyDescent="0.2">
      <c r="D76" s="330"/>
      <c r="E76" s="330"/>
      <c r="F76" s="8"/>
    </row>
    <row r="77" spans="4:6" x14ac:dyDescent="0.2">
      <c r="D77" s="330"/>
      <c r="E77" s="330"/>
      <c r="F77" s="8"/>
    </row>
    <row r="78" spans="4:6" x14ac:dyDescent="0.2">
      <c r="D78" s="330"/>
      <c r="E78" s="330"/>
      <c r="F78" s="8"/>
    </row>
    <row r="79" spans="4:6" x14ac:dyDescent="0.2">
      <c r="D79" s="330"/>
      <c r="E79" s="330"/>
      <c r="F79" s="8"/>
    </row>
    <row r="80" spans="4:6" x14ac:dyDescent="0.2">
      <c r="D80" s="330"/>
      <c r="E80" s="330"/>
      <c r="F80" s="8"/>
    </row>
    <row r="81" spans="4:6" x14ac:dyDescent="0.2">
      <c r="D81" s="330"/>
      <c r="E81" s="330"/>
      <c r="F81" s="8"/>
    </row>
    <row r="82" spans="4:6" x14ac:dyDescent="0.2">
      <c r="D82" s="330"/>
      <c r="E82" s="330"/>
      <c r="F82" s="8"/>
    </row>
    <row r="83" spans="4:6" x14ac:dyDescent="0.2">
      <c r="D83" s="330"/>
      <c r="E83" s="330"/>
      <c r="F83" s="8"/>
    </row>
    <row r="84" spans="4:6" x14ac:dyDescent="0.2">
      <c r="D84" s="330"/>
      <c r="E84" s="330"/>
      <c r="F84" s="8"/>
    </row>
    <row r="85" spans="4:6" x14ac:dyDescent="0.2">
      <c r="D85" s="330"/>
      <c r="E85" s="330"/>
      <c r="F85" s="8"/>
    </row>
    <row r="86" spans="4:6" x14ac:dyDescent="0.2">
      <c r="D86" s="330"/>
      <c r="E86" s="330"/>
      <c r="F86" s="8"/>
    </row>
    <row r="87" spans="4:6" x14ac:dyDescent="0.2">
      <c r="D87" s="330"/>
      <c r="E87" s="330"/>
      <c r="F87" s="8"/>
    </row>
    <row r="88" spans="4:6" x14ac:dyDescent="0.2">
      <c r="D88" s="330"/>
      <c r="E88" s="330"/>
      <c r="F88" s="8"/>
    </row>
    <row r="89" spans="4:6" x14ac:dyDescent="0.2">
      <c r="D89" s="330"/>
      <c r="E89" s="330"/>
      <c r="F89" s="8"/>
    </row>
    <row r="90" spans="4:6" x14ac:dyDescent="0.2">
      <c r="D90" s="330"/>
      <c r="E90" s="330"/>
      <c r="F90" s="8"/>
    </row>
    <row r="91" spans="4:6" x14ac:dyDescent="0.2">
      <c r="D91" s="330"/>
      <c r="E91" s="330"/>
      <c r="F91" s="8"/>
    </row>
    <row r="92" spans="4:6" x14ac:dyDescent="0.2">
      <c r="D92" s="330"/>
      <c r="E92" s="330"/>
      <c r="F92" s="8"/>
    </row>
    <row r="93" spans="4:6" x14ac:dyDescent="0.2">
      <c r="D93" s="330"/>
      <c r="E93" s="330"/>
      <c r="F93" s="8"/>
    </row>
    <row r="94" spans="4:6" x14ac:dyDescent="0.2">
      <c r="D94" s="330"/>
      <c r="E94" s="330"/>
      <c r="F94" s="8"/>
    </row>
    <row r="95" spans="4:6" x14ac:dyDescent="0.2">
      <c r="D95" s="330"/>
      <c r="E95" s="330"/>
      <c r="F95" s="8"/>
    </row>
    <row r="96" spans="4:6" x14ac:dyDescent="0.2">
      <c r="D96" s="330"/>
      <c r="E96" s="330"/>
      <c r="F96" s="8"/>
    </row>
    <row r="97" spans="4:6" x14ac:dyDescent="0.2">
      <c r="D97" s="330"/>
      <c r="E97" s="330"/>
      <c r="F97" s="8"/>
    </row>
    <row r="98" spans="4:6" x14ac:dyDescent="0.2">
      <c r="D98" s="330"/>
      <c r="E98" s="330"/>
      <c r="F98" s="8"/>
    </row>
    <row r="99" spans="4:6" x14ac:dyDescent="0.2">
      <c r="D99" s="330"/>
      <c r="E99" s="330"/>
      <c r="F99" s="8"/>
    </row>
    <row r="100" spans="4:6" x14ac:dyDescent="0.2">
      <c r="D100" s="330"/>
      <c r="E100" s="330"/>
      <c r="F100" s="8"/>
    </row>
    <row r="101" spans="4:6" x14ac:dyDescent="0.2">
      <c r="D101" s="330"/>
      <c r="E101" s="330"/>
      <c r="F101" s="8"/>
    </row>
    <row r="102" spans="4:6" x14ac:dyDescent="0.2">
      <c r="D102" s="330"/>
      <c r="E102" s="330"/>
      <c r="F102" s="8"/>
    </row>
    <row r="103" spans="4:6" x14ac:dyDescent="0.2">
      <c r="D103" s="330"/>
      <c r="E103" s="330"/>
      <c r="F103" s="8"/>
    </row>
    <row r="104" spans="4:6" x14ac:dyDescent="0.2">
      <c r="D104" s="330"/>
      <c r="E104" s="330"/>
      <c r="F104" s="8"/>
    </row>
    <row r="105" spans="4:6" x14ac:dyDescent="0.2">
      <c r="D105" s="330"/>
      <c r="E105" s="330"/>
      <c r="F105" s="8"/>
    </row>
    <row r="106" spans="4:6" x14ac:dyDescent="0.2">
      <c r="D106" s="330"/>
      <c r="E106" s="330"/>
      <c r="F106" s="8"/>
    </row>
    <row r="107" spans="4:6" x14ac:dyDescent="0.2">
      <c r="D107" s="330"/>
      <c r="E107" s="330"/>
      <c r="F107" s="8"/>
    </row>
    <row r="108" spans="4:6" x14ac:dyDescent="0.2">
      <c r="D108" s="330"/>
      <c r="E108" s="330"/>
      <c r="F108" s="8"/>
    </row>
    <row r="109" spans="4:6" x14ac:dyDescent="0.2">
      <c r="D109" s="330"/>
      <c r="E109" s="330"/>
      <c r="F109" s="8"/>
    </row>
    <row r="110" spans="4:6" x14ac:dyDescent="0.2">
      <c r="D110" s="330"/>
      <c r="E110" s="330"/>
      <c r="F110" s="8"/>
    </row>
    <row r="111" spans="4:6" x14ac:dyDescent="0.2">
      <c r="D111" s="330"/>
      <c r="E111" s="330"/>
      <c r="F111" s="8"/>
    </row>
    <row r="112" spans="4:6" x14ac:dyDescent="0.2">
      <c r="D112" s="330"/>
      <c r="E112" s="330"/>
      <c r="F112" s="8"/>
    </row>
    <row r="113" spans="4:6" x14ac:dyDescent="0.2">
      <c r="D113" s="330"/>
      <c r="E113" s="330"/>
      <c r="F113" s="8"/>
    </row>
    <row r="114" spans="4:6" x14ac:dyDescent="0.2">
      <c r="D114" s="330"/>
      <c r="E114" s="330"/>
      <c r="F114" s="8"/>
    </row>
    <row r="115" spans="4:6" x14ac:dyDescent="0.2">
      <c r="D115" s="330"/>
      <c r="E115" s="330"/>
      <c r="F115" s="8"/>
    </row>
    <row r="116" spans="4:6" x14ac:dyDescent="0.2">
      <c r="D116" s="330"/>
      <c r="E116" s="330"/>
      <c r="F116" s="8"/>
    </row>
    <row r="117" spans="4:6" x14ac:dyDescent="0.2">
      <c r="D117" s="330"/>
      <c r="E117" s="330"/>
      <c r="F117" s="8"/>
    </row>
    <row r="118" spans="4:6" x14ac:dyDescent="0.2">
      <c r="D118" s="330"/>
      <c r="E118" s="330"/>
      <c r="F118" s="8"/>
    </row>
    <row r="119" spans="4:6" x14ac:dyDescent="0.2">
      <c r="D119" s="330"/>
      <c r="E119" s="330"/>
      <c r="F119" s="8"/>
    </row>
    <row r="120" spans="4:6" x14ac:dyDescent="0.2">
      <c r="D120" s="330"/>
      <c r="E120" s="330"/>
      <c r="F120" s="8"/>
    </row>
    <row r="121" spans="4:6" x14ac:dyDescent="0.2">
      <c r="D121" s="330"/>
      <c r="E121" s="330"/>
      <c r="F121" s="8"/>
    </row>
    <row r="122" spans="4:6" x14ac:dyDescent="0.2">
      <c r="D122" s="330"/>
      <c r="E122" s="330"/>
      <c r="F122" s="8"/>
    </row>
    <row r="123" spans="4:6" x14ac:dyDescent="0.2">
      <c r="D123" s="330"/>
      <c r="E123" s="330"/>
      <c r="F123" s="8"/>
    </row>
    <row r="124" spans="4:6" x14ac:dyDescent="0.2">
      <c r="D124" s="330"/>
      <c r="E124" s="330"/>
      <c r="F124" s="8"/>
    </row>
    <row r="125" spans="4:6" x14ac:dyDescent="0.2">
      <c r="D125" s="330"/>
      <c r="E125" s="330"/>
      <c r="F125" s="8"/>
    </row>
    <row r="126" spans="4:6" x14ac:dyDescent="0.2">
      <c r="D126" s="330"/>
      <c r="E126" s="330"/>
      <c r="F126" s="8"/>
    </row>
    <row r="127" spans="4:6" x14ac:dyDescent="0.2">
      <c r="D127" s="330"/>
      <c r="E127" s="330"/>
      <c r="F127" s="8"/>
    </row>
    <row r="128" spans="4:6" x14ac:dyDescent="0.2">
      <c r="D128" s="330"/>
      <c r="E128" s="330"/>
      <c r="F128" s="8"/>
    </row>
    <row r="129" spans="4:6" x14ac:dyDescent="0.2">
      <c r="D129" s="330"/>
      <c r="E129" s="330"/>
      <c r="F129" s="8"/>
    </row>
    <row r="130" spans="4:6" x14ac:dyDescent="0.2">
      <c r="D130" s="330"/>
      <c r="E130" s="330"/>
      <c r="F130" s="8"/>
    </row>
    <row r="131" spans="4:6" x14ac:dyDescent="0.2">
      <c r="D131" s="330"/>
      <c r="E131" s="330"/>
      <c r="F131" s="8"/>
    </row>
    <row r="132" spans="4:6" x14ac:dyDescent="0.2">
      <c r="D132" s="330"/>
      <c r="E132" s="330"/>
      <c r="F132" s="8"/>
    </row>
    <row r="133" spans="4:6" x14ac:dyDescent="0.2">
      <c r="D133" s="330"/>
      <c r="E133" s="330"/>
      <c r="F133" s="8"/>
    </row>
    <row r="134" spans="4:6" x14ac:dyDescent="0.2">
      <c r="D134" s="330"/>
      <c r="E134" s="330"/>
      <c r="F134" s="8"/>
    </row>
    <row r="135" spans="4:6" x14ac:dyDescent="0.2">
      <c r="D135" s="330"/>
      <c r="E135" s="330"/>
      <c r="F135" s="8"/>
    </row>
    <row r="136" spans="4:6" x14ac:dyDescent="0.2">
      <c r="D136" s="330"/>
      <c r="E136" s="330"/>
      <c r="F136" s="8"/>
    </row>
    <row r="137" spans="4:6" x14ac:dyDescent="0.2">
      <c r="D137" s="330"/>
      <c r="E137" s="330"/>
      <c r="F137" s="8"/>
    </row>
    <row r="138" spans="4:6" x14ac:dyDescent="0.2">
      <c r="D138" s="330"/>
      <c r="E138" s="330"/>
      <c r="F138" s="8"/>
    </row>
    <row r="139" spans="4:6" x14ac:dyDescent="0.2">
      <c r="D139" s="330"/>
      <c r="E139" s="330"/>
      <c r="F139" s="8"/>
    </row>
    <row r="140" spans="4:6" x14ac:dyDescent="0.2">
      <c r="D140" s="330"/>
      <c r="E140" s="330"/>
      <c r="F140" s="8"/>
    </row>
    <row r="141" spans="4:6" x14ac:dyDescent="0.2">
      <c r="D141" s="330"/>
      <c r="E141" s="330"/>
      <c r="F141" s="8"/>
    </row>
    <row r="142" spans="4:6" x14ac:dyDescent="0.2">
      <c r="D142" s="330"/>
      <c r="E142" s="330"/>
      <c r="F142" s="8"/>
    </row>
    <row r="143" spans="4:6" x14ac:dyDescent="0.2">
      <c r="D143" s="330"/>
      <c r="E143" s="330"/>
      <c r="F143" s="8"/>
    </row>
    <row r="144" spans="4:6" x14ac:dyDescent="0.2">
      <c r="D144" s="330"/>
      <c r="E144" s="330"/>
      <c r="F144" s="8"/>
    </row>
    <row r="145" spans="4:6" x14ac:dyDescent="0.2">
      <c r="D145" s="330"/>
      <c r="E145" s="330"/>
      <c r="F145" s="8"/>
    </row>
    <row r="146" spans="4:6" x14ac:dyDescent="0.2">
      <c r="D146" s="330"/>
      <c r="E146" s="330"/>
      <c r="F146" s="8"/>
    </row>
    <row r="147" spans="4:6" x14ac:dyDescent="0.2">
      <c r="D147" s="330"/>
      <c r="E147" s="330"/>
      <c r="F147" s="8"/>
    </row>
    <row r="148" spans="4:6" x14ac:dyDescent="0.2">
      <c r="D148" s="330"/>
      <c r="E148" s="330"/>
      <c r="F148" s="8"/>
    </row>
    <row r="149" spans="4:6" x14ac:dyDescent="0.2">
      <c r="D149" s="330"/>
      <c r="E149" s="330"/>
      <c r="F149" s="8"/>
    </row>
    <row r="150" spans="4:6" x14ac:dyDescent="0.2">
      <c r="D150" s="330"/>
      <c r="E150" s="330"/>
      <c r="F150" s="8"/>
    </row>
    <row r="151" spans="4:6" x14ac:dyDescent="0.2">
      <c r="D151" s="330"/>
      <c r="E151" s="330"/>
      <c r="F151" s="8"/>
    </row>
    <row r="152" spans="4:6" x14ac:dyDescent="0.2">
      <c r="D152" s="330"/>
      <c r="E152" s="330"/>
      <c r="F152" s="8"/>
    </row>
    <row r="153" spans="4:6" x14ac:dyDescent="0.2">
      <c r="D153" s="460"/>
      <c r="E153" s="460"/>
      <c r="F153" s="8"/>
    </row>
    <row r="154" spans="4:6" x14ac:dyDescent="0.2">
      <c r="D154" s="460"/>
      <c r="E154" s="460"/>
      <c r="F154" s="8"/>
    </row>
    <row r="155" spans="4:6" x14ac:dyDescent="0.2">
      <c r="D155" s="460"/>
      <c r="E155" s="460"/>
      <c r="F155" s="8"/>
    </row>
    <row r="156" spans="4:6" x14ac:dyDescent="0.2">
      <c r="D156" s="460"/>
      <c r="E156" s="460"/>
      <c r="F156" s="8"/>
    </row>
    <row r="157" spans="4:6" x14ac:dyDescent="0.2">
      <c r="D157" s="460"/>
      <c r="E157" s="460"/>
      <c r="F157" s="8"/>
    </row>
    <row r="158" spans="4:6" x14ac:dyDescent="0.2">
      <c r="D158" s="460"/>
      <c r="E158" s="460"/>
      <c r="F158" s="8"/>
    </row>
  </sheetData>
  <phoneticPr fontId="2" type="noConversion"/>
  <hyperlinks>
    <hyperlink ref="A2" location="Index!A1" display="Back to Index" xr:uid="{08BEB8A3-1603-4C6F-9E57-F7105662D436}"/>
  </hyperlinks>
  <pageMargins left="0.75" right="0.75" top="1" bottom="1" header="0.5" footer="0.5"/>
  <pageSetup scale="7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6BD5-4AD3-4ABF-B1BE-F832BD9887F3}">
  <sheetPr>
    <tabColor rgb="FFFFCC99"/>
    <pageSetUpPr fitToPage="1"/>
  </sheetPr>
  <dimension ref="A1:L46"/>
  <sheetViews>
    <sheetView showGridLines="0" zoomScale="85" zoomScaleNormal="85" workbookViewId="0"/>
  </sheetViews>
  <sheetFormatPr defaultColWidth="9.42578125" defaultRowHeight="14.25" x14ac:dyDescent="0.2"/>
  <cols>
    <col min="1" max="2" width="2.42578125" style="412" customWidth="1"/>
    <col min="3" max="3" width="38.42578125" style="424" customWidth="1"/>
    <col min="4" max="6" width="11.42578125" style="459" customWidth="1"/>
    <col min="7" max="8" width="11.42578125" style="472" customWidth="1"/>
    <col min="9" max="16384" width="9.42578125" style="412"/>
  </cols>
  <sheetData>
    <row r="1" spans="1:12" s="4" customFormat="1" ht="20.25" x14ac:dyDescent="0.3">
      <c r="A1" s="3" t="s">
        <v>11</v>
      </c>
      <c r="D1" s="366"/>
      <c r="E1" s="366"/>
      <c r="F1" s="366"/>
      <c r="G1" s="464"/>
      <c r="H1" s="464"/>
    </row>
    <row r="2" spans="1:12" s="6" customFormat="1" ht="60" x14ac:dyDescent="0.25">
      <c r="A2" s="781" t="s">
        <v>33</v>
      </c>
      <c r="B2" s="781"/>
      <c r="C2" s="781"/>
      <c r="D2" s="465">
        <v>45992</v>
      </c>
      <c r="E2" s="465">
        <v>45809</v>
      </c>
      <c r="F2" s="465">
        <v>45627</v>
      </c>
      <c r="G2" s="446" t="s">
        <v>436</v>
      </c>
      <c r="H2" s="446" t="s">
        <v>437</v>
      </c>
    </row>
    <row r="3" spans="1:12" s="376" customFormat="1" ht="6.75" customHeight="1" x14ac:dyDescent="0.25">
      <c r="A3" s="1"/>
      <c r="D3" s="168"/>
      <c r="E3" s="466"/>
      <c r="F3" s="466"/>
      <c r="G3" s="230"/>
      <c r="H3" s="230"/>
    </row>
    <row r="4" spans="1:12" s="376" customFormat="1" ht="14.25" customHeight="1" x14ac:dyDescent="0.25">
      <c r="A4" s="352" t="s">
        <v>157</v>
      </c>
      <c r="D4" s="168"/>
      <c r="E4" s="332"/>
      <c r="F4" s="332"/>
      <c r="G4" s="230"/>
      <c r="H4" s="230"/>
      <c r="J4" s="323"/>
      <c r="K4" s="323"/>
      <c r="L4" s="323"/>
    </row>
    <row r="5" spans="1:12" s="331" customFormat="1" ht="15" x14ac:dyDescent="0.25">
      <c r="A5" s="376" t="s">
        <v>354</v>
      </c>
      <c r="D5" s="107">
        <v>610023</v>
      </c>
      <c r="E5" s="332">
        <v>573965</v>
      </c>
      <c r="F5" s="332">
        <v>561730</v>
      </c>
      <c r="G5" s="333">
        <v>6.2822645980155523</v>
      </c>
      <c r="H5" s="333">
        <v>8.5971908212130401</v>
      </c>
      <c r="I5" s="323"/>
      <c r="J5" s="323"/>
      <c r="K5" s="323"/>
      <c r="L5" s="323"/>
    </row>
    <row r="6" spans="1:12" s="331" customFormat="1" ht="15" x14ac:dyDescent="0.25">
      <c r="B6" s="376" t="s">
        <v>133</v>
      </c>
      <c r="D6" s="107">
        <v>230646</v>
      </c>
      <c r="E6" s="332">
        <v>215550</v>
      </c>
      <c r="F6" s="332">
        <v>204704</v>
      </c>
      <c r="G6" s="333">
        <v>7.0034794711203885</v>
      </c>
      <c r="H6" s="333">
        <v>12.672932624667821</v>
      </c>
      <c r="I6" s="323"/>
      <c r="J6" s="467"/>
      <c r="K6" s="323"/>
      <c r="L6" s="323"/>
    </row>
    <row r="7" spans="1:12" x14ac:dyDescent="0.2">
      <c r="A7" s="323"/>
      <c r="B7" s="324"/>
      <c r="C7" s="323" t="s">
        <v>158</v>
      </c>
      <c r="D7" s="133">
        <v>32837</v>
      </c>
      <c r="E7" s="8">
        <v>35316</v>
      </c>
      <c r="F7" s="8">
        <v>35249</v>
      </c>
      <c r="G7" s="333">
        <v>-7.0194812549552621</v>
      </c>
      <c r="H7" s="333">
        <v>-6.8427473119804798</v>
      </c>
      <c r="I7" s="323"/>
      <c r="J7" s="467"/>
      <c r="K7" s="323"/>
      <c r="L7" s="323"/>
    </row>
    <row r="8" spans="1:12" x14ac:dyDescent="0.2">
      <c r="A8" s="323"/>
      <c r="B8" s="324"/>
      <c r="C8" s="323" t="s">
        <v>159</v>
      </c>
      <c r="D8" s="133">
        <v>153918</v>
      </c>
      <c r="E8" s="8">
        <v>140565</v>
      </c>
      <c r="F8" s="8">
        <v>132949</v>
      </c>
      <c r="G8" s="333">
        <v>9.4995197951125867</v>
      </c>
      <c r="H8" s="333">
        <v>15.772213405140324</v>
      </c>
      <c r="I8" s="323"/>
      <c r="J8" s="467"/>
      <c r="K8" s="323"/>
      <c r="L8" s="323"/>
    </row>
    <row r="9" spans="1:12" x14ac:dyDescent="0.2">
      <c r="A9" s="323"/>
      <c r="B9" s="324"/>
      <c r="C9" s="323" t="s">
        <v>160</v>
      </c>
      <c r="D9" s="133">
        <v>43573</v>
      </c>
      <c r="E9" s="8">
        <v>39556</v>
      </c>
      <c r="F9" s="8">
        <v>36359</v>
      </c>
      <c r="G9" s="333">
        <v>10.15522297502276</v>
      </c>
      <c r="H9" s="333">
        <v>19.841029731290739</v>
      </c>
      <c r="I9" s="323"/>
      <c r="J9" s="467"/>
      <c r="K9" s="323"/>
      <c r="L9" s="323"/>
    </row>
    <row r="10" spans="1:12" x14ac:dyDescent="0.2">
      <c r="A10" s="323"/>
      <c r="B10" s="323"/>
      <c r="C10" s="339" t="s">
        <v>23</v>
      </c>
      <c r="D10" s="133">
        <v>318</v>
      </c>
      <c r="E10" s="8">
        <v>113</v>
      </c>
      <c r="F10" s="8">
        <v>147</v>
      </c>
      <c r="G10" s="333" t="s">
        <v>500</v>
      </c>
      <c r="H10" s="333" t="s">
        <v>500</v>
      </c>
      <c r="I10" s="323"/>
      <c r="J10" s="467"/>
      <c r="K10" s="323"/>
      <c r="L10" s="323"/>
    </row>
    <row r="11" spans="1:12" s="376" customFormat="1" ht="14.25" customHeight="1" x14ac:dyDescent="0.25">
      <c r="B11" s="376" t="s">
        <v>134</v>
      </c>
      <c r="D11" s="107">
        <v>241063</v>
      </c>
      <c r="E11" s="332">
        <v>220143</v>
      </c>
      <c r="F11" s="332">
        <v>223732</v>
      </c>
      <c r="G11" s="333">
        <v>9.5029140149811795</v>
      </c>
      <c r="H11" s="333">
        <v>7.7463214917848244</v>
      </c>
      <c r="I11" s="323"/>
      <c r="J11" s="467"/>
      <c r="K11" s="323"/>
      <c r="L11" s="323"/>
    </row>
    <row r="12" spans="1:12" x14ac:dyDescent="0.2">
      <c r="A12" s="323"/>
      <c r="B12" s="324"/>
      <c r="C12" s="323" t="s">
        <v>158</v>
      </c>
      <c r="D12" s="133">
        <v>157800</v>
      </c>
      <c r="E12" s="8">
        <v>148331</v>
      </c>
      <c r="F12" s="8">
        <v>147045</v>
      </c>
      <c r="G12" s="333">
        <v>6.3836959233066537</v>
      </c>
      <c r="H12" s="333">
        <v>7.3140875242272863</v>
      </c>
      <c r="I12" s="323"/>
      <c r="J12" s="467"/>
      <c r="K12" s="323"/>
      <c r="L12" s="323"/>
    </row>
    <row r="13" spans="1:12" x14ac:dyDescent="0.2">
      <c r="A13" s="323"/>
      <c r="B13" s="324"/>
      <c r="C13" s="323" t="s">
        <v>159</v>
      </c>
      <c r="D13" s="133">
        <v>27713</v>
      </c>
      <c r="E13" s="8">
        <v>24791</v>
      </c>
      <c r="F13" s="8">
        <v>25817</v>
      </c>
      <c r="G13" s="333">
        <v>11.786535436247014</v>
      </c>
      <c r="H13" s="333">
        <v>7.3439981407599664</v>
      </c>
      <c r="I13" s="323"/>
      <c r="J13" s="467"/>
      <c r="K13" s="323"/>
      <c r="L13" s="323"/>
    </row>
    <row r="14" spans="1:12" x14ac:dyDescent="0.2">
      <c r="A14" s="323"/>
      <c r="B14" s="324"/>
      <c r="C14" s="323" t="s">
        <v>160</v>
      </c>
      <c r="D14" s="133">
        <v>53731</v>
      </c>
      <c r="E14" s="8">
        <v>45294</v>
      </c>
      <c r="F14" s="8">
        <v>48937</v>
      </c>
      <c r="G14" s="333">
        <v>18.627191239457773</v>
      </c>
      <c r="H14" s="333">
        <v>9.7962686719659899</v>
      </c>
      <c r="I14" s="323"/>
      <c r="J14" s="467"/>
      <c r="K14" s="323"/>
      <c r="L14" s="323"/>
    </row>
    <row r="15" spans="1:12" x14ac:dyDescent="0.2">
      <c r="A15" s="323"/>
      <c r="B15" s="323"/>
      <c r="C15" s="339" t="s">
        <v>23</v>
      </c>
      <c r="D15" s="133">
        <v>1819</v>
      </c>
      <c r="E15" s="8">
        <v>1727</v>
      </c>
      <c r="F15" s="8">
        <v>1933</v>
      </c>
      <c r="G15" s="333">
        <v>5.3271569195135982</v>
      </c>
      <c r="H15" s="333">
        <v>-5.8975685463010912</v>
      </c>
      <c r="I15" s="323"/>
      <c r="J15" s="467"/>
      <c r="K15" s="323"/>
      <c r="L15" s="323"/>
    </row>
    <row r="16" spans="1:12" s="331" customFormat="1" ht="15" x14ac:dyDescent="0.25">
      <c r="B16" s="331" t="s">
        <v>135</v>
      </c>
      <c r="D16" s="107">
        <v>32181</v>
      </c>
      <c r="E16" s="332">
        <v>34850</v>
      </c>
      <c r="F16" s="332">
        <v>33464</v>
      </c>
      <c r="G16" s="333">
        <v>-7.6585365853658498</v>
      </c>
      <c r="H16" s="333">
        <v>-3.8339708343294254</v>
      </c>
      <c r="I16" s="323"/>
      <c r="J16" s="467"/>
      <c r="K16" s="323"/>
      <c r="L16" s="323"/>
    </row>
    <row r="17" spans="2:12" x14ac:dyDescent="0.2">
      <c r="B17" s="324"/>
      <c r="C17" s="323" t="s">
        <v>158</v>
      </c>
      <c r="D17" s="133">
        <v>14601</v>
      </c>
      <c r="E17" s="8">
        <v>15885</v>
      </c>
      <c r="F17" s="8">
        <v>17746</v>
      </c>
      <c r="G17" s="333">
        <v>-8.0830972615675183</v>
      </c>
      <c r="H17" s="333">
        <v>-17.722303617716673</v>
      </c>
      <c r="I17" s="323"/>
      <c r="J17" s="467"/>
      <c r="K17" s="323"/>
      <c r="L17" s="323"/>
    </row>
    <row r="18" spans="2:12" x14ac:dyDescent="0.2">
      <c r="B18" s="324"/>
      <c r="C18" s="323" t="s">
        <v>159</v>
      </c>
      <c r="D18" s="133">
        <v>9646</v>
      </c>
      <c r="E18" s="8">
        <v>9941</v>
      </c>
      <c r="F18" s="8">
        <v>7914</v>
      </c>
      <c r="G18" s="333">
        <v>-2.9675082989638835</v>
      </c>
      <c r="H18" s="333">
        <v>21.885266616123332</v>
      </c>
      <c r="I18" s="323"/>
      <c r="J18" s="467"/>
      <c r="K18" s="323"/>
      <c r="L18" s="323"/>
    </row>
    <row r="19" spans="2:12" x14ac:dyDescent="0.2">
      <c r="B19" s="324"/>
      <c r="C19" s="323" t="s">
        <v>160</v>
      </c>
      <c r="D19" s="133">
        <v>7594</v>
      </c>
      <c r="E19" s="8">
        <v>8852</v>
      </c>
      <c r="F19" s="8">
        <v>7652</v>
      </c>
      <c r="G19" s="333">
        <v>-14.211477632173519</v>
      </c>
      <c r="H19" s="333">
        <v>-0.75797177208573041</v>
      </c>
      <c r="I19" s="323"/>
      <c r="J19" s="467"/>
      <c r="K19" s="323"/>
      <c r="L19" s="323"/>
    </row>
    <row r="20" spans="2:12" x14ac:dyDescent="0.2">
      <c r="B20" s="323"/>
      <c r="C20" s="339" t="s">
        <v>23</v>
      </c>
      <c r="D20" s="133">
        <v>340</v>
      </c>
      <c r="E20" s="8">
        <v>172</v>
      </c>
      <c r="F20" s="8">
        <v>152</v>
      </c>
      <c r="G20" s="333">
        <v>97.674418604651152</v>
      </c>
      <c r="H20" s="333" t="s">
        <v>500</v>
      </c>
      <c r="I20" s="323"/>
      <c r="J20" s="467"/>
      <c r="K20" s="323"/>
      <c r="L20" s="323"/>
    </row>
    <row r="21" spans="2:12" s="331" customFormat="1" ht="15" x14ac:dyDescent="0.25">
      <c r="B21" s="331" t="s">
        <v>432</v>
      </c>
      <c r="D21" s="107">
        <v>22413</v>
      </c>
      <c r="E21" s="332">
        <v>22790</v>
      </c>
      <c r="F21" s="332">
        <v>20245</v>
      </c>
      <c r="G21" s="333">
        <v>-1.6542343132952997</v>
      </c>
      <c r="H21" s="333">
        <v>10.708816991849845</v>
      </c>
      <c r="I21" s="323"/>
      <c r="J21" s="467"/>
      <c r="K21" s="323"/>
      <c r="L21" s="323"/>
    </row>
    <row r="22" spans="2:12" x14ac:dyDescent="0.2">
      <c r="B22" s="324"/>
      <c r="C22" s="323" t="s">
        <v>158</v>
      </c>
      <c r="D22" s="133">
        <v>16395</v>
      </c>
      <c r="E22" s="8">
        <v>16635</v>
      </c>
      <c r="F22" s="8">
        <v>14595</v>
      </c>
      <c r="G22" s="333">
        <v>-1.4427412082957614</v>
      </c>
      <c r="H22" s="333">
        <v>12.332990750256933</v>
      </c>
      <c r="I22" s="323"/>
      <c r="J22" s="467"/>
      <c r="K22" s="323"/>
      <c r="L22" s="323"/>
    </row>
    <row r="23" spans="2:12" x14ac:dyDescent="0.2">
      <c r="B23" s="324"/>
      <c r="C23" s="323" t="s">
        <v>159</v>
      </c>
      <c r="D23" s="133">
        <v>5986</v>
      </c>
      <c r="E23" s="8">
        <v>6123</v>
      </c>
      <c r="F23" s="8">
        <v>5616</v>
      </c>
      <c r="G23" s="333">
        <v>-2.2374652947901308</v>
      </c>
      <c r="H23" s="333">
        <v>6.5883190883190945</v>
      </c>
      <c r="I23" s="323"/>
      <c r="J23" s="467"/>
      <c r="K23" s="323"/>
      <c r="L23" s="323"/>
    </row>
    <row r="24" spans="2:12" x14ac:dyDescent="0.2">
      <c r="B24" s="324"/>
      <c r="C24" s="323" t="s">
        <v>160</v>
      </c>
      <c r="D24" s="133">
        <v>31</v>
      </c>
      <c r="E24" s="8">
        <v>32</v>
      </c>
      <c r="F24" s="8">
        <v>34</v>
      </c>
      <c r="G24" s="333">
        <v>-3.125</v>
      </c>
      <c r="H24" s="333">
        <v>-8.8235294117647083</v>
      </c>
      <c r="I24" s="323"/>
      <c r="J24" s="467"/>
      <c r="K24" s="323"/>
      <c r="L24" s="323"/>
    </row>
    <row r="25" spans="2:12" x14ac:dyDescent="0.2">
      <c r="B25" s="323"/>
      <c r="C25" s="339" t="s">
        <v>23</v>
      </c>
      <c r="D25" s="133">
        <v>1</v>
      </c>
      <c r="E25" s="8" t="s">
        <v>444</v>
      </c>
      <c r="F25" s="8" t="s">
        <v>444</v>
      </c>
      <c r="G25" s="333" t="s">
        <v>117</v>
      </c>
      <c r="H25" s="333" t="s">
        <v>117</v>
      </c>
      <c r="I25" s="323"/>
      <c r="J25" s="467"/>
      <c r="K25" s="323"/>
      <c r="L25" s="323"/>
    </row>
    <row r="26" spans="2:12" s="331" customFormat="1" ht="15" x14ac:dyDescent="0.25">
      <c r="B26" s="331" t="s">
        <v>136</v>
      </c>
      <c r="D26" s="107">
        <v>27632</v>
      </c>
      <c r="E26" s="332">
        <v>22548</v>
      </c>
      <c r="F26" s="332">
        <v>19840</v>
      </c>
      <c r="G26" s="333">
        <v>22.547454319673577</v>
      </c>
      <c r="H26" s="333">
        <v>39.274193548387103</v>
      </c>
      <c r="I26" s="323"/>
      <c r="J26" s="467"/>
      <c r="K26" s="323"/>
      <c r="L26" s="323"/>
    </row>
    <row r="27" spans="2:12" x14ac:dyDescent="0.2">
      <c r="B27" s="324"/>
      <c r="C27" s="323" t="s">
        <v>158</v>
      </c>
      <c r="D27" s="133">
        <v>13339</v>
      </c>
      <c r="E27" s="8">
        <v>12244</v>
      </c>
      <c r="F27" s="8">
        <v>9973</v>
      </c>
      <c r="G27" s="333">
        <v>8.9431558314276405</v>
      </c>
      <c r="H27" s="333">
        <v>33.751128045723448</v>
      </c>
      <c r="I27" s="323"/>
      <c r="J27" s="468"/>
      <c r="K27" s="323"/>
      <c r="L27" s="323"/>
    </row>
    <row r="28" spans="2:12" x14ac:dyDescent="0.2">
      <c r="B28" s="324"/>
      <c r="C28" s="323" t="s">
        <v>159</v>
      </c>
      <c r="D28" s="133">
        <v>3719</v>
      </c>
      <c r="E28" s="8">
        <v>2393</v>
      </c>
      <c r="F28" s="8">
        <v>2754</v>
      </c>
      <c r="G28" s="333">
        <v>55.411617216882568</v>
      </c>
      <c r="H28" s="333">
        <v>35.039941902686998</v>
      </c>
      <c r="I28" s="323"/>
      <c r="J28" s="467"/>
      <c r="K28" s="323"/>
      <c r="L28" s="323"/>
    </row>
    <row r="29" spans="2:12" x14ac:dyDescent="0.2">
      <c r="B29" s="324"/>
      <c r="C29" s="323" t="s">
        <v>160</v>
      </c>
      <c r="D29" s="133">
        <v>7478</v>
      </c>
      <c r="E29" s="8">
        <v>5649</v>
      </c>
      <c r="F29" s="8">
        <v>5313</v>
      </c>
      <c r="G29" s="333">
        <v>32.377411931315272</v>
      </c>
      <c r="H29" s="333">
        <v>40.749105966497282</v>
      </c>
      <c r="I29" s="323"/>
      <c r="J29" s="467"/>
      <c r="K29" s="323"/>
      <c r="L29" s="323"/>
    </row>
    <row r="30" spans="2:12" x14ac:dyDescent="0.2">
      <c r="B30" s="323"/>
      <c r="C30" s="339" t="s">
        <v>23</v>
      </c>
      <c r="D30" s="133">
        <v>3096</v>
      </c>
      <c r="E30" s="8">
        <v>2262</v>
      </c>
      <c r="F30" s="8">
        <v>1800</v>
      </c>
      <c r="G30" s="333">
        <v>36.870026525198931</v>
      </c>
      <c r="H30" s="333">
        <v>72</v>
      </c>
      <c r="I30" s="323"/>
      <c r="J30" s="467"/>
      <c r="K30" s="323"/>
      <c r="L30" s="323"/>
    </row>
    <row r="31" spans="2:12" s="331" customFormat="1" ht="15" x14ac:dyDescent="0.25">
      <c r="B31" s="331" t="s">
        <v>23</v>
      </c>
      <c r="D31" s="107">
        <v>56088</v>
      </c>
      <c r="E31" s="332">
        <v>58084</v>
      </c>
      <c r="F31" s="332">
        <v>59745</v>
      </c>
      <c r="G31" s="333">
        <v>-3.4364024516217895</v>
      </c>
      <c r="H31" s="333">
        <v>-6.1210143108209936</v>
      </c>
      <c r="I31" s="323"/>
      <c r="J31" s="467"/>
      <c r="K31" s="323"/>
      <c r="L31" s="323"/>
    </row>
    <row r="32" spans="2:12" x14ac:dyDescent="0.2">
      <c r="B32" s="324"/>
      <c r="C32" s="323" t="s">
        <v>158</v>
      </c>
      <c r="D32" s="133">
        <v>36603</v>
      </c>
      <c r="E32" s="8">
        <v>40125</v>
      </c>
      <c r="F32" s="8">
        <v>41695</v>
      </c>
      <c r="G32" s="333">
        <v>-8.7775700934579426</v>
      </c>
      <c r="H32" s="333">
        <v>-12.212495503057919</v>
      </c>
      <c r="I32" s="323"/>
      <c r="J32" s="467"/>
      <c r="K32" s="323"/>
      <c r="L32" s="323"/>
    </row>
    <row r="33" spans="2:12" x14ac:dyDescent="0.2">
      <c r="B33" s="324"/>
      <c r="C33" s="323" t="s">
        <v>159</v>
      </c>
      <c r="D33" s="133">
        <v>8006</v>
      </c>
      <c r="E33" s="8">
        <v>7679</v>
      </c>
      <c r="F33" s="8">
        <v>8115</v>
      </c>
      <c r="G33" s="333">
        <v>4.2583669748665232</v>
      </c>
      <c r="H33" s="333">
        <v>-1.3431916204559413</v>
      </c>
      <c r="I33" s="323"/>
      <c r="J33" s="467"/>
      <c r="K33" s="323"/>
      <c r="L33" s="323"/>
    </row>
    <row r="34" spans="2:12" x14ac:dyDescent="0.2">
      <c r="B34" s="324"/>
      <c r="C34" s="323" t="s">
        <v>160</v>
      </c>
      <c r="D34" s="133">
        <v>11091</v>
      </c>
      <c r="E34" s="8">
        <v>9925</v>
      </c>
      <c r="F34" s="8">
        <v>9606</v>
      </c>
      <c r="G34" s="333">
        <v>11.748110831234261</v>
      </c>
      <c r="H34" s="333">
        <v>15.459088069956284</v>
      </c>
      <c r="I34" s="323"/>
      <c r="J34" s="467"/>
      <c r="K34" s="323"/>
      <c r="L34" s="323"/>
    </row>
    <row r="35" spans="2:12" x14ac:dyDescent="0.2">
      <c r="B35" s="323"/>
      <c r="C35" s="339" t="s">
        <v>23</v>
      </c>
      <c r="D35" s="133">
        <v>388</v>
      </c>
      <c r="E35" s="8">
        <v>355</v>
      </c>
      <c r="F35" s="8">
        <v>329</v>
      </c>
      <c r="G35" s="333">
        <v>9.2957746478873347</v>
      </c>
      <c r="H35" s="333">
        <v>17.933130699088153</v>
      </c>
      <c r="I35" s="323"/>
      <c r="J35" s="467"/>
      <c r="K35" s="323"/>
      <c r="L35" s="323"/>
    </row>
    <row r="36" spans="2:12" s="331" customFormat="1" ht="15" x14ac:dyDescent="0.25">
      <c r="B36" s="331" t="s">
        <v>226</v>
      </c>
      <c r="D36" s="107">
        <v>610023</v>
      </c>
      <c r="E36" s="332">
        <v>573965</v>
      </c>
      <c r="F36" s="332">
        <v>561730</v>
      </c>
      <c r="G36" s="333">
        <v>6.2822645980155523</v>
      </c>
      <c r="H36" s="333">
        <v>8.5971908212130401</v>
      </c>
      <c r="I36" s="323"/>
      <c r="J36" s="467"/>
      <c r="K36" s="323"/>
      <c r="L36" s="323"/>
    </row>
    <row r="37" spans="2:12" x14ac:dyDescent="0.2">
      <c r="B37" s="324"/>
      <c r="C37" s="323" t="s">
        <v>158</v>
      </c>
      <c r="D37" s="133">
        <v>271575</v>
      </c>
      <c r="E37" s="8">
        <v>268536</v>
      </c>
      <c r="F37" s="8">
        <v>266303</v>
      </c>
      <c r="G37" s="333">
        <v>1.1316918402001885</v>
      </c>
      <c r="H37" s="333">
        <v>1.979699815623559</v>
      </c>
      <c r="I37" s="323"/>
      <c r="J37" s="467"/>
      <c r="K37" s="323"/>
      <c r="L37" s="323"/>
    </row>
    <row r="38" spans="2:12" x14ac:dyDescent="0.2">
      <c r="B38" s="324"/>
      <c r="C38" s="323" t="s">
        <v>159</v>
      </c>
      <c r="D38" s="133">
        <v>208988</v>
      </c>
      <c r="E38" s="8">
        <v>191492</v>
      </c>
      <c r="F38" s="8">
        <v>183165</v>
      </c>
      <c r="G38" s="333">
        <v>9.1366741169343957</v>
      </c>
      <c r="H38" s="333">
        <v>14.098217454207962</v>
      </c>
      <c r="I38" s="323"/>
      <c r="J38" s="467"/>
      <c r="K38" s="323"/>
      <c r="L38" s="323"/>
    </row>
    <row r="39" spans="2:12" x14ac:dyDescent="0.2">
      <c r="B39" s="324"/>
      <c r="C39" s="323" t="s">
        <v>160</v>
      </c>
      <c r="D39" s="133">
        <v>123498</v>
      </c>
      <c r="E39" s="8">
        <v>109308</v>
      </c>
      <c r="F39" s="8">
        <v>107901</v>
      </c>
      <c r="G39" s="333">
        <v>12.981666483697452</v>
      </c>
      <c r="H39" s="333">
        <v>14.45491700725665</v>
      </c>
      <c r="I39" s="323"/>
      <c r="J39" s="467"/>
      <c r="K39" s="323"/>
      <c r="L39" s="323"/>
    </row>
    <row r="40" spans="2:12" x14ac:dyDescent="0.2">
      <c r="B40" s="323"/>
      <c r="C40" s="339" t="s">
        <v>23</v>
      </c>
      <c r="D40" s="133">
        <v>5962</v>
      </c>
      <c r="E40" s="8">
        <v>4629</v>
      </c>
      <c r="F40" s="8">
        <v>4361</v>
      </c>
      <c r="G40" s="333">
        <v>28.796716353424067</v>
      </c>
      <c r="H40" s="333">
        <v>36.711763357028218</v>
      </c>
      <c r="I40" s="323"/>
      <c r="J40" s="467"/>
      <c r="K40" s="323"/>
      <c r="L40" s="323"/>
    </row>
    <row r="41" spans="2:12" x14ac:dyDescent="0.2">
      <c r="B41" s="323"/>
      <c r="C41" s="323"/>
      <c r="D41" s="330"/>
      <c r="E41" s="8"/>
      <c r="F41" s="8"/>
      <c r="G41" s="175"/>
      <c r="H41" s="175"/>
      <c r="I41" s="323"/>
      <c r="J41" s="323"/>
      <c r="K41" s="323"/>
      <c r="L41" s="323"/>
    </row>
    <row r="42" spans="2:12" x14ac:dyDescent="0.2">
      <c r="B42" s="323"/>
      <c r="C42" s="357"/>
      <c r="D42" s="330"/>
      <c r="E42" s="469"/>
      <c r="F42" s="469"/>
      <c r="G42" s="144"/>
      <c r="H42" s="144"/>
      <c r="I42" s="323"/>
      <c r="J42" s="323"/>
      <c r="K42" s="323"/>
      <c r="L42" s="323"/>
    </row>
    <row r="43" spans="2:12" s="351" customFormat="1" x14ac:dyDescent="0.2">
      <c r="B43" s="470" t="s">
        <v>443</v>
      </c>
      <c r="C43" s="471"/>
      <c r="D43" s="330"/>
      <c r="E43" s="330"/>
      <c r="F43" s="330"/>
      <c r="G43" s="175"/>
      <c r="H43" s="175"/>
    </row>
    <row r="44" spans="2:12" x14ac:dyDescent="0.2">
      <c r="B44" s="442" t="s">
        <v>264</v>
      </c>
      <c r="C44" s="357"/>
      <c r="D44" s="8"/>
      <c r="E44" s="8"/>
      <c r="F44" s="8"/>
      <c r="G44" s="144"/>
      <c r="H44" s="144"/>
      <c r="I44" s="323"/>
      <c r="J44" s="323"/>
    </row>
    <row r="45" spans="2:12" x14ac:dyDescent="0.2">
      <c r="B45" s="323"/>
      <c r="C45" s="357"/>
      <c r="D45" s="8"/>
      <c r="E45" s="8"/>
      <c r="F45" s="8"/>
      <c r="G45" s="144"/>
      <c r="H45" s="144"/>
      <c r="I45" s="323"/>
      <c r="J45" s="323"/>
    </row>
    <row r="46" spans="2:12" x14ac:dyDescent="0.2">
      <c r="B46" s="323"/>
      <c r="C46" s="357"/>
      <c r="D46" s="8"/>
      <c r="E46" s="8"/>
      <c r="F46" s="8"/>
      <c r="G46" s="144"/>
      <c r="H46" s="144"/>
      <c r="I46" s="323"/>
      <c r="J46" s="323"/>
    </row>
  </sheetData>
  <mergeCells count="1">
    <mergeCell ref="A2:C2"/>
  </mergeCells>
  <phoneticPr fontId="2" type="noConversion"/>
  <hyperlinks>
    <hyperlink ref="A2" location="Index!A1" display="Back to Index" xr:uid="{F47F3629-D6B6-4306-ACC6-2FF4676B1B66}"/>
  </hyperlinks>
  <pageMargins left="0.25" right="0.26" top="1" bottom="1" header="0.5" footer="0.5"/>
  <pageSetup scale="99" orientation="portrait" verticalDpi="598" r:id="rId1"/>
  <headerFooter alignWithMargins="0">
    <oddFooter>&amp;L&amp;8&amp;Z&amp;F&amp;A&amp;R&amp;8&amp;D&amp;T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F71B-F3B1-46FF-B360-E8A4E1B67B67}">
  <sheetPr>
    <tabColor indexed="47"/>
    <pageSetUpPr fitToPage="1"/>
  </sheetPr>
  <dimension ref="A1:K147"/>
  <sheetViews>
    <sheetView showGridLines="0" zoomScaleNormal="100" workbookViewId="0">
      <selection activeCell="J41" sqref="J41"/>
    </sheetView>
  </sheetViews>
  <sheetFormatPr defaultColWidth="9.42578125" defaultRowHeight="14.25" x14ac:dyDescent="0.2"/>
  <cols>
    <col min="1" max="1" width="2.42578125" style="412" customWidth="1"/>
    <col min="2" max="2" width="3.42578125" style="412" customWidth="1"/>
    <col min="3" max="3" width="42.85546875" style="424" customWidth="1"/>
    <col min="4" max="8" width="11.42578125" style="459" customWidth="1"/>
    <col min="9" max="9" width="10.5703125" style="412" bestFit="1" customWidth="1"/>
    <col min="10" max="16384" width="9.42578125" style="412"/>
  </cols>
  <sheetData>
    <row r="1" spans="1:11" s="4" customFormat="1" ht="20.25" x14ac:dyDescent="0.3">
      <c r="A1" s="3" t="s">
        <v>12</v>
      </c>
      <c r="D1" s="366"/>
      <c r="E1" s="366"/>
      <c r="F1" s="366"/>
      <c r="G1" s="366"/>
      <c r="H1" s="366"/>
    </row>
    <row r="2" spans="1:11" s="6" customFormat="1" ht="57.75" customHeight="1" x14ac:dyDescent="0.25">
      <c r="A2" s="781" t="s">
        <v>33</v>
      </c>
      <c r="B2" s="781"/>
      <c r="C2" s="781"/>
      <c r="D2" s="465">
        <v>45992</v>
      </c>
      <c r="E2" s="465">
        <v>45809</v>
      </c>
      <c r="F2" s="465">
        <v>45627</v>
      </c>
      <c r="G2" s="446" t="s">
        <v>436</v>
      </c>
      <c r="H2" s="446" t="s">
        <v>437</v>
      </c>
    </row>
    <row r="3" spans="1:11" s="376" customFormat="1" ht="7.5" customHeight="1" x14ac:dyDescent="0.25">
      <c r="A3" s="1"/>
      <c r="D3" s="168"/>
      <c r="E3" s="332"/>
      <c r="F3" s="332"/>
      <c r="G3" s="24"/>
      <c r="H3" s="24"/>
    </row>
    <row r="4" spans="1:11" s="376" customFormat="1" ht="15" customHeight="1" x14ac:dyDescent="0.25">
      <c r="A4" s="352" t="s">
        <v>161</v>
      </c>
      <c r="D4" s="168"/>
      <c r="E4" s="332"/>
      <c r="F4" s="332"/>
      <c r="G4" s="332"/>
      <c r="H4" s="332"/>
    </row>
    <row r="5" spans="1:11" s="331" customFormat="1" ht="15" customHeight="1" x14ac:dyDescent="0.25">
      <c r="A5" s="376" t="s">
        <v>162</v>
      </c>
      <c r="D5" s="107">
        <v>79551</v>
      </c>
      <c r="E5" s="332">
        <v>76297</v>
      </c>
      <c r="F5" s="332">
        <v>69168</v>
      </c>
      <c r="G5" s="333">
        <v>4.264912119742581</v>
      </c>
      <c r="H5" s="333">
        <v>15.011276891047887</v>
      </c>
      <c r="I5" s="323"/>
      <c r="J5" s="323"/>
      <c r="K5" s="323"/>
    </row>
    <row r="6" spans="1:11" ht="15" customHeight="1" x14ac:dyDescent="0.25">
      <c r="A6" s="323"/>
      <c r="B6" s="376"/>
      <c r="C6" s="339" t="s">
        <v>163</v>
      </c>
      <c r="D6" s="133">
        <v>1276</v>
      </c>
      <c r="E6" s="8">
        <v>1260</v>
      </c>
      <c r="F6" s="8">
        <v>1318</v>
      </c>
      <c r="G6" s="333">
        <v>1.2698412698412653</v>
      </c>
      <c r="H6" s="333">
        <v>-3.1866464339908918</v>
      </c>
      <c r="I6" s="323"/>
      <c r="J6" s="218"/>
      <c r="K6" s="218"/>
    </row>
    <row r="7" spans="1:11" ht="15" customHeight="1" x14ac:dyDescent="0.25">
      <c r="A7" s="323"/>
      <c r="B7" s="376"/>
      <c r="C7" s="339" t="s">
        <v>166</v>
      </c>
      <c r="D7" s="133">
        <v>5669</v>
      </c>
      <c r="E7" s="8">
        <v>5246</v>
      </c>
      <c r="F7" s="8">
        <v>5616</v>
      </c>
      <c r="G7" s="333">
        <v>8.0632863133816244</v>
      </c>
      <c r="H7" s="333">
        <v>0.94373219373218298</v>
      </c>
      <c r="I7" s="323"/>
      <c r="J7" s="218"/>
      <c r="K7" s="218"/>
    </row>
    <row r="8" spans="1:11" ht="15" customHeight="1" x14ac:dyDescent="0.25">
      <c r="A8" s="323"/>
      <c r="B8" s="376"/>
      <c r="C8" s="339" t="s">
        <v>164</v>
      </c>
      <c r="D8" s="133">
        <v>12557</v>
      </c>
      <c r="E8" s="8">
        <v>12341</v>
      </c>
      <c r="F8" s="8">
        <v>9864</v>
      </c>
      <c r="G8" s="333">
        <v>1.7502633498095888</v>
      </c>
      <c r="H8" s="333">
        <v>27.301297648012969</v>
      </c>
      <c r="I8" s="323"/>
      <c r="J8" s="218"/>
      <c r="K8" s="218"/>
    </row>
    <row r="9" spans="1:11" ht="15" customHeight="1" x14ac:dyDescent="0.25">
      <c r="A9" s="323"/>
      <c r="B9" s="376"/>
      <c r="C9" s="339" t="s">
        <v>165</v>
      </c>
      <c r="D9" s="133">
        <v>14463</v>
      </c>
      <c r="E9" s="8">
        <v>14475</v>
      </c>
      <c r="F9" s="8">
        <v>15686</v>
      </c>
      <c r="G9" s="333">
        <v>-8.2901554404146705E-2</v>
      </c>
      <c r="H9" s="333">
        <v>-7.7967614433252619</v>
      </c>
      <c r="I9" s="323"/>
      <c r="J9" s="218"/>
      <c r="K9" s="218"/>
    </row>
    <row r="10" spans="1:11" ht="15" customHeight="1" x14ac:dyDescent="0.2">
      <c r="A10" s="323"/>
      <c r="B10" s="323"/>
      <c r="C10" s="323" t="s">
        <v>168</v>
      </c>
      <c r="D10" s="133">
        <v>20115</v>
      </c>
      <c r="E10" s="8">
        <v>18953</v>
      </c>
      <c r="F10" s="8">
        <v>16773</v>
      </c>
      <c r="G10" s="333">
        <v>6.1309555215533162</v>
      </c>
      <c r="H10" s="333">
        <v>19.924879270255769</v>
      </c>
      <c r="I10" s="323"/>
      <c r="J10" s="218"/>
      <c r="K10" s="218"/>
    </row>
    <row r="11" spans="1:11" ht="15" customHeight="1" x14ac:dyDescent="0.2">
      <c r="A11" s="323"/>
      <c r="B11" s="323"/>
      <c r="C11" s="339" t="s">
        <v>167</v>
      </c>
      <c r="D11" s="178">
        <v>25471</v>
      </c>
      <c r="E11" s="226">
        <v>24022</v>
      </c>
      <c r="F11" s="226">
        <v>19911</v>
      </c>
      <c r="G11" s="333">
        <v>6.0319706935309192</v>
      </c>
      <c r="H11" s="333">
        <v>27.924262970217463</v>
      </c>
      <c r="I11" s="323"/>
      <c r="J11" s="218"/>
      <c r="K11" s="218"/>
    </row>
    <row r="12" spans="1:11" ht="15" customHeight="1" x14ac:dyDescent="0.2">
      <c r="A12" s="323"/>
      <c r="B12" s="323"/>
      <c r="C12" s="323"/>
      <c r="D12" s="133"/>
      <c r="E12" s="8"/>
      <c r="F12" s="8"/>
      <c r="G12" s="144"/>
      <c r="H12" s="144"/>
      <c r="I12" s="323"/>
      <c r="J12" s="436"/>
      <c r="K12" s="323"/>
    </row>
    <row r="13" spans="1:11" s="376" customFormat="1" ht="15" customHeight="1" x14ac:dyDescent="0.25">
      <c r="A13" s="376" t="s">
        <v>162</v>
      </c>
      <c r="D13" s="107">
        <v>79551</v>
      </c>
      <c r="E13" s="332">
        <v>76297</v>
      </c>
      <c r="F13" s="332">
        <v>69168</v>
      </c>
      <c r="G13" s="333">
        <v>4.264912119742581</v>
      </c>
      <c r="H13" s="333">
        <v>15.011276891047887</v>
      </c>
      <c r="I13" s="323"/>
      <c r="J13" s="218"/>
      <c r="K13" s="218"/>
    </row>
    <row r="14" spans="1:11" ht="15" customHeight="1" x14ac:dyDescent="0.2">
      <c r="A14" s="323"/>
      <c r="B14" s="323"/>
      <c r="C14" s="323" t="s">
        <v>169</v>
      </c>
      <c r="D14" s="133">
        <v>52235</v>
      </c>
      <c r="E14" s="8">
        <v>49244</v>
      </c>
      <c r="F14" s="8">
        <v>44486</v>
      </c>
      <c r="G14" s="333">
        <v>6.0738364064657713</v>
      </c>
      <c r="H14" s="333">
        <v>17.418963269343159</v>
      </c>
      <c r="I14" s="323"/>
      <c r="J14" s="218"/>
      <c r="K14" s="218"/>
    </row>
    <row r="15" spans="1:11" ht="15" customHeight="1" x14ac:dyDescent="0.2">
      <c r="A15" s="323"/>
      <c r="B15" s="323"/>
      <c r="C15" s="323" t="s">
        <v>170</v>
      </c>
      <c r="D15" s="133">
        <v>27316</v>
      </c>
      <c r="E15" s="8">
        <v>27053</v>
      </c>
      <c r="F15" s="8">
        <v>24682</v>
      </c>
      <c r="G15" s="333">
        <v>0.97216574871548112</v>
      </c>
      <c r="H15" s="333">
        <v>10.67174459120006</v>
      </c>
      <c r="I15" s="323"/>
      <c r="J15" s="218"/>
      <c r="K15" s="218"/>
    </row>
    <row r="16" spans="1:11" ht="15" customHeight="1" x14ac:dyDescent="0.2">
      <c r="A16" s="323"/>
      <c r="B16" s="323"/>
      <c r="C16" s="357"/>
      <c r="D16" s="333"/>
      <c r="E16" s="8"/>
      <c r="F16" s="8"/>
      <c r="G16" s="473"/>
      <c r="H16" s="473"/>
      <c r="I16" s="323"/>
      <c r="J16" s="323"/>
      <c r="K16" s="323"/>
    </row>
    <row r="17" spans="1:8" ht="15" customHeight="1" x14ac:dyDescent="0.2">
      <c r="A17" s="323"/>
      <c r="B17" s="323"/>
      <c r="C17" s="357"/>
      <c r="D17" s="330"/>
      <c r="E17" s="469"/>
      <c r="F17" s="469"/>
      <c r="G17" s="329"/>
      <c r="H17" s="329"/>
    </row>
    <row r="18" spans="1:8" s="351" customFormat="1" x14ac:dyDescent="0.2">
      <c r="B18" s="359" t="s">
        <v>89</v>
      </c>
      <c r="C18" s="474" t="s">
        <v>171</v>
      </c>
      <c r="D18" s="330"/>
      <c r="E18" s="330"/>
      <c r="F18" s="330"/>
      <c r="G18" s="330"/>
      <c r="H18" s="330"/>
    </row>
    <row r="19" spans="1:8" s="351" customFormat="1" x14ac:dyDescent="0.2">
      <c r="B19" s="359" t="s">
        <v>90</v>
      </c>
      <c r="C19" s="359" t="s">
        <v>172</v>
      </c>
      <c r="D19" s="330"/>
      <c r="E19" s="330"/>
      <c r="F19" s="330"/>
      <c r="G19" s="330"/>
      <c r="H19" s="330"/>
    </row>
    <row r="20" spans="1:8" s="351" customFormat="1" x14ac:dyDescent="0.2">
      <c r="B20" s="359" t="s">
        <v>66</v>
      </c>
      <c r="C20" s="474" t="s">
        <v>173</v>
      </c>
      <c r="D20" s="330"/>
      <c r="E20" s="330"/>
      <c r="F20" s="330"/>
      <c r="G20" s="330"/>
      <c r="H20" s="330"/>
    </row>
    <row r="21" spans="1:8" x14ac:dyDescent="0.2">
      <c r="A21" s="323"/>
      <c r="B21" s="323"/>
      <c r="C21" s="357"/>
      <c r="D21" s="469"/>
      <c r="E21" s="469"/>
      <c r="F21" s="469"/>
      <c r="G21" s="8"/>
      <c r="H21" s="8"/>
    </row>
    <row r="22" spans="1:8" x14ac:dyDescent="0.2">
      <c r="A22" s="323"/>
      <c r="B22" s="323"/>
      <c r="C22" s="357"/>
      <c r="D22" s="469"/>
      <c r="E22" s="469"/>
      <c r="F22" s="469"/>
      <c r="G22" s="8"/>
      <c r="H22" s="8"/>
    </row>
    <row r="23" spans="1:8" x14ac:dyDescent="0.2">
      <c r="A23" s="323"/>
      <c r="B23" s="323"/>
      <c r="C23" s="357"/>
      <c r="D23" s="469"/>
      <c r="E23" s="469"/>
      <c r="F23" s="469"/>
      <c r="G23" s="8"/>
      <c r="H23" s="8"/>
    </row>
    <row r="24" spans="1:8" x14ac:dyDescent="0.2">
      <c r="A24" s="323"/>
      <c r="B24" s="323"/>
      <c r="C24" s="357"/>
      <c r="D24" s="8"/>
      <c r="E24" s="8"/>
      <c r="F24" s="8"/>
      <c r="G24" s="8"/>
      <c r="H24" s="8"/>
    </row>
    <row r="25" spans="1:8" x14ac:dyDescent="0.2">
      <c r="A25" s="323"/>
      <c r="B25" s="323"/>
      <c r="C25" s="357"/>
      <c r="D25" s="8"/>
      <c r="E25" s="8"/>
      <c r="F25" s="8"/>
      <c r="G25" s="8"/>
      <c r="H25" s="8"/>
    </row>
    <row r="26" spans="1:8" x14ac:dyDescent="0.2">
      <c r="A26" s="323"/>
      <c r="B26" s="323"/>
      <c r="C26" s="357"/>
      <c r="D26" s="8"/>
      <c r="E26" s="8"/>
      <c r="F26" s="8"/>
      <c r="G26" s="8"/>
      <c r="H26" s="8"/>
    </row>
    <row r="27" spans="1:8" x14ac:dyDescent="0.2">
      <c r="A27" s="323"/>
      <c r="B27" s="323"/>
      <c r="C27" s="357"/>
      <c r="D27" s="8"/>
      <c r="E27" s="8"/>
      <c r="F27" s="8"/>
      <c r="G27" s="8"/>
      <c r="H27" s="8"/>
    </row>
    <row r="28" spans="1:8" x14ac:dyDescent="0.2">
      <c r="A28" s="323"/>
      <c r="B28" s="323"/>
      <c r="C28" s="357"/>
      <c r="D28" s="8"/>
      <c r="E28" s="8"/>
      <c r="F28" s="8"/>
      <c r="G28" s="8"/>
      <c r="H28" s="8"/>
    </row>
    <row r="29" spans="1:8" x14ac:dyDescent="0.2">
      <c r="A29" s="323"/>
      <c r="B29" s="323"/>
      <c r="C29" s="357"/>
      <c r="D29" s="8"/>
      <c r="E29" s="8"/>
      <c r="F29" s="8"/>
      <c r="G29" s="8"/>
      <c r="H29" s="8"/>
    </row>
    <row r="30" spans="1:8" x14ac:dyDescent="0.2">
      <c r="A30" s="323"/>
      <c r="B30" s="323"/>
      <c r="C30" s="357"/>
      <c r="D30" s="8"/>
      <c r="E30" s="8"/>
      <c r="F30" s="8"/>
      <c r="G30" s="8"/>
      <c r="H30" s="8"/>
    </row>
    <row r="31" spans="1:8" s="459" customFormat="1" x14ac:dyDescent="0.2">
      <c r="A31" s="323"/>
      <c r="B31" s="323"/>
      <c r="C31" s="357"/>
      <c r="D31" s="8"/>
      <c r="E31" s="8"/>
      <c r="F31" s="8"/>
      <c r="G31" s="8"/>
      <c r="H31" s="8"/>
    </row>
    <row r="32" spans="1:8" s="459" customFormat="1" x14ac:dyDescent="0.2">
      <c r="A32" s="323"/>
      <c r="B32" s="323"/>
      <c r="C32" s="357"/>
      <c r="D32" s="8"/>
      <c r="E32" s="8"/>
      <c r="F32" s="8"/>
      <c r="G32" s="8"/>
      <c r="H32" s="8"/>
    </row>
    <row r="33" spans="1:6" s="459" customFormat="1" x14ac:dyDescent="0.2">
      <c r="A33" s="323"/>
      <c r="B33" s="323"/>
      <c r="C33" s="357"/>
      <c r="D33" s="8"/>
      <c r="E33" s="8"/>
      <c r="F33" s="8"/>
    </row>
    <row r="34" spans="1:6" s="459" customFormat="1" x14ac:dyDescent="0.2">
      <c r="A34" s="323"/>
      <c r="B34" s="323"/>
      <c r="C34" s="357"/>
      <c r="D34" s="8"/>
      <c r="E34" s="8"/>
      <c r="F34" s="8"/>
    </row>
    <row r="35" spans="1:6" s="459" customFormat="1" x14ac:dyDescent="0.2">
      <c r="A35" s="323"/>
      <c r="B35" s="323"/>
      <c r="C35" s="357"/>
      <c r="D35" s="8"/>
      <c r="E35" s="8"/>
      <c r="F35" s="8"/>
    </row>
    <row r="36" spans="1:6" s="459" customFormat="1" x14ac:dyDescent="0.2">
      <c r="A36" s="323"/>
      <c r="B36" s="323"/>
      <c r="C36" s="357"/>
      <c r="D36" s="8"/>
      <c r="E36" s="8"/>
      <c r="F36" s="8"/>
    </row>
    <row r="37" spans="1:6" s="459" customFormat="1" x14ac:dyDescent="0.2">
      <c r="A37" s="323"/>
      <c r="B37" s="323"/>
      <c r="C37" s="357"/>
      <c r="D37" s="8"/>
      <c r="E37" s="8"/>
      <c r="F37" s="8"/>
    </row>
    <row r="38" spans="1:6" s="459" customFormat="1" x14ac:dyDescent="0.2">
      <c r="A38" s="323"/>
      <c r="B38" s="323"/>
      <c r="C38" s="357"/>
      <c r="D38" s="8"/>
      <c r="E38" s="8"/>
      <c r="F38" s="8"/>
    </row>
    <row r="39" spans="1:6" s="459" customFormat="1" x14ac:dyDescent="0.2">
      <c r="A39" s="323"/>
      <c r="B39" s="323"/>
      <c r="C39" s="357"/>
      <c r="D39" s="8"/>
      <c r="E39" s="8"/>
      <c r="F39" s="8"/>
    </row>
    <row r="40" spans="1:6" s="459" customFormat="1" x14ac:dyDescent="0.2">
      <c r="A40" s="323"/>
      <c r="B40" s="323"/>
      <c r="C40" s="357"/>
      <c r="D40" s="8"/>
      <c r="E40" s="8"/>
      <c r="F40" s="8"/>
    </row>
    <row r="41" spans="1:6" s="459" customFormat="1" x14ac:dyDescent="0.2">
      <c r="A41" s="323"/>
      <c r="B41" s="323"/>
      <c r="C41" s="357"/>
      <c r="D41" s="8"/>
      <c r="E41" s="8"/>
      <c r="F41" s="8"/>
    </row>
    <row r="42" spans="1:6" s="459" customFormat="1" x14ac:dyDescent="0.2">
      <c r="A42" s="323"/>
      <c r="B42" s="323"/>
      <c r="C42" s="357"/>
      <c r="D42" s="8"/>
      <c r="E42" s="8"/>
      <c r="F42" s="8"/>
    </row>
    <row r="43" spans="1:6" s="459" customFormat="1" x14ac:dyDescent="0.2">
      <c r="A43" s="323"/>
      <c r="B43" s="323"/>
      <c r="C43" s="357"/>
      <c r="D43" s="8"/>
      <c r="E43" s="8"/>
      <c r="F43" s="8"/>
    </row>
    <row r="44" spans="1:6" s="459" customFormat="1" x14ac:dyDescent="0.2">
      <c r="A44" s="323"/>
      <c r="B44" s="323"/>
      <c r="C44" s="357"/>
      <c r="D44" s="8"/>
      <c r="E44" s="8"/>
      <c r="F44" s="8"/>
    </row>
    <row r="45" spans="1:6" s="459" customFormat="1" x14ac:dyDescent="0.2">
      <c r="A45" s="323"/>
      <c r="B45" s="323"/>
      <c r="C45" s="357"/>
      <c r="D45" s="8"/>
      <c r="E45" s="8"/>
      <c r="F45" s="8"/>
    </row>
    <row r="46" spans="1:6" s="459" customFormat="1" x14ac:dyDescent="0.2">
      <c r="A46" s="323"/>
      <c r="B46" s="323"/>
      <c r="C46" s="357"/>
      <c r="D46" s="8"/>
      <c r="E46" s="8"/>
      <c r="F46" s="8"/>
    </row>
    <row r="47" spans="1:6" s="459" customFormat="1" x14ac:dyDescent="0.2">
      <c r="A47" s="323"/>
      <c r="B47" s="323"/>
      <c r="C47" s="357"/>
      <c r="D47" s="8"/>
      <c r="E47" s="8"/>
      <c r="F47" s="8"/>
    </row>
    <row r="48" spans="1:6" s="459" customFormat="1" x14ac:dyDescent="0.2">
      <c r="A48" s="323"/>
      <c r="B48" s="323"/>
      <c r="C48" s="357"/>
      <c r="D48" s="8"/>
      <c r="E48" s="8"/>
      <c r="F48" s="8"/>
    </row>
    <row r="49" spans="1:6" s="459" customFormat="1" x14ac:dyDescent="0.2">
      <c r="A49" s="323"/>
      <c r="B49" s="323"/>
      <c r="C49" s="357"/>
      <c r="D49" s="8"/>
      <c r="E49" s="8"/>
      <c r="F49" s="8"/>
    </row>
    <row r="50" spans="1:6" s="459" customFormat="1" x14ac:dyDescent="0.2">
      <c r="A50" s="323"/>
      <c r="B50" s="323"/>
      <c r="C50" s="357"/>
      <c r="D50" s="8"/>
      <c r="E50" s="8"/>
      <c r="F50" s="8"/>
    </row>
    <row r="51" spans="1:6" s="459" customFormat="1" x14ac:dyDescent="0.2">
      <c r="A51" s="323"/>
      <c r="B51" s="323"/>
      <c r="C51" s="357"/>
      <c r="D51" s="8"/>
      <c r="E51" s="8"/>
      <c r="F51" s="8"/>
    </row>
    <row r="52" spans="1:6" s="459" customFormat="1" x14ac:dyDescent="0.2">
      <c r="A52" s="323"/>
      <c r="B52" s="323"/>
      <c r="C52" s="357"/>
      <c r="D52" s="8"/>
      <c r="E52" s="8"/>
      <c r="F52" s="8"/>
    </row>
    <row r="53" spans="1:6" s="459" customFormat="1" x14ac:dyDescent="0.2">
      <c r="A53" s="323"/>
      <c r="B53" s="323"/>
      <c r="C53" s="357"/>
      <c r="D53" s="8"/>
      <c r="E53" s="8"/>
      <c r="F53" s="8"/>
    </row>
    <row r="54" spans="1:6" s="459" customFormat="1" x14ac:dyDescent="0.2">
      <c r="A54" s="323"/>
      <c r="B54" s="323"/>
      <c r="C54" s="357"/>
      <c r="D54" s="8"/>
      <c r="E54" s="8"/>
      <c r="F54" s="8"/>
    </row>
    <row r="55" spans="1:6" s="459" customFormat="1" x14ac:dyDescent="0.2">
      <c r="A55" s="323"/>
      <c r="B55" s="323"/>
      <c r="C55" s="357"/>
      <c r="D55" s="8"/>
      <c r="E55" s="8"/>
      <c r="F55" s="8"/>
    </row>
    <row r="56" spans="1:6" s="459" customFormat="1" x14ac:dyDescent="0.2">
      <c r="A56" s="323"/>
      <c r="B56" s="323"/>
      <c r="C56" s="357"/>
      <c r="D56" s="8"/>
      <c r="E56" s="8"/>
      <c r="F56" s="8"/>
    </row>
    <row r="57" spans="1:6" s="459" customFormat="1" x14ac:dyDescent="0.2">
      <c r="A57" s="323"/>
      <c r="B57" s="323"/>
      <c r="C57" s="357"/>
      <c r="D57" s="8"/>
      <c r="E57" s="8"/>
      <c r="F57" s="8"/>
    </row>
    <row r="58" spans="1:6" s="459" customFormat="1" x14ac:dyDescent="0.2">
      <c r="A58" s="323"/>
      <c r="B58" s="323"/>
      <c r="C58" s="357"/>
      <c r="D58" s="8"/>
      <c r="E58" s="8"/>
      <c r="F58" s="8"/>
    </row>
    <row r="59" spans="1:6" s="459" customFormat="1" x14ac:dyDescent="0.2">
      <c r="A59" s="323"/>
      <c r="B59" s="323"/>
      <c r="C59" s="357"/>
      <c r="D59" s="8"/>
      <c r="E59" s="8"/>
      <c r="F59" s="8"/>
    </row>
    <row r="60" spans="1:6" s="459" customFormat="1" x14ac:dyDescent="0.2">
      <c r="A60" s="323"/>
      <c r="B60" s="323"/>
      <c r="C60" s="357"/>
      <c r="D60" s="8"/>
      <c r="E60" s="8"/>
      <c r="F60" s="8"/>
    </row>
    <row r="61" spans="1:6" s="459" customFormat="1" x14ac:dyDescent="0.2">
      <c r="A61" s="323"/>
      <c r="B61" s="323"/>
      <c r="C61" s="357"/>
      <c r="D61" s="8"/>
      <c r="E61" s="8"/>
      <c r="F61" s="8"/>
    </row>
    <row r="62" spans="1:6" s="459" customFormat="1" x14ac:dyDescent="0.2">
      <c r="A62" s="323"/>
      <c r="B62" s="323"/>
      <c r="C62" s="357"/>
      <c r="D62" s="8"/>
      <c r="E62" s="8"/>
      <c r="F62" s="8"/>
    </row>
    <row r="63" spans="1:6" s="459" customFormat="1" x14ac:dyDescent="0.2">
      <c r="A63" s="323"/>
      <c r="B63" s="323"/>
      <c r="C63" s="357"/>
      <c r="D63" s="8"/>
      <c r="E63" s="8"/>
      <c r="F63" s="8"/>
    </row>
    <row r="64" spans="1:6" s="459" customFormat="1" x14ac:dyDescent="0.2">
      <c r="A64" s="323"/>
      <c r="B64" s="323"/>
      <c r="C64" s="357"/>
      <c r="D64" s="8"/>
      <c r="E64" s="8"/>
      <c r="F64" s="8"/>
    </row>
    <row r="65" spans="1:6" s="459" customFormat="1" x14ac:dyDescent="0.2">
      <c r="A65" s="323"/>
      <c r="B65" s="323"/>
      <c r="C65" s="357"/>
      <c r="D65" s="8"/>
      <c r="E65" s="8"/>
      <c r="F65" s="8"/>
    </row>
    <row r="66" spans="1:6" s="459" customFormat="1" x14ac:dyDescent="0.2">
      <c r="A66" s="323"/>
      <c r="B66" s="323"/>
      <c r="C66" s="357"/>
      <c r="D66" s="8"/>
      <c r="E66" s="8"/>
      <c r="F66" s="8"/>
    </row>
    <row r="67" spans="1:6" s="459" customFormat="1" x14ac:dyDescent="0.2">
      <c r="A67" s="323"/>
      <c r="B67" s="323"/>
      <c r="C67" s="357"/>
      <c r="D67" s="8"/>
      <c r="E67" s="8"/>
      <c r="F67" s="8"/>
    </row>
    <row r="68" spans="1:6" s="459" customFormat="1" x14ac:dyDescent="0.2">
      <c r="A68" s="323"/>
      <c r="B68" s="323"/>
      <c r="C68" s="357"/>
      <c r="D68" s="8"/>
      <c r="E68" s="8"/>
      <c r="F68" s="8"/>
    </row>
    <row r="69" spans="1:6" s="459" customFormat="1" x14ac:dyDescent="0.2">
      <c r="A69" s="323"/>
      <c r="B69" s="323"/>
      <c r="C69" s="357"/>
      <c r="D69" s="8"/>
      <c r="E69" s="8"/>
      <c r="F69" s="8"/>
    </row>
    <row r="70" spans="1:6" s="459" customFormat="1" x14ac:dyDescent="0.2">
      <c r="A70" s="323"/>
      <c r="B70" s="323"/>
      <c r="C70" s="357"/>
      <c r="D70" s="8"/>
      <c r="E70" s="8"/>
      <c r="F70" s="8"/>
    </row>
    <row r="71" spans="1:6" s="459" customFormat="1" x14ac:dyDescent="0.2">
      <c r="A71" s="323"/>
      <c r="B71" s="323"/>
      <c r="C71" s="357"/>
      <c r="D71" s="8"/>
      <c r="E71" s="8"/>
      <c r="F71" s="8"/>
    </row>
    <row r="72" spans="1:6" s="459" customFormat="1" x14ac:dyDescent="0.2">
      <c r="A72" s="323"/>
      <c r="B72" s="323"/>
      <c r="C72" s="357"/>
      <c r="D72" s="8"/>
      <c r="E72" s="8"/>
      <c r="F72" s="8"/>
    </row>
    <row r="73" spans="1:6" s="459" customFormat="1" x14ac:dyDescent="0.2">
      <c r="A73" s="323"/>
      <c r="B73" s="323"/>
      <c r="C73" s="357"/>
      <c r="D73" s="8"/>
      <c r="E73" s="8"/>
      <c r="F73" s="8"/>
    </row>
    <row r="74" spans="1:6" s="459" customFormat="1" x14ac:dyDescent="0.2">
      <c r="A74" s="323"/>
      <c r="B74" s="323"/>
      <c r="C74" s="357"/>
      <c r="D74" s="8"/>
      <c r="E74" s="8"/>
      <c r="F74" s="8"/>
    </row>
    <row r="75" spans="1:6" s="459" customFormat="1" x14ac:dyDescent="0.2">
      <c r="A75" s="323"/>
      <c r="B75" s="323"/>
      <c r="C75" s="357"/>
      <c r="D75" s="8"/>
      <c r="E75" s="8"/>
      <c r="F75" s="8"/>
    </row>
    <row r="76" spans="1:6" s="459" customFormat="1" x14ac:dyDescent="0.2">
      <c r="A76" s="323"/>
      <c r="B76" s="323"/>
      <c r="C76" s="357"/>
      <c r="D76" s="8"/>
      <c r="E76" s="8"/>
      <c r="F76" s="8"/>
    </row>
    <row r="77" spans="1:6" s="459" customFormat="1" x14ac:dyDescent="0.2">
      <c r="A77" s="323"/>
      <c r="B77" s="323"/>
      <c r="C77" s="357"/>
      <c r="D77" s="8"/>
      <c r="E77" s="8"/>
      <c r="F77" s="8"/>
    </row>
    <row r="78" spans="1:6" s="459" customFormat="1" x14ac:dyDescent="0.2">
      <c r="A78" s="323"/>
      <c r="B78" s="323"/>
      <c r="C78" s="357"/>
      <c r="D78" s="8"/>
      <c r="E78" s="8"/>
      <c r="F78" s="8"/>
    </row>
    <row r="79" spans="1:6" s="459" customFormat="1" x14ac:dyDescent="0.2">
      <c r="A79" s="323"/>
      <c r="B79" s="323"/>
      <c r="C79" s="357"/>
      <c r="D79" s="8"/>
      <c r="E79" s="8"/>
      <c r="F79" s="8"/>
    </row>
    <row r="80" spans="1:6" s="459" customFormat="1" x14ac:dyDescent="0.2">
      <c r="A80" s="323"/>
      <c r="B80" s="323"/>
      <c r="C80" s="357"/>
      <c r="D80" s="8"/>
      <c r="E80" s="8"/>
      <c r="F80" s="8"/>
    </row>
    <row r="81" spans="1:6" s="459" customFormat="1" x14ac:dyDescent="0.2">
      <c r="A81" s="323"/>
      <c r="B81" s="323"/>
      <c r="C81" s="357"/>
      <c r="D81" s="8"/>
      <c r="E81" s="8"/>
      <c r="F81" s="8"/>
    </row>
    <row r="82" spans="1:6" s="459" customFormat="1" x14ac:dyDescent="0.2">
      <c r="A82" s="323"/>
      <c r="B82" s="323"/>
      <c r="C82" s="357"/>
      <c r="D82" s="8"/>
      <c r="E82" s="8"/>
      <c r="F82" s="8"/>
    </row>
    <row r="83" spans="1:6" s="459" customFormat="1" x14ac:dyDescent="0.2">
      <c r="A83" s="323"/>
      <c r="B83" s="323"/>
      <c r="C83" s="357"/>
      <c r="D83" s="8"/>
      <c r="E83" s="8"/>
      <c r="F83" s="8"/>
    </row>
    <row r="84" spans="1:6" s="459" customFormat="1" x14ac:dyDescent="0.2">
      <c r="A84" s="323"/>
      <c r="B84" s="323"/>
      <c r="C84" s="357"/>
      <c r="D84" s="8"/>
      <c r="E84" s="8"/>
      <c r="F84" s="8"/>
    </row>
    <row r="85" spans="1:6" s="459" customFormat="1" x14ac:dyDescent="0.2">
      <c r="A85" s="323"/>
      <c r="B85" s="323"/>
      <c r="C85" s="357"/>
      <c r="D85" s="8"/>
      <c r="E85" s="8"/>
      <c r="F85" s="8"/>
    </row>
    <row r="86" spans="1:6" s="459" customFormat="1" x14ac:dyDescent="0.2">
      <c r="A86" s="323"/>
      <c r="B86" s="323"/>
      <c r="C86" s="357"/>
      <c r="D86" s="8"/>
      <c r="E86" s="8"/>
      <c r="F86" s="8"/>
    </row>
    <row r="87" spans="1:6" s="459" customFormat="1" x14ac:dyDescent="0.2">
      <c r="A87" s="323"/>
      <c r="B87" s="323"/>
      <c r="C87" s="357"/>
      <c r="D87" s="8"/>
      <c r="E87" s="8"/>
      <c r="F87" s="8"/>
    </row>
    <row r="88" spans="1:6" s="459" customFormat="1" x14ac:dyDescent="0.2">
      <c r="A88" s="323"/>
      <c r="B88" s="323"/>
      <c r="C88" s="357"/>
      <c r="D88" s="8"/>
      <c r="E88" s="8"/>
      <c r="F88" s="8"/>
    </row>
    <row r="89" spans="1:6" s="459" customFormat="1" x14ac:dyDescent="0.2">
      <c r="A89" s="323"/>
      <c r="B89" s="323"/>
      <c r="C89" s="357"/>
      <c r="D89" s="8"/>
      <c r="E89" s="8"/>
      <c r="F89" s="8"/>
    </row>
    <row r="90" spans="1:6" s="459" customFormat="1" x14ac:dyDescent="0.2">
      <c r="A90" s="323"/>
      <c r="B90" s="323"/>
      <c r="C90" s="357"/>
      <c r="D90" s="8"/>
      <c r="E90" s="8"/>
      <c r="F90" s="8"/>
    </row>
    <row r="91" spans="1:6" s="459" customFormat="1" x14ac:dyDescent="0.2">
      <c r="A91" s="323"/>
      <c r="B91" s="323"/>
      <c r="C91" s="357"/>
      <c r="D91" s="8"/>
      <c r="E91" s="8"/>
      <c r="F91" s="8"/>
    </row>
    <row r="92" spans="1:6" s="459" customFormat="1" x14ac:dyDescent="0.2">
      <c r="A92" s="323"/>
      <c r="B92" s="323"/>
      <c r="C92" s="357"/>
      <c r="D92" s="8"/>
      <c r="E92" s="8"/>
      <c r="F92" s="8"/>
    </row>
    <row r="93" spans="1:6" s="459" customFormat="1" x14ac:dyDescent="0.2">
      <c r="A93" s="323"/>
      <c r="B93" s="323"/>
      <c r="C93" s="357"/>
      <c r="D93" s="8"/>
      <c r="E93" s="8"/>
      <c r="F93" s="8"/>
    </row>
    <row r="94" spans="1:6" s="459" customFormat="1" x14ac:dyDescent="0.2">
      <c r="A94" s="323"/>
      <c r="B94" s="323"/>
      <c r="C94" s="357"/>
      <c r="D94" s="8"/>
      <c r="E94" s="8"/>
      <c r="F94" s="8"/>
    </row>
    <row r="95" spans="1:6" s="459" customFormat="1" x14ac:dyDescent="0.2">
      <c r="A95" s="323"/>
      <c r="B95" s="323"/>
      <c r="C95" s="357"/>
      <c r="D95" s="8"/>
      <c r="E95" s="8"/>
      <c r="F95" s="8"/>
    </row>
    <row r="96" spans="1:6" s="459" customFormat="1" x14ac:dyDescent="0.2">
      <c r="A96" s="323"/>
      <c r="B96" s="323"/>
      <c r="C96" s="357"/>
      <c r="D96" s="8"/>
      <c r="E96" s="8"/>
      <c r="F96" s="8"/>
    </row>
    <row r="97" spans="1:6" s="459" customFormat="1" x14ac:dyDescent="0.2">
      <c r="A97" s="323"/>
      <c r="B97" s="323"/>
      <c r="C97" s="357"/>
      <c r="D97" s="8"/>
      <c r="E97" s="8"/>
      <c r="F97" s="8"/>
    </row>
    <row r="98" spans="1:6" s="459" customFormat="1" x14ac:dyDescent="0.2">
      <c r="A98" s="323"/>
      <c r="B98" s="323"/>
      <c r="C98" s="357"/>
      <c r="D98" s="8"/>
      <c r="E98" s="8"/>
      <c r="F98" s="8"/>
    </row>
    <row r="99" spans="1:6" s="459" customFormat="1" x14ac:dyDescent="0.2">
      <c r="A99" s="323"/>
      <c r="B99" s="323"/>
      <c r="C99" s="357"/>
      <c r="D99" s="8"/>
      <c r="E99" s="8"/>
      <c r="F99" s="8"/>
    </row>
    <row r="100" spans="1:6" s="459" customFormat="1" x14ac:dyDescent="0.2">
      <c r="A100" s="323"/>
      <c r="B100" s="323"/>
      <c r="C100" s="357"/>
      <c r="D100" s="8"/>
      <c r="E100" s="8"/>
      <c r="F100" s="8"/>
    </row>
    <row r="101" spans="1:6" s="459" customFormat="1" x14ac:dyDescent="0.2">
      <c r="A101" s="323"/>
      <c r="B101" s="323"/>
      <c r="C101" s="357"/>
      <c r="D101" s="8"/>
      <c r="E101" s="8"/>
      <c r="F101" s="8"/>
    </row>
    <row r="102" spans="1:6" s="459" customFormat="1" x14ac:dyDescent="0.2">
      <c r="A102" s="323"/>
      <c r="B102" s="323"/>
      <c r="C102" s="357"/>
      <c r="D102" s="8"/>
      <c r="E102" s="8"/>
      <c r="F102" s="8"/>
    </row>
    <row r="103" spans="1:6" s="459" customFormat="1" x14ac:dyDescent="0.2">
      <c r="A103" s="323"/>
      <c r="B103" s="323"/>
      <c r="C103" s="357"/>
      <c r="D103" s="8"/>
      <c r="E103" s="8"/>
      <c r="F103" s="8"/>
    </row>
    <row r="104" spans="1:6" s="459" customFormat="1" x14ac:dyDescent="0.2">
      <c r="A104" s="323"/>
      <c r="B104" s="323"/>
      <c r="C104" s="357"/>
      <c r="D104" s="8"/>
      <c r="E104" s="8"/>
      <c r="F104" s="8"/>
    </row>
    <row r="105" spans="1:6" s="459" customFormat="1" x14ac:dyDescent="0.2">
      <c r="A105" s="323"/>
      <c r="B105" s="323"/>
      <c r="C105" s="357"/>
      <c r="D105" s="8"/>
      <c r="E105" s="8"/>
      <c r="F105" s="8"/>
    </row>
    <row r="106" spans="1:6" s="459" customFormat="1" x14ac:dyDescent="0.2">
      <c r="A106" s="323"/>
      <c r="B106" s="323"/>
      <c r="C106" s="357"/>
      <c r="D106" s="8"/>
      <c r="E106" s="8"/>
      <c r="F106" s="8"/>
    </row>
    <row r="107" spans="1:6" s="459" customFormat="1" x14ac:dyDescent="0.2">
      <c r="A107" s="323"/>
      <c r="B107" s="323"/>
      <c r="C107" s="357"/>
      <c r="D107" s="8"/>
      <c r="E107" s="8"/>
      <c r="F107" s="8"/>
    </row>
    <row r="108" spans="1:6" s="459" customFormat="1" x14ac:dyDescent="0.2">
      <c r="A108" s="323"/>
      <c r="B108" s="323"/>
      <c r="C108" s="357"/>
      <c r="D108" s="8"/>
      <c r="E108" s="8"/>
      <c r="F108" s="8"/>
    </row>
    <row r="109" spans="1:6" s="459" customFormat="1" x14ac:dyDescent="0.2">
      <c r="A109" s="323"/>
      <c r="B109" s="323"/>
      <c r="C109" s="357"/>
      <c r="D109" s="8"/>
      <c r="E109" s="8"/>
      <c r="F109" s="8"/>
    </row>
    <row r="110" spans="1:6" s="459" customFormat="1" x14ac:dyDescent="0.2">
      <c r="A110" s="323"/>
      <c r="B110" s="323"/>
      <c r="C110" s="357"/>
      <c r="D110" s="8"/>
      <c r="E110" s="8"/>
      <c r="F110" s="8"/>
    </row>
    <row r="111" spans="1:6" s="459" customFormat="1" x14ac:dyDescent="0.2">
      <c r="A111" s="323"/>
      <c r="B111" s="323"/>
      <c r="C111" s="357"/>
      <c r="D111" s="8"/>
      <c r="E111" s="8"/>
      <c r="F111" s="8"/>
    </row>
    <row r="112" spans="1:6" s="459" customFormat="1" x14ac:dyDescent="0.2">
      <c r="A112" s="323"/>
      <c r="B112" s="323"/>
      <c r="C112" s="357"/>
      <c r="D112" s="8"/>
      <c r="E112" s="8"/>
      <c r="F112" s="8"/>
    </row>
    <row r="113" spans="1:6" s="459" customFormat="1" x14ac:dyDescent="0.2">
      <c r="A113" s="323"/>
      <c r="B113" s="323"/>
      <c r="C113" s="357"/>
      <c r="D113" s="8"/>
      <c r="E113" s="8"/>
      <c r="F113" s="8"/>
    </row>
    <row r="114" spans="1:6" s="459" customFormat="1" x14ac:dyDescent="0.2">
      <c r="A114" s="323"/>
      <c r="B114" s="323"/>
      <c r="C114" s="357"/>
      <c r="D114" s="8"/>
      <c r="E114" s="8"/>
      <c r="F114" s="8"/>
    </row>
    <row r="115" spans="1:6" s="459" customFormat="1" x14ac:dyDescent="0.2">
      <c r="A115" s="323"/>
      <c r="B115" s="323"/>
      <c r="C115" s="357"/>
      <c r="D115" s="8"/>
      <c r="E115" s="8"/>
      <c r="F115" s="8"/>
    </row>
    <row r="116" spans="1:6" s="459" customFormat="1" x14ac:dyDescent="0.2">
      <c r="A116" s="323"/>
      <c r="B116" s="323"/>
      <c r="C116" s="357"/>
      <c r="D116" s="8"/>
      <c r="E116" s="8"/>
      <c r="F116" s="8"/>
    </row>
    <row r="117" spans="1:6" s="459" customFormat="1" x14ac:dyDescent="0.2">
      <c r="A117" s="323"/>
      <c r="B117" s="323"/>
      <c r="C117" s="357"/>
      <c r="D117" s="8"/>
      <c r="E117" s="8"/>
      <c r="F117" s="8"/>
    </row>
    <row r="118" spans="1:6" s="459" customFormat="1" x14ac:dyDescent="0.2">
      <c r="A118" s="323"/>
      <c r="B118" s="323"/>
      <c r="C118" s="357"/>
      <c r="D118" s="8"/>
      <c r="E118" s="8"/>
      <c r="F118" s="8"/>
    </row>
    <row r="119" spans="1:6" s="459" customFormat="1" x14ac:dyDescent="0.2">
      <c r="A119" s="323"/>
      <c r="B119" s="323"/>
      <c r="C119" s="357"/>
      <c r="D119" s="8"/>
      <c r="E119" s="8"/>
      <c r="F119" s="8"/>
    </row>
    <row r="120" spans="1:6" s="459" customFormat="1" x14ac:dyDescent="0.2">
      <c r="A120" s="323"/>
      <c r="B120" s="323"/>
      <c r="C120" s="357"/>
      <c r="D120" s="8"/>
      <c r="E120" s="8"/>
      <c r="F120" s="8"/>
    </row>
    <row r="121" spans="1:6" s="459" customFormat="1" x14ac:dyDescent="0.2">
      <c r="A121" s="323"/>
      <c r="B121" s="323"/>
      <c r="C121" s="357"/>
      <c r="D121" s="8"/>
      <c r="E121" s="8"/>
      <c r="F121" s="8"/>
    </row>
    <row r="122" spans="1:6" s="459" customFormat="1" x14ac:dyDescent="0.2">
      <c r="A122" s="323"/>
      <c r="B122" s="323"/>
      <c r="C122" s="357"/>
      <c r="D122" s="8"/>
      <c r="E122" s="8"/>
      <c r="F122" s="8"/>
    </row>
    <row r="123" spans="1:6" s="459" customFormat="1" x14ac:dyDescent="0.2">
      <c r="A123" s="323"/>
      <c r="B123" s="323"/>
      <c r="C123" s="357"/>
      <c r="D123" s="8"/>
      <c r="E123" s="8"/>
      <c r="F123" s="8"/>
    </row>
    <row r="124" spans="1:6" s="459" customFormat="1" x14ac:dyDescent="0.2">
      <c r="A124" s="323"/>
      <c r="B124" s="323"/>
      <c r="C124" s="357"/>
      <c r="D124" s="8"/>
      <c r="E124" s="8"/>
      <c r="F124" s="8"/>
    </row>
    <row r="125" spans="1:6" s="459" customFormat="1" x14ac:dyDescent="0.2">
      <c r="A125" s="323"/>
      <c r="B125" s="323"/>
      <c r="C125" s="357"/>
      <c r="D125" s="8"/>
      <c r="E125" s="8"/>
      <c r="F125" s="8"/>
    </row>
    <row r="126" spans="1:6" s="459" customFormat="1" x14ac:dyDescent="0.2">
      <c r="A126" s="323"/>
      <c r="B126" s="323"/>
      <c r="C126" s="357"/>
      <c r="D126" s="8"/>
      <c r="E126" s="8"/>
      <c r="F126" s="8"/>
    </row>
    <row r="127" spans="1:6" s="459" customFormat="1" x14ac:dyDescent="0.2">
      <c r="A127" s="323"/>
      <c r="B127" s="323"/>
      <c r="C127" s="357"/>
      <c r="D127" s="8"/>
      <c r="E127" s="8"/>
      <c r="F127" s="8"/>
    </row>
    <row r="128" spans="1:6" s="459" customFormat="1" x14ac:dyDescent="0.2">
      <c r="A128" s="323"/>
      <c r="B128" s="323"/>
      <c r="C128" s="357"/>
      <c r="D128" s="8"/>
      <c r="E128" s="8"/>
      <c r="F128" s="8"/>
    </row>
    <row r="129" spans="1:6" s="459" customFormat="1" x14ac:dyDescent="0.2">
      <c r="A129" s="323"/>
      <c r="B129" s="323"/>
      <c r="C129" s="357"/>
      <c r="D129" s="8"/>
      <c r="E129" s="8"/>
      <c r="F129" s="8"/>
    </row>
    <row r="130" spans="1:6" s="459" customFormat="1" x14ac:dyDescent="0.2">
      <c r="A130" s="323"/>
      <c r="B130" s="323"/>
      <c r="C130" s="357"/>
      <c r="D130" s="8"/>
      <c r="E130" s="8"/>
      <c r="F130" s="8"/>
    </row>
    <row r="131" spans="1:6" s="459" customFormat="1" x14ac:dyDescent="0.2">
      <c r="A131" s="323"/>
      <c r="B131" s="323"/>
      <c r="C131" s="357"/>
      <c r="D131" s="8"/>
      <c r="E131" s="8"/>
      <c r="F131" s="8"/>
    </row>
    <row r="132" spans="1:6" s="459" customFormat="1" x14ac:dyDescent="0.2">
      <c r="A132" s="323"/>
      <c r="B132" s="323"/>
      <c r="C132" s="357"/>
      <c r="D132" s="8"/>
      <c r="E132" s="8"/>
      <c r="F132" s="8"/>
    </row>
    <row r="133" spans="1:6" s="459" customFormat="1" x14ac:dyDescent="0.2">
      <c r="A133" s="323"/>
      <c r="B133" s="323"/>
      <c r="C133" s="357"/>
      <c r="D133" s="8"/>
      <c r="E133" s="8"/>
      <c r="F133" s="8"/>
    </row>
    <row r="134" spans="1:6" s="459" customFormat="1" x14ac:dyDescent="0.2">
      <c r="A134" s="323"/>
      <c r="B134" s="323"/>
      <c r="C134" s="357"/>
      <c r="D134" s="8"/>
      <c r="E134" s="8"/>
      <c r="F134" s="8"/>
    </row>
    <row r="135" spans="1:6" s="459" customFormat="1" x14ac:dyDescent="0.2">
      <c r="A135" s="323"/>
      <c r="B135" s="323"/>
      <c r="C135" s="357"/>
      <c r="D135" s="8"/>
      <c r="E135" s="8"/>
      <c r="F135" s="8"/>
    </row>
    <row r="136" spans="1:6" s="459" customFormat="1" x14ac:dyDescent="0.2">
      <c r="A136" s="323"/>
      <c r="B136" s="323"/>
      <c r="C136" s="357"/>
      <c r="D136" s="8"/>
      <c r="E136" s="8"/>
      <c r="F136" s="8"/>
    </row>
    <row r="137" spans="1:6" s="459" customFormat="1" x14ac:dyDescent="0.2">
      <c r="A137" s="323"/>
      <c r="B137" s="323"/>
      <c r="C137" s="357"/>
      <c r="D137" s="8"/>
      <c r="E137" s="8"/>
      <c r="F137" s="8"/>
    </row>
    <row r="138" spans="1:6" s="459" customFormat="1" x14ac:dyDescent="0.2">
      <c r="A138" s="323"/>
      <c r="B138" s="323"/>
      <c r="C138" s="357"/>
      <c r="D138" s="8"/>
      <c r="E138" s="8"/>
      <c r="F138" s="8"/>
    </row>
    <row r="139" spans="1:6" s="459" customFormat="1" x14ac:dyDescent="0.2">
      <c r="A139" s="323"/>
      <c r="B139" s="323"/>
      <c r="C139" s="357"/>
      <c r="D139" s="8"/>
      <c r="E139" s="8"/>
      <c r="F139" s="8"/>
    </row>
    <row r="140" spans="1:6" s="459" customFormat="1" x14ac:dyDescent="0.2">
      <c r="A140" s="323"/>
      <c r="B140" s="323"/>
      <c r="C140" s="357"/>
      <c r="D140" s="8"/>
      <c r="E140" s="8"/>
      <c r="F140" s="8"/>
    </row>
    <row r="141" spans="1:6" s="459" customFormat="1" x14ac:dyDescent="0.2">
      <c r="A141" s="323"/>
      <c r="B141" s="323"/>
      <c r="C141" s="357"/>
      <c r="D141" s="8"/>
      <c r="E141" s="8"/>
      <c r="F141" s="8"/>
    </row>
    <row r="142" spans="1:6" s="459" customFormat="1" x14ac:dyDescent="0.2">
      <c r="A142" s="323"/>
      <c r="B142" s="323"/>
      <c r="C142" s="357"/>
      <c r="D142" s="8"/>
      <c r="E142" s="8"/>
      <c r="F142" s="8"/>
    </row>
    <row r="143" spans="1:6" s="459" customFormat="1" x14ac:dyDescent="0.2">
      <c r="A143" s="323"/>
      <c r="B143" s="323"/>
      <c r="C143" s="357"/>
      <c r="D143" s="8"/>
      <c r="E143" s="8"/>
      <c r="F143" s="8"/>
    </row>
    <row r="144" spans="1:6" s="459" customFormat="1" x14ac:dyDescent="0.2">
      <c r="A144" s="323"/>
      <c r="B144" s="323"/>
      <c r="C144" s="357"/>
      <c r="D144" s="8"/>
      <c r="E144" s="8"/>
      <c r="F144" s="8"/>
    </row>
    <row r="145" spans="1:6" s="459" customFormat="1" x14ac:dyDescent="0.2">
      <c r="A145" s="323"/>
      <c r="B145" s="323"/>
      <c r="C145" s="357"/>
      <c r="D145" s="8"/>
      <c r="E145" s="8"/>
      <c r="F145" s="8"/>
    </row>
    <row r="146" spans="1:6" s="459" customFormat="1" x14ac:dyDescent="0.2">
      <c r="A146" s="323"/>
      <c r="B146" s="323"/>
      <c r="C146" s="357"/>
      <c r="D146" s="8"/>
      <c r="E146" s="8"/>
      <c r="F146" s="8"/>
    </row>
    <row r="147" spans="1:6" s="459" customFormat="1" x14ac:dyDescent="0.2">
      <c r="A147" s="323"/>
      <c r="B147" s="323"/>
      <c r="C147" s="357"/>
      <c r="D147" s="8"/>
      <c r="E147" s="8"/>
      <c r="F147" s="8"/>
    </row>
  </sheetData>
  <mergeCells count="1">
    <mergeCell ref="A2:C2"/>
  </mergeCells>
  <hyperlinks>
    <hyperlink ref="A2" location="Index!A1" display="Back to Index" xr:uid="{AC9AE1AA-6D80-4E0C-9D32-9FE5079D4900}"/>
  </hyperlinks>
  <pageMargins left="0.75" right="0.75" top="1" bottom="1" header="0.5" footer="0.5"/>
  <pageSetup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2F4A-ECF0-488C-AD9F-7ECD1ACF6DF4}">
  <sheetPr>
    <tabColor indexed="47"/>
  </sheetPr>
  <dimension ref="A1:K147"/>
  <sheetViews>
    <sheetView showGridLines="0" zoomScale="85" zoomScaleNormal="85" zoomScaleSheetLayoutView="80" workbookViewId="0">
      <selection activeCell="N13" sqref="N13"/>
    </sheetView>
  </sheetViews>
  <sheetFormatPr defaultColWidth="9.42578125" defaultRowHeight="14.25" x14ac:dyDescent="0.2"/>
  <cols>
    <col min="1" max="1" width="3" style="412" customWidth="1"/>
    <col min="2" max="2" width="5.42578125" style="412" customWidth="1"/>
    <col min="3" max="3" width="39.42578125" style="424" customWidth="1"/>
    <col min="4" max="6" width="11.42578125" style="459" customWidth="1"/>
    <col min="7" max="7" width="11.42578125" style="492" customWidth="1"/>
    <col min="8" max="8" width="11.42578125" style="412" customWidth="1"/>
    <col min="9" max="10" width="9.5703125" style="412" customWidth="1"/>
    <col min="11" max="16384" width="9.42578125" style="412"/>
  </cols>
  <sheetData>
    <row r="1" spans="1:9" s="4" customFormat="1" ht="20.25" x14ac:dyDescent="0.3">
      <c r="A1" s="3" t="s">
        <v>174</v>
      </c>
      <c r="D1" s="366"/>
      <c r="E1" s="366"/>
      <c r="F1" s="366"/>
      <c r="G1" s="5"/>
      <c r="H1" s="778"/>
    </row>
    <row r="2" spans="1:9" s="6" customFormat="1" ht="45" x14ac:dyDescent="0.25">
      <c r="A2" s="781" t="s">
        <v>33</v>
      </c>
      <c r="B2" s="781"/>
      <c r="C2" s="781"/>
      <c r="D2" s="446">
        <v>45992</v>
      </c>
      <c r="E2" s="446">
        <v>45809</v>
      </c>
      <c r="F2" s="446">
        <v>45627</v>
      </c>
      <c r="G2" s="446" t="s">
        <v>445</v>
      </c>
      <c r="H2" s="321" t="s">
        <v>446</v>
      </c>
    </row>
    <row r="3" spans="1:9" s="331" customFormat="1" ht="6.75" customHeight="1" x14ac:dyDescent="0.25">
      <c r="A3" s="381"/>
      <c r="D3" s="168"/>
      <c r="E3" s="332"/>
      <c r="F3" s="332"/>
      <c r="G3" s="24"/>
    </row>
    <row r="4" spans="1:9" ht="15" x14ac:dyDescent="0.25">
      <c r="A4" s="369" t="s">
        <v>175</v>
      </c>
      <c r="B4" s="323"/>
      <c r="C4" s="357"/>
      <c r="D4" s="231"/>
      <c r="E4" s="475"/>
      <c r="F4" s="339"/>
      <c r="G4" s="428"/>
      <c r="H4" s="408"/>
    </row>
    <row r="5" spans="1:9" s="476" customFormat="1" ht="15" x14ac:dyDescent="0.25">
      <c r="A5" s="476" t="s">
        <v>176</v>
      </c>
      <c r="D5" s="232">
        <v>1</v>
      </c>
      <c r="E5" s="477">
        <v>1</v>
      </c>
      <c r="F5" s="477">
        <v>1.1000000000000001</v>
      </c>
      <c r="G5" s="234">
        <v>0</v>
      </c>
      <c r="H5" s="779">
        <v>-0.10000000000000009</v>
      </c>
    </row>
    <row r="6" spans="1:9" s="481" customFormat="1" x14ac:dyDescent="0.2">
      <c r="A6" s="478" t="s">
        <v>123</v>
      </c>
      <c r="B6" s="479"/>
      <c r="C6" s="479"/>
      <c r="D6" s="233"/>
      <c r="E6" s="355"/>
      <c r="F6" s="355"/>
      <c r="G6" s="480"/>
      <c r="H6" s="480"/>
    </row>
    <row r="7" spans="1:9" s="481" customFormat="1" x14ac:dyDescent="0.2">
      <c r="A7" s="479"/>
      <c r="B7" s="323" t="s">
        <v>20</v>
      </c>
      <c r="C7" s="482"/>
      <c r="D7" s="233">
        <v>0.8</v>
      </c>
      <c r="E7" s="355">
        <v>0.8</v>
      </c>
      <c r="F7" s="355">
        <v>0.7</v>
      </c>
      <c r="G7" s="480">
        <v>0</v>
      </c>
      <c r="H7" s="779">
        <v>0.10000000000000009</v>
      </c>
    </row>
    <row r="8" spans="1:9" s="481" customFormat="1" x14ac:dyDescent="0.2">
      <c r="A8" s="479"/>
      <c r="B8" s="323" t="s">
        <v>177</v>
      </c>
      <c r="C8" s="479"/>
      <c r="D8" s="233">
        <v>1.1000000000000001</v>
      </c>
      <c r="E8" s="355">
        <v>1.1000000000000001</v>
      </c>
      <c r="F8" s="355">
        <v>1.2</v>
      </c>
      <c r="G8" s="777">
        <v>0</v>
      </c>
      <c r="H8" s="779">
        <v>-9.9999999999999867E-2</v>
      </c>
    </row>
    <row r="9" spans="1:9" s="481" customFormat="1" ht="4.5" customHeight="1" x14ac:dyDescent="0.2">
      <c r="A9" s="479"/>
      <c r="B9" s="483"/>
      <c r="C9" s="479"/>
      <c r="D9" s="233"/>
      <c r="E9" s="355"/>
      <c r="F9" s="355"/>
      <c r="G9" s="480"/>
      <c r="H9" s="480"/>
    </row>
    <row r="10" spans="1:9" s="481" customFormat="1" ht="16.5" x14ac:dyDescent="0.2">
      <c r="A10" s="452" t="s">
        <v>178</v>
      </c>
      <c r="B10" s="479"/>
      <c r="C10" s="479"/>
      <c r="D10" s="233"/>
      <c r="E10" s="355"/>
      <c r="F10" s="355"/>
      <c r="G10" s="480"/>
      <c r="H10" s="480"/>
    </row>
    <row r="11" spans="1:9" s="481" customFormat="1" x14ac:dyDescent="0.2">
      <c r="A11" s="479"/>
      <c r="B11" s="479" t="s">
        <v>25</v>
      </c>
      <c r="C11" s="358"/>
      <c r="D11" s="233">
        <v>0.9</v>
      </c>
      <c r="E11" s="355">
        <v>0.9</v>
      </c>
      <c r="F11" s="355">
        <v>1</v>
      </c>
      <c r="G11" s="234">
        <v>0</v>
      </c>
      <c r="H11" s="779">
        <v>-9.9999999999999978E-2</v>
      </c>
    </row>
    <row r="12" spans="1:9" s="481" customFormat="1" x14ac:dyDescent="0.2">
      <c r="A12" s="479"/>
      <c r="B12" s="484" t="s">
        <v>26</v>
      </c>
      <c r="C12" s="479"/>
      <c r="D12" s="233">
        <v>2.4</v>
      </c>
      <c r="E12" s="355">
        <v>1.7</v>
      </c>
      <c r="F12" s="355">
        <v>1.7</v>
      </c>
      <c r="G12" s="480">
        <v>0.7</v>
      </c>
      <c r="H12" s="480">
        <v>0.7</v>
      </c>
      <c r="I12" s="479"/>
    </row>
    <row r="13" spans="1:9" s="481" customFormat="1" x14ac:dyDescent="0.2">
      <c r="A13" s="479"/>
      <c r="B13" s="484" t="s">
        <v>179</v>
      </c>
      <c r="C13" s="479"/>
      <c r="D13" s="233">
        <v>1.4</v>
      </c>
      <c r="E13" s="355">
        <v>1.5</v>
      </c>
      <c r="F13" s="355">
        <v>1.5</v>
      </c>
      <c r="G13" s="480">
        <v>-0.10000000000000009</v>
      </c>
      <c r="H13" s="480">
        <v>-0.10000000000000009</v>
      </c>
    </row>
    <row r="14" spans="1:9" s="481" customFormat="1" x14ac:dyDescent="0.2">
      <c r="A14" s="479"/>
      <c r="B14" s="484" t="s">
        <v>28</v>
      </c>
      <c r="C14" s="479"/>
      <c r="D14" s="233">
        <v>0.9</v>
      </c>
      <c r="E14" s="355">
        <v>1.3</v>
      </c>
      <c r="F14" s="355">
        <v>1.6</v>
      </c>
      <c r="G14" s="235">
        <v>-0.4</v>
      </c>
      <c r="H14" s="480">
        <v>-0.70000000000000007</v>
      </c>
    </row>
    <row r="15" spans="1:9" s="481" customFormat="1" x14ac:dyDescent="0.2">
      <c r="A15" s="479"/>
      <c r="B15" s="484" t="s">
        <v>104</v>
      </c>
      <c r="C15" s="479"/>
      <c r="D15" s="233">
        <v>0.2</v>
      </c>
      <c r="E15" s="355">
        <v>0.4</v>
      </c>
      <c r="F15" s="355">
        <v>0.4</v>
      </c>
      <c r="G15" s="235">
        <v>-0.2</v>
      </c>
      <c r="H15" s="480">
        <v>-0.2</v>
      </c>
    </row>
    <row r="16" spans="1:9" s="481" customFormat="1" x14ac:dyDescent="0.2">
      <c r="A16" s="479"/>
      <c r="B16" s="479"/>
      <c r="C16" s="478"/>
      <c r="D16" s="233"/>
      <c r="E16" s="355"/>
      <c r="F16" s="355"/>
      <c r="G16" s="480"/>
      <c r="H16" s="482"/>
    </row>
    <row r="17" spans="1:11" ht="15" x14ac:dyDescent="0.25">
      <c r="A17" s="369" t="s">
        <v>180</v>
      </c>
      <c r="B17" s="323"/>
      <c r="C17" s="395"/>
      <c r="D17" s="231"/>
      <c r="E17" s="339"/>
      <c r="F17" s="339"/>
      <c r="G17" s="480"/>
      <c r="H17" s="384"/>
      <c r="I17" s="323"/>
      <c r="J17" s="323"/>
      <c r="K17" s="323"/>
    </row>
    <row r="18" spans="1:11" s="323" customFormat="1" x14ac:dyDescent="0.2">
      <c r="A18" s="323" t="s">
        <v>181</v>
      </c>
      <c r="D18" s="231">
        <v>130</v>
      </c>
      <c r="E18" s="339">
        <v>137</v>
      </c>
      <c r="F18" s="339">
        <v>129</v>
      </c>
      <c r="G18" s="236">
        <v>-7</v>
      </c>
      <c r="H18" s="485">
        <v>1</v>
      </c>
    </row>
    <row r="19" spans="1:11" s="323" customFormat="1" x14ac:dyDescent="0.2">
      <c r="A19" s="323" t="s">
        <v>182</v>
      </c>
      <c r="C19" s="357"/>
      <c r="D19" s="231">
        <v>197</v>
      </c>
      <c r="E19" s="339">
        <v>236</v>
      </c>
      <c r="F19" s="339">
        <v>226</v>
      </c>
      <c r="G19" s="236">
        <v>-39</v>
      </c>
      <c r="H19" s="485">
        <v>-29</v>
      </c>
    </row>
    <row r="20" spans="1:11" s="331" customFormat="1" ht="15" x14ac:dyDescent="0.25">
      <c r="C20" s="486"/>
      <c r="D20" s="487"/>
      <c r="E20" s="343"/>
      <c r="F20" s="343"/>
      <c r="G20" s="488"/>
      <c r="H20" s="489"/>
    </row>
    <row r="21" spans="1:11" x14ac:dyDescent="0.2">
      <c r="A21" s="359"/>
      <c r="B21" s="323"/>
      <c r="C21" s="357"/>
      <c r="D21" s="475"/>
      <c r="E21" s="475"/>
      <c r="F21" s="475"/>
      <c r="G21" s="324"/>
      <c r="H21" s="323"/>
      <c r="I21" s="323"/>
      <c r="J21" s="323"/>
      <c r="K21" s="323"/>
    </row>
    <row r="22" spans="1:11" s="351" customFormat="1" x14ac:dyDescent="0.2">
      <c r="A22" s="442" t="s">
        <v>89</v>
      </c>
      <c r="B22" s="442" t="s">
        <v>183</v>
      </c>
      <c r="C22" s="357"/>
      <c r="D22" s="490"/>
      <c r="E22" s="490"/>
      <c r="F22" s="490"/>
      <c r="G22" s="377"/>
    </row>
    <row r="23" spans="1:11" x14ac:dyDescent="0.2">
      <c r="A23" s="359"/>
      <c r="B23" s="360"/>
      <c r="C23" s="491"/>
      <c r="D23" s="491"/>
      <c r="E23" s="491"/>
      <c r="F23" s="491"/>
      <c r="G23" s="384"/>
      <c r="H23" s="323"/>
      <c r="I23" s="323"/>
      <c r="J23" s="323"/>
      <c r="K23" s="323"/>
    </row>
    <row r="24" spans="1:11" x14ac:dyDescent="0.2">
      <c r="A24" s="323"/>
      <c r="B24" s="360"/>
      <c r="C24" s="357"/>
      <c r="D24" s="8"/>
      <c r="E24" s="8"/>
      <c r="F24" s="8"/>
      <c r="G24" s="384"/>
      <c r="H24" s="323"/>
      <c r="I24" s="323"/>
      <c r="J24" s="323"/>
      <c r="K24" s="323"/>
    </row>
    <row r="25" spans="1:11" x14ac:dyDescent="0.2">
      <c r="A25" s="323"/>
      <c r="B25" s="323"/>
      <c r="C25" s="357"/>
      <c r="D25" s="329"/>
      <c r="E25" s="329"/>
      <c r="F25" s="329"/>
      <c r="G25" s="384"/>
      <c r="H25" s="323"/>
      <c r="I25" s="323"/>
      <c r="J25" s="323"/>
      <c r="K25" s="323"/>
    </row>
    <row r="26" spans="1:11" x14ac:dyDescent="0.2">
      <c r="A26" s="323"/>
      <c r="B26" s="323"/>
      <c r="C26" s="357"/>
      <c r="D26" s="329"/>
      <c r="E26" s="329"/>
      <c r="F26" s="329"/>
      <c r="G26" s="384"/>
      <c r="H26" s="323"/>
      <c r="I26" s="323"/>
      <c r="J26" s="323"/>
      <c r="K26" s="323"/>
    </row>
    <row r="27" spans="1:11" x14ac:dyDescent="0.2">
      <c r="A27" s="323"/>
      <c r="B27" s="323"/>
      <c r="C27" s="357"/>
      <c r="D27" s="329"/>
      <c r="E27" s="329"/>
      <c r="F27" s="329"/>
      <c r="G27" s="384"/>
      <c r="H27" s="323"/>
      <c r="I27" s="323"/>
      <c r="J27" s="323"/>
      <c r="K27" s="323"/>
    </row>
    <row r="28" spans="1:11" x14ac:dyDescent="0.2">
      <c r="A28" s="323"/>
      <c r="B28" s="323"/>
      <c r="C28" s="357"/>
      <c r="D28" s="329"/>
      <c r="E28" s="329"/>
      <c r="F28" s="329"/>
      <c r="G28" s="384"/>
      <c r="H28" s="323"/>
      <c r="I28" s="323"/>
      <c r="J28" s="323"/>
      <c r="K28" s="323"/>
    </row>
    <row r="29" spans="1:11" x14ac:dyDescent="0.2">
      <c r="A29" s="323"/>
      <c r="B29" s="323"/>
      <c r="C29" s="357"/>
      <c r="D29" s="329"/>
      <c r="E29" s="329"/>
      <c r="F29" s="329"/>
      <c r="G29" s="384"/>
      <c r="H29" s="323"/>
      <c r="I29" s="323"/>
      <c r="J29" s="323"/>
      <c r="K29" s="323"/>
    </row>
    <row r="30" spans="1:11" x14ac:dyDescent="0.2">
      <c r="A30" s="323"/>
      <c r="B30" s="323"/>
      <c r="C30" s="357"/>
      <c r="D30" s="329"/>
      <c r="E30" s="329"/>
      <c r="F30" s="329"/>
      <c r="G30" s="384"/>
      <c r="H30" s="323"/>
      <c r="I30" s="323"/>
      <c r="J30" s="323"/>
      <c r="K30" s="323"/>
    </row>
    <row r="31" spans="1:11" x14ac:dyDescent="0.2">
      <c r="A31" s="323"/>
      <c r="B31" s="323"/>
      <c r="C31" s="357"/>
      <c r="D31" s="329"/>
      <c r="E31" s="329"/>
      <c r="F31" s="329"/>
      <c r="G31" s="384"/>
      <c r="H31" s="323"/>
      <c r="I31" s="323"/>
      <c r="J31" s="323"/>
      <c r="K31" s="323"/>
    </row>
    <row r="32" spans="1:11" x14ac:dyDescent="0.2">
      <c r="A32" s="323"/>
      <c r="B32" s="323"/>
      <c r="C32" s="357"/>
      <c r="D32" s="329"/>
      <c r="E32" s="329"/>
      <c r="F32" s="329"/>
      <c r="G32" s="384"/>
      <c r="H32" s="323"/>
      <c r="I32" s="323"/>
      <c r="J32" s="323"/>
      <c r="K32" s="323"/>
    </row>
    <row r="33" spans="1:11" x14ac:dyDescent="0.2">
      <c r="A33" s="323"/>
      <c r="B33" s="323"/>
      <c r="C33" s="357"/>
      <c r="D33" s="329"/>
      <c r="E33" s="329"/>
      <c r="F33" s="329"/>
      <c r="G33" s="384"/>
      <c r="H33" s="323"/>
      <c r="I33" s="323"/>
      <c r="J33" s="323"/>
      <c r="K33" s="323"/>
    </row>
    <row r="34" spans="1:11" x14ac:dyDescent="0.2">
      <c r="A34" s="323"/>
      <c r="B34" s="323"/>
      <c r="C34" s="357"/>
      <c r="D34" s="329"/>
      <c r="E34" s="329"/>
      <c r="F34" s="329"/>
      <c r="G34" s="384"/>
      <c r="H34" s="323"/>
      <c r="I34" s="323"/>
      <c r="J34" s="323"/>
      <c r="K34" s="323"/>
    </row>
    <row r="35" spans="1:11" x14ac:dyDescent="0.2">
      <c r="A35" s="323"/>
      <c r="B35" s="323"/>
      <c r="C35" s="357"/>
      <c r="D35" s="329"/>
      <c r="E35" s="329"/>
      <c r="F35" s="329"/>
      <c r="G35" s="384"/>
      <c r="H35" s="323"/>
      <c r="I35" s="323"/>
      <c r="J35" s="323"/>
      <c r="K35" s="323"/>
    </row>
    <row r="36" spans="1:11" x14ac:dyDescent="0.2">
      <c r="A36" s="323"/>
      <c r="B36" s="323"/>
      <c r="C36" s="357"/>
      <c r="D36" s="329"/>
      <c r="E36" s="329"/>
      <c r="F36" s="329"/>
      <c r="G36" s="384"/>
      <c r="H36" s="323"/>
      <c r="I36" s="323"/>
      <c r="J36" s="323"/>
      <c r="K36" s="323"/>
    </row>
    <row r="37" spans="1:11" x14ac:dyDescent="0.2">
      <c r="A37" s="323"/>
      <c r="B37" s="323"/>
      <c r="C37" s="357"/>
      <c r="D37" s="329"/>
      <c r="E37" s="329"/>
      <c r="F37" s="329"/>
      <c r="G37" s="384"/>
      <c r="H37" s="323"/>
      <c r="I37" s="323"/>
      <c r="J37" s="323"/>
      <c r="K37" s="323"/>
    </row>
    <row r="38" spans="1:11" x14ac:dyDescent="0.2">
      <c r="A38" s="323"/>
      <c r="B38" s="323"/>
      <c r="C38" s="357"/>
      <c r="D38" s="329"/>
      <c r="E38" s="329"/>
      <c r="F38" s="329"/>
      <c r="G38" s="384"/>
      <c r="H38" s="323"/>
      <c r="I38" s="323"/>
      <c r="J38" s="323"/>
      <c r="K38" s="323"/>
    </row>
    <row r="39" spans="1:11" x14ac:dyDescent="0.2">
      <c r="A39" s="323"/>
      <c r="B39" s="323"/>
      <c r="C39" s="357"/>
      <c r="D39" s="330"/>
      <c r="E39" s="330"/>
      <c r="F39" s="330"/>
      <c r="G39" s="384"/>
      <c r="H39" s="323"/>
      <c r="I39" s="323"/>
      <c r="J39" s="323"/>
      <c r="K39" s="323"/>
    </row>
    <row r="40" spans="1:11" x14ac:dyDescent="0.2">
      <c r="A40" s="323"/>
      <c r="B40" s="323"/>
      <c r="C40" s="357"/>
      <c r="D40" s="330"/>
      <c r="E40" s="330"/>
      <c r="F40" s="330"/>
      <c r="G40" s="384"/>
      <c r="H40" s="323"/>
      <c r="I40" s="323"/>
      <c r="J40" s="323"/>
      <c r="K40" s="323"/>
    </row>
    <row r="41" spans="1:11" x14ac:dyDescent="0.2">
      <c r="A41" s="323"/>
      <c r="B41" s="323"/>
      <c r="C41" s="357"/>
      <c r="D41" s="330"/>
      <c r="E41" s="330"/>
      <c r="F41" s="330"/>
      <c r="G41" s="384"/>
      <c r="H41" s="323"/>
      <c r="I41" s="323"/>
      <c r="J41" s="323"/>
      <c r="K41" s="323"/>
    </row>
    <row r="42" spans="1:11" x14ac:dyDescent="0.2">
      <c r="A42" s="323"/>
      <c r="B42" s="323"/>
      <c r="C42" s="357"/>
      <c r="D42" s="330"/>
      <c r="E42" s="330"/>
      <c r="F42" s="330"/>
      <c r="G42" s="384"/>
      <c r="H42" s="323"/>
      <c r="I42" s="323"/>
      <c r="J42" s="323"/>
      <c r="K42" s="323"/>
    </row>
    <row r="43" spans="1:11" x14ac:dyDescent="0.2">
      <c r="A43" s="323"/>
      <c r="B43" s="323"/>
      <c r="C43" s="357"/>
      <c r="D43" s="330"/>
      <c r="E43" s="330"/>
      <c r="F43" s="330"/>
      <c r="G43" s="384"/>
      <c r="H43" s="323"/>
      <c r="I43" s="323"/>
      <c r="J43" s="323"/>
      <c r="K43" s="323"/>
    </row>
    <row r="44" spans="1:11" x14ac:dyDescent="0.2">
      <c r="A44" s="323"/>
      <c r="B44" s="323"/>
      <c r="C44" s="357"/>
      <c r="D44" s="330"/>
      <c r="E44" s="330"/>
      <c r="F44" s="330"/>
      <c r="G44" s="384"/>
      <c r="H44" s="323"/>
      <c r="I44" s="323"/>
      <c r="J44" s="323"/>
      <c r="K44" s="323"/>
    </row>
    <row r="45" spans="1:11" x14ac:dyDescent="0.2">
      <c r="A45" s="323"/>
      <c r="B45" s="323"/>
      <c r="C45" s="357"/>
      <c r="D45" s="330"/>
      <c r="E45" s="330"/>
      <c r="F45" s="330"/>
      <c r="G45" s="384"/>
      <c r="H45" s="323"/>
      <c r="I45" s="323"/>
      <c r="J45" s="323"/>
      <c r="K45" s="323"/>
    </row>
    <row r="46" spans="1:11" x14ac:dyDescent="0.2">
      <c r="A46" s="323"/>
      <c r="B46" s="323"/>
      <c r="C46" s="357"/>
      <c r="D46" s="330"/>
      <c r="E46" s="330"/>
      <c r="F46" s="330"/>
      <c r="G46" s="384"/>
      <c r="H46" s="323"/>
      <c r="I46" s="323"/>
      <c r="J46" s="323"/>
      <c r="K46" s="323"/>
    </row>
    <row r="47" spans="1:11" x14ac:dyDescent="0.2">
      <c r="A47" s="323"/>
      <c r="B47" s="323"/>
      <c r="C47" s="357"/>
      <c r="D47" s="330"/>
      <c r="E47" s="330"/>
      <c r="F47" s="330"/>
      <c r="G47" s="384"/>
      <c r="H47" s="323"/>
      <c r="I47" s="323"/>
      <c r="J47" s="323"/>
      <c r="K47" s="323"/>
    </row>
    <row r="48" spans="1:11" x14ac:dyDescent="0.2">
      <c r="D48" s="330"/>
      <c r="E48" s="330"/>
      <c r="F48" s="330"/>
    </row>
    <row r="49" spans="4:6" x14ac:dyDescent="0.2">
      <c r="D49" s="330"/>
      <c r="E49" s="330"/>
      <c r="F49" s="330"/>
    </row>
    <row r="50" spans="4:6" x14ac:dyDescent="0.2">
      <c r="D50" s="330"/>
      <c r="E50" s="330"/>
      <c r="F50" s="330"/>
    </row>
    <row r="51" spans="4:6" x14ac:dyDescent="0.2">
      <c r="D51" s="330"/>
      <c r="E51" s="330"/>
      <c r="F51" s="330"/>
    </row>
    <row r="52" spans="4:6" x14ac:dyDescent="0.2">
      <c r="D52" s="330"/>
      <c r="E52" s="330"/>
      <c r="F52" s="330"/>
    </row>
    <row r="53" spans="4:6" x14ac:dyDescent="0.2">
      <c r="D53" s="330"/>
      <c r="E53" s="330"/>
      <c r="F53" s="330"/>
    </row>
    <row r="54" spans="4:6" x14ac:dyDescent="0.2">
      <c r="D54" s="330"/>
      <c r="E54" s="330"/>
      <c r="F54" s="330"/>
    </row>
    <row r="55" spans="4:6" x14ac:dyDescent="0.2">
      <c r="D55" s="330"/>
      <c r="E55" s="330"/>
      <c r="F55" s="330"/>
    </row>
    <row r="56" spans="4:6" x14ac:dyDescent="0.2">
      <c r="D56" s="330"/>
      <c r="E56" s="330"/>
      <c r="F56" s="330"/>
    </row>
    <row r="57" spans="4:6" x14ac:dyDescent="0.2">
      <c r="D57" s="330"/>
      <c r="E57" s="330"/>
      <c r="F57" s="330"/>
    </row>
    <row r="58" spans="4:6" x14ac:dyDescent="0.2">
      <c r="D58" s="330"/>
      <c r="E58" s="330"/>
      <c r="F58" s="330"/>
    </row>
    <row r="59" spans="4:6" x14ac:dyDescent="0.2">
      <c r="D59" s="330"/>
      <c r="E59" s="330"/>
      <c r="F59" s="330"/>
    </row>
    <row r="60" spans="4:6" x14ac:dyDescent="0.2">
      <c r="D60" s="330"/>
      <c r="E60" s="330"/>
      <c r="F60" s="330"/>
    </row>
    <row r="61" spans="4:6" x14ac:dyDescent="0.2">
      <c r="D61" s="330"/>
      <c r="E61" s="330"/>
      <c r="F61" s="330"/>
    </row>
    <row r="62" spans="4:6" x14ac:dyDescent="0.2">
      <c r="D62" s="330"/>
      <c r="E62" s="330"/>
      <c r="F62" s="330"/>
    </row>
    <row r="63" spans="4:6" x14ac:dyDescent="0.2">
      <c r="D63" s="330"/>
      <c r="E63" s="330"/>
      <c r="F63" s="330"/>
    </row>
    <row r="64" spans="4:6" x14ac:dyDescent="0.2">
      <c r="D64" s="330"/>
      <c r="E64" s="330"/>
      <c r="F64" s="330"/>
    </row>
    <row r="65" spans="4:6" x14ac:dyDescent="0.2">
      <c r="D65" s="330"/>
      <c r="E65" s="330"/>
      <c r="F65" s="330"/>
    </row>
    <row r="66" spans="4:6" x14ac:dyDescent="0.2">
      <c r="D66" s="330"/>
      <c r="E66" s="330"/>
      <c r="F66" s="330"/>
    </row>
    <row r="67" spans="4:6" x14ac:dyDescent="0.2">
      <c r="D67" s="330"/>
      <c r="E67" s="330"/>
      <c r="F67" s="330"/>
    </row>
    <row r="68" spans="4:6" x14ac:dyDescent="0.2">
      <c r="D68" s="330"/>
      <c r="E68" s="330"/>
      <c r="F68" s="330"/>
    </row>
    <row r="69" spans="4:6" x14ac:dyDescent="0.2">
      <c r="D69" s="330"/>
      <c r="E69" s="330"/>
      <c r="F69" s="330"/>
    </row>
    <row r="70" spans="4:6" x14ac:dyDescent="0.2">
      <c r="D70" s="330"/>
      <c r="E70" s="330"/>
      <c r="F70" s="330"/>
    </row>
    <row r="71" spans="4:6" x14ac:dyDescent="0.2">
      <c r="D71" s="330"/>
      <c r="E71" s="330"/>
      <c r="F71" s="330"/>
    </row>
    <row r="72" spans="4:6" x14ac:dyDescent="0.2">
      <c r="D72" s="330"/>
      <c r="E72" s="330"/>
      <c r="F72" s="330"/>
    </row>
    <row r="73" spans="4:6" x14ac:dyDescent="0.2">
      <c r="D73" s="330"/>
      <c r="E73" s="330"/>
      <c r="F73" s="330"/>
    </row>
    <row r="74" spans="4:6" x14ac:dyDescent="0.2">
      <c r="D74" s="330"/>
      <c r="E74" s="330"/>
      <c r="F74" s="330"/>
    </row>
    <row r="75" spans="4:6" x14ac:dyDescent="0.2">
      <c r="D75" s="330"/>
      <c r="E75" s="330"/>
      <c r="F75" s="330"/>
    </row>
    <row r="76" spans="4:6" x14ac:dyDescent="0.2">
      <c r="D76" s="330"/>
      <c r="E76" s="330"/>
      <c r="F76" s="330"/>
    </row>
    <row r="77" spans="4:6" x14ac:dyDescent="0.2">
      <c r="D77" s="330"/>
      <c r="E77" s="330"/>
      <c r="F77" s="330"/>
    </row>
    <row r="78" spans="4:6" x14ac:dyDescent="0.2">
      <c r="D78" s="330"/>
      <c r="E78" s="330"/>
      <c r="F78" s="330"/>
    </row>
    <row r="79" spans="4:6" x14ac:dyDescent="0.2">
      <c r="D79" s="330"/>
      <c r="E79" s="330"/>
      <c r="F79" s="330"/>
    </row>
    <row r="80" spans="4:6" x14ac:dyDescent="0.2">
      <c r="D80" s="330"/>
      <c r="E80" s="330"/>
      <c r="F80" s="330"/>
    </row>
    <row r="81" spans="4:6" x14ac:dyDescent="0.2">
      <c r="D81" s="330"/>
      <c r="E81" s="330"/>
      <c r="F81" s="330"/>
    </row>
    <row r="82" spans="4:6" x14ac:dyDescent="0.2">
      <c r="D82" s="330"/>
      <c r="E82" s="330"/>
      <c r="F82" s="330"/>
    </row>
    <row r="83" spans="4:6" x14ac:dyDescent="0.2">
      <c r="D83" s="330"/>
      <c r="E83" s="330"/>
      <c r="F83" s="330"/>
    </row>
    <row r="84" spans="4:6" x14ac:dyDescent="0.2">
      <c r="D84" s="330"/>
      <c r="E84" s="330"/>
      <c r="F84" s="330"/>
    </row>
    <row r="85" spans="4:6" x14ac:dyDescent="0.2">
      <c r="D85" s="330"/>
      <c r="E85" s="330"/>
      <c r="F85" s="330"/>
    </row>
    <row r="86" spans="4:6" x14ac:dyDescent="0.2">
      <c r="D86" s="330"/>
      <c r="E86" s="330"/>
      <c r="F86" s="330"/>
    </row>
    <row r="87" spans="4:6" x14ac:dyDescent="0.2">
      <c r="D87" s="330"/>
      <c r="E87" s="330"/>
      <c r="F87" s="330"/>
    </row>
    <row r="88" spans="4:6" x14ac:dyDescent="0.2">
      <c r="D88" s="330"/>
      <c r="E88" s="330"/>
      <c r="F88" s="330"/>
    </row>
    <row r="89" spans="4:6" x14ac:dyDescent="0.2">
      <c r="D89" s="330"/>
      <c r="E89" s="330"/>
      <c r="F89" s="330"/>
    </row>
    <row r="90" spans="4:6" x14ac:dyDescent="0.2">
      <c r="D90" s="330"/>
      <c r="E90" s="330"/>
      <c r="F90" s="330"/>
    </row>
    <row r="91" spans="4:6" x14ac:dyDescent="0.2">
      <c r="D91" s="330"/>
      <c r="E91" s="330"/>
      <c r="F91" s="330"/>
    </row>
    <row r="92" spans="4:6" x14ac:dyDescent="0.2">
      <c r="D92" s="330"/>
      <c r="E92" s="330"/>
      <c r="F92" s="330"/>
    </row>
    <row r="93" spans="4:6" x14ac:dyDescent="0.2">
      <c r="D93" s="330"/>
      <c r="E93" s="330"/>
      <c r="F93" s="330"/>
    </row>
    <row r="94" spans="4:6" x14ac:dyDescent="0.2">
      <c r="D94" s="330"/>
      <c r="E94" s="330"/>
      <c r="F94" s="330"/>
    </row>
    <row r="95" spans="4:6" x14ac:dyDescent="0.2">
      <c r="D95" s="330"/>
      <c r="E95" s="330"/>
      <c r="F95" s="330"/>
    </row>
    <row r="96" spans="4:6" x14ac:dyDescent="0.2">
      <c r="D96" s="330"/>
      <c r="E96" s="330"/>
      <c r="F96" s="330"/>
    </row>
    <row r="97" spans="4:6" x14ac:dyDescent="0.2">
      <c r="D97" s="330"/>
      <c r="E97" s="330"/>
      <c r="F97" s="330"/>
    </row>
    <row r="98" spans="4:6" x14ac:dyDescent="0.2">
      <c r="D98" s="330"/>
      <c r="E98" s="330"/>
      <c r="F98" s="330"/>
    </row>
    <row r="99" spans="4:6" x14ac:dyDescent="0.2">
      <c r="D99" s="330"/>
      <c r="E99" s="330"/>
      <c r="F99" s="330"/>
    </row>
    <row r="100" spans="4:6" x14ac:dyDescent="0.2">
      <c r="D100" s="330"/>
      <c r="E100" s="330"/>
      <c r="F100" s="330"/>
    </row>
    <row r="101" spans="4:6" x14ac:dyDescent="0.2">
      <c r="D101" s="330"/>
      <c r="E101" s="330"/>
      <c r="F101" s="330"/>
    </row>
    <row r="102" spans="4:6" x14ac:dyDescent="0.2">
      <c r="D102" s="330"/>
      <c r="E102" s="330"/>
      <c r="F102" s="330"/>
    </row>
    <row r="103" spans="4:6" x14ac:dyDescent="0.2">
      <c r="D103" s="330"/>
      <c r="E103" s="330"/>
      <c r="F103" s="330"/>
    </row>
    <row r="104" spans="4:6" x14ac:dyDescent="0.2">
      <c r="D104" s="330"/>
      <c r="E104" s="330"/>
      <c r="F104" s="330"/>
    </row>
    <row r="105" spans="4:6" x14ac:dyDescent="0.2">
      <c r="D105" s="330"/>
      <c r="E105" s="330"/>
      <c r="F105" s="330"/>
    </row>
    <row r="106" spans="4:6" x14ac:dyDescent="0.2">
      <c r="D106" s="330"/>
      <c r="E106" s="330"/>
      <c r="F106" s="330"/>
    </row>
    <row r="107" spans="4:6" x14ac:dyDescent="0.2">
      <c r="D107" s="330"/>
      <c r="E107" s="330"/>
      <c r="F107" s="330"/>
    </row>
    <row r="108" spans="4:6" x14ac:dyDescent="0.2">
      <c r="D108" s="330"/>
      <c r="E108" s="330"/>
      <c r="F108" s="330"/>
    </row>
    <row r="109" spans="4:6" x14ac:dyDescent="0.2">
      <c r="D109" s="330"/>
      <c r="E109" s="330"/>
      <c r="F109" s="330"/>
    </row>
    <row r="110" spans="4:6" x14ac:dyDescent="0.2">
      <c r="D110" s="330"/>
      <c r="E110" s="330"/>
      <c r="F110" s="330"/>
    </row>
    <row r="111" spans="4:6" x14ac:dyDescent="0.2">
      <c r="D111" s="330"/>
      <c r="E111" s="330"/>
      <c r="F111" s="330"/>
    </row>
    <row r="112" spans="4:6" x14ac:dyDescent="0.2">
      <c r="D112" s="330"/>
      <c r="E112" s="330"/>
      <c r="F112" s="330"/>
    </row>
    <row r="113" spans="4:6" x14ac:dyDescent="0.2">
      <c r="D113" s="330"/>
      <c r="E113" s="330"/>
      <c r="F113" s="330"/>
    </row>
    <row r="114" spans="4:6" x14ac:dyDescent="0.2">
      <c r="D114" s="330"/>
      <c r="E114" s="330"/>
      <c r="F114" s="330"/>
    </row>
    <row r="115" spans="4:6" x14ac:dyDescent="0.2">
      <c r="D115" s="330"/>
      <c r="E115" s="330"/>
      <c r="F115" s="330"/>
    </row>
    <row r="116" spans="4:6" x14ac:dyDescent="0.2">
      <c r="D116" s="330"/>
      <c r="E116" s="330"/>
      <c r="F116" s="330"/>
    </row>
    <row r="117" spans="4:6" x14ac:dyDescent="0.2">
      <c r="D117" s="330"/>
      <c r="E117" s="330"/>
      <c r="F117" s="330"/>
    </row>
    <row r="118" spans="4:6" x14ac:dyDescent="0.2">
      <c r="D118" s="330"/>
      <c r="E118" s="330"/>
      <c r="F118" s="330"/>
    </row>
    <row r="119" spans="4:6" x14ac:dyDescent="0.2">
      <c r="D119" s="330"/>
      <c r="E119" s="330"/>
      <c r="F119" s="330"/>
    </row>
    <row r="120" spans="4:6" x14ac:dyDescent="0.2">
      <c r="D120" s="330"/>
      <c r="E120" s="330"/>
      <c r="F120" s="330"/>
    </row>
    <row r="121" spans="4:6" x14ac:dyDescent="0.2">
      <c r="D121" s="330"/>
      <c r="E121" s="330"/>
      <c r="F121" s="330"/>
    </row>
    <row r="122" spans="4:6" x14ac:dyDescent="0.2">
      <c r="D122" s="330"/>
      <c r="E122" s="330"/>
      <c r="F122" s="330"/>
    </row>
    <row r="123" spans="4:6" x14ac:dyDescent="0.2">
      <c r="D123" s="330"/>
      <c r="E123" s="330"/>
      <c r="F123" s="330"/>
    </row>
    <row r="124" spans="4:6" x14ac:dyDescent="0.2">
      <c r="D124" s="330"/>
      <c r="E124" s="330"/>
      <c r="F124" s="330"/>
    </row>
    <row r="125" spans="4:6" x14ac:dyDescent="0.2">
      <c r="D125" s="330"/>
      <c r="E125" s="330"/>
      <c r="F125" s="330"/>
    </row>
    <row r="126" spans="4:6" x14ac:dyDescent="0.2">
      <c r="D126" s="330"/>
      <c r="E126" s="330"/>
      <c r="F126" s="330"/>
    </row>
    <row r="127" spans="4:6" x14ac:dyDescent="0.2">
      <c r="D127" s="330"/>
      <c r="E127" s="330"/>
      <c r="F127" s="330"/>
    </row>
    <row r="128" spans="4:6" x14ac:dyDescent="0.2">
      <c r="D128" s="330"/>
      <c r="E128" s="330"/>
      <c r="F128" s="330"/>
    </row>
    <row r="129" spans="4:6" x14ac:dyDescent="0.2">
      <c r="D129" s="330"/>
      <c r="E129" s="330"/>
      <c r="F129" s="330"/>
    </row>
    <row r="130" spans="4:6" x14ac:dyDescent="0.2">
      <c r="D130" s="330"/>
      <c r="E130" s="330"/>
      <c r="F130" s="330"/>
    </row>
    <row r="131" spans="4:6" x14ac:dyDescent="0.2">
      <c r="D131" s="330"/>
      <c r="E131" s="330"/>
      <c r="F131" s="330"/>
    </row>
    <row r="132" spans="4:6" x14ac:dyDescent="0.2">
      <c r="D132" s="330"/>
      <c r="E132" s="330"/>
      <c r="F132" s="330"/>
    </row>
    <row r="133" spans="4:6" x14ac:dyDescent="0.2">
      <c r="D133" s="330"/>
      <c r="E133" s="330"/>
      <c r="F133" s="330"/>
    </row>
    <row r="134" spans="4:6" x14ac:dyDescent="0.2">
      <c r="D134" s="330"/>
      <c r="E134" s="330"/>
      <c r="F134" s="330"/>
    </row>
    <row r="135" spans="4:6" x14ac:dyDescent="0.2">
      <c r="D135" s="330"/>
      <c r="E135" s="330"/>
      <c r="F135" s="330"/>
    </row>
    <row r="136" spans="4:6" x14ac:dyDescent="0.2">
      <c r="D136" s="330"/>
      <c r="E136" s="330"/>
      <c r="F136" s="330"/>
    </row>
    <row r="137" spans="4:6" x14ac:dyDescent="0.2">
      <c r="D137" s="330"/>
      <c r="E137" s="330"/>
      <c r="F137" s="330"/>
    </row>
    <row r="138" spans="4:6" x14ac:dyDescent="0.2">
      <c r="D138" s="330"/>
      <c r="E138" s="330"/>
      <c r="F138" s="330"/>
    </row>
    <row r="139" spans="4:6" x14ac:dyDescent="0.2">
      <c r="D139" s="330"/>
      <c r="E139" s="330"/>
      <c r="F139" s="330"/>
    </row>
    <row r="140" spans="4:6" x14ac:dyDescent="0.2">
      <c r="D140" s="330"/>
      <c r="E140" s="330"/>
      <c r="F140" s="330"/>
    </row>
    <row r="141" spans="4:6" x14ac:dyDescent="0.2">
      <c r="D141" s="330"/>
      <c r="E141" s="330"/>
      <c r="F141" s="330"/>
    </row>
    <row r="142" spans="4:6" x14ac:dyDescent="0.2">
      <c r="D142" s="330"/>
      <c r="E142" s="330"/>
      <c r="F142" s="330"/>
    </row>
    <row r="143" spans="4:6" x14ac:dyDescent="0.2">
      <c r="D143" s="330"/>
      <c r="E143" s="330"/>
      <c r="F143" s="330"/>
    </row>
    <row r="144" spans="4:6" x14ac:dyDescent="0.2">
      <c r="D144" s="460"/>
      <c r="E144" s="460"/>
      <c r="F144" s="460"/>
    </row>
    <row r="145" spans="4:6" x14ac:dyDescent="0.2">
      <c r="D145" s="460"/>
      <c r="E145" s="460"/>
      <c r="F145" s="460"/>
    </row>
    <row r="146" spans="4:6" x14ac:dyDescent="0.2">
      <c r="D146" s="460"/>
      <c r="E146" s="460"/>
      <c r="F146" s="460"/>
    </row>
    <row r="147" spans="4:6" x14ac:dyDescent="0.2">
      <c r="D147" s="460"/>
      <c r="E147" s="460"/>
      <c r="F147" s="460"/>
    </row>
  </sheetData>
  <mergeCells count="1">
    <mergeCell ref="A2:C2"/>
  </mergeCells>
  <phoneticPr fontId="2" type="noConversion"/>
  <hyperlinks>
    <hyperlink ref="A2" location="Index!A1" display="Back to Index" xr:uid="{30687986-0750-4CB0-811D-D4FCFBA96244}"/>
  </hyperlinks>
  <printOptions gridLines="1"/>
  <pageMargins left="0.74803149606299213" right="0.31496062992125984" top="0.98425196850393704" bottom="0.98425196850393704" header="0.51181102362204722" footer="0.51181102362204722"/>
  <pageSetup paperSize="9" scale="90" orientation="landscape" blackAndWhite="1" r:id="rId1"/>
  <headerFooter alignWithMargins="0">
    <oddFooter>&amp;L&amp;D\&amp;T&amp;R&amp;F&amp;A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3075-12A2-4AAB-93D0-8214A0E63412}">
  <sheetPr>
    <tabColor indexed="47"/>
  </sheetPr>
  <dimension ref="A1:I80"/>
  <sheetViews>
    <sheetView showGridLines="0" zoomScale="85" zoomScaleNormal="85" workbookViewId="0"/>
  </sheetViews>
  <sheetFormatPr defaultColWidth="9.42578125" defaultRowHeight="14.25" x14ac:dyDescent="0.2"/>
  <cols>
    <col min="1" max="1" width="4.42578125" style="496" customWidth="1"/>
    <col min="2" max="2" width="3.42578125" style="496" customWidth="1"/>
    <col min="3" max="3" width="54" style="508" customWidth="1"/>
    <col min="4" max="5" width="11.42578125" style="509" customWidth="1"/>
    <col min="6" max="6" width="11.42578125" style="509" customWidth="1" collapsed="1"/>
    <col min="7" max="8" width="11.42578125" style="496" customWidth="1"/>
    <col min="9" max="16384" width="9.42578125" style="496"/>
  </cols>
  <sheetData>
    <row r="1" spans="1:9" s="493" customFormat="1" ht="20.25" x14ac:dyDescent="0.3">
      <c r="A1" s="3" t="s">
        <v>14</v>
      </c>
      <c r="B1" s="4"/>
      <c r="C1" s="4"/>
      <c r="D1" s="366"/>
      <c r="E1" s="366"/>
      <c r="F1" s="366"/>
      <c r="G1" s="4"/>
      <c r="H1" s="4"/>
      <c r="I1" s="4"/>
    </row>
    <row r="2" spans="1:9" s="494" customFormat="1" ht="60" x14ac:dyDescent="0.25">
      <c r="A2" s="781" t="s">
        <v>33</v>
      </c>
      <c r="B2" s="781"/>
      <c r="C2" s="781"/>
      <c r="D2" s="446">
        <v>45992</v>
      </c>
      <c r="E2" s="446">
        <v>45809</v>
      </c>
      <c r="F2" s="446">
        <v>45627</v>
      </c>
      <c r="G2" s="446" t="s">
        <v>436</v>
      </c>
      <c r="H2" s="446" t="s">
        <v>437</v>
      </c>
      <c r="I2" s="6"/>
    </row>
    <row r="3" spans="1:9" s="495" customFormat="1" ht="10.35" customHeight="1" x14ac:dyDescent="0.25">
      <c r="A3" s="381"/>
      <c r="B3" s="331"/>
      <c r="C3" s="331"/>
      <c r="D3" s="168"/>
      <c r="E3" s="332"/>
      <c r="F3" s="332"/>
      <c r="G3" s="376"/>
      <c r="H3" s="376"/>
      <c r="I3" s="331"/>
    </row>
    <row r="4" spans="1:9" s="495" customFormat="1" ht="15.75" customHeight="1" x14ac:dyDescent="0.25">
      <c r="A4" s="369" t="s">
        <v>447</v>
      </c>
      <c r="B4" s="331"/>
      <c r="C4" s="331"/>
      <c r="D4" s="168"/>
      <c r="E4" s="332"/>
      <c r="F4" s="332"/>
      <c r="G4" s="331"/>
      <c r="H4" s="331"/>
      <c r="I4" s="331"/>
    </row>
    <row r="5" spans="1:9" s="495" customFormat="1" ht="15.75" customHeight="1" x14ac:dyDescent="0.25">
      <c r="A5" s="331" t="s">
        <v>184</v>
      </c>
      <c r="B5" s="331"/>
      <c r="C5" s="331"/>
      <c r="D5" s="107">
        <v>4843</v>
      </c>
      <c r="E5" s="332">
        <v>4686</v>
      </c>
      <c r="F5" s="332">
        <v>5036</v>
      </c>
      <c r="G5" s="161">
        <v>3.3504054630815183</v>
      </c>
      <c r="H5" s="161">
        <v>-3.8324066719618743</v>
      </c>
      <c r="I5" s="331"/>
    </row>
    <row r="6" spans="1:9" s="495" customFormat="1" ht="15" x14ac:dyDescent="0.25">
      <c r="A6" s="381"/>
      <c r="B6" s="331" t="s">
        <v>185</v>
      </c>
      <c r="C6" s="331"/>
      <c r="D6" s="107">
        <v>4629</v>
      </c>
      <c r="E6" s="332">
        <v>4452</v>
      </c>
      <c r="F6" s="332">
        <v>4780</v>
      </c>
      <c r="G6" s="161">
        <v>3.9757412398921943</v>
      </c>
      <c r="H6" s="161">
        <v>-3.158995815899579</v>
      </c>
      <c r="I6" s="331"/>
    </row>
    <row r="7" spans="1:9" s="495" customFormat="1" ht="15" x14ac:dyDescent="0.25">
      <c r="A7" s="331"/>
      <c r="B7" s="331" t="s">
        <v>186</v>
      </c>
      <c r="C7" s="331"/>
      <c r="D7" s="107">
        <v>214</v>
      </c>
      <c r="E7" s="332">
        <v>234</v>
      </c>
      <c r="F7" s="332">
        <v>256</v>
      </c>
      <c r="G7" s="161">
        <v>-8.5470085470085504</v>
      </c>
      <c r="H7" s="161">
        <v>-16.40625</v>
      </c>
      <c r="I7" s="331"/>
    </row>
    <row r="8" spans="1:9" x14ac:dyDescent="0.2">
      <c r="A8" s="323"/>
      <c r="B8" s="323"/>
      <c r="C8" s="324" t="s">
        <v>187</v>
      </c>
      <c r="D8" s="133">
        <v>214</v>
      </c>
      <c r="E8" s="8">
        <v>234</v>
      </c>
      <c r="F8" s="8">
        <v>256</v>
      </c>
      <c r="G8" s="161">
        <v>-8.5470085470085504</v>
      </c>
      <c r="H8" s="161">
        <v>-16.40625</v>
      </c>
      <c r="I8" s="323"/>
    </row>
    <row r="9" spans="1:9" s="495" customFormat="1" ht="20.100000000000001" customHeight="1" x14ac:dyDescent="0.25">
      <c r="A9" s="378" t="s">
        <v>188</v>
      </c>
      <c r="B9" s="331"/>
      <c r="C9" s="331"/>
      <c r="D9" s="107"/>
      <c r="E9" s="332"/>
      <c r="F9" s="332"/>
      <c r="G9" s="161"/>
      <c r="H9" s="161"/>
      <c r="I9" s="331"/>
    </row>
    <row r="10" spans="1:9" x14ac:dyDescent="0.2">
      <c r="A10" s="357"/>
      <c r="B10" s="323" t="s">
        <v>189</v>
      </c>
      <c r="C10" s="323"/>
      <c r="D10" s="133">
        <v>2390</v>
      </c>
      <c r="E10" s="8">
        <v>2613</v>
      </c>
      <c r="F10" s="8">
        <v>2732</v>
      </c>
      <c r="G10" s="161">
        <v>-8.5342518178339049</v>
      </c>
      <c r="H10" s="161">
        <v>-12.518301610541727</v>
      </c>
      <c r="I10" s="323"/>
    </row>
    <row r="11" spans="1:9" x14ac:dyDescent="0.2">
      <c r="A11" s="357"/>
      <c r="B11" s="323" t="s">
        <v>190</v>
      </c>
      <c r="C11" s="323"/>
      <c r="D11" s="133">
        <v>1357</v>
      </c>
      <c r="E11" s="8">
        <v>1050</v>
      </c>
      <c r="F11" s="8">
        <v>1234</v>
      </c>
      <c r="G11" s="161">
        <v>29.238095238095241</v>
      </c>
      <c r="H11" s="161">
        <v>9.9675850891409965</v>
      </c>
      <c r="I11" s="323"/>
    </row>
    <row r="12" spans="1:9" x14ac:dyDescent="0.2">
      <c r="A12" s="357"/>
      <c r="B12" s="323" t="s">
        <v>191</v>
      </c>
      <c r="C12" s="323"/>
      <c r="D12" s="133">
        <v>1096</v>
      </c>
      <c r="E12" s="8">
        <v>1023</v>
      </c>
      <c r="F12" s="8">
        <v>1070</v>
      </c>
      <c r="G12" s="161">
        <v>7.1358748778103553</v>
      </c>
      <c r="H12" s="161">
        <v>2.4299065420560817</v>
      </c>
      <c r="I12" s="323"/>
    </row>
    <row r="13" spans="1:9" s="495" customFormat="1" ht="20.100000000000001" customHeight="1" x14ac:dyDescent="0.25">
      <c r="A13" s="378" t="s">
        <v>192</v>
      </c>
      <c r="B13" s="331"/>
      <c r="C13" s="323"/>
      <c r="D13" s="107"/>
      <c r="E13" s="332"/>
      <c r="F13" s="332"/>
      <c r="G13" s="161"/>
      <c r="H13" s="161"/>
      <c r="I13" s="331"/>
    </row>
    <row r="14" spans="1:9" x14ac:dyDescent="0.2">
      <c r="A14" s="323"/>
      <c r="B14" s="323" t="s">
        <v>193</v>
      </c>
      <c r="C14" s="323"/>
      <c r="D14" s="133">
        <v>1066</v>
      </c>
      <c r="E14" s="8">
        <v>1226</v>
      </c>
      <c r="F14" s="8">
        <v>1211</v>
      </c>
      <c r="G14" s="161">
        <v>-13.050570962479613</v>
      </c>
      <c r="H14" s="161">
        <v>-11.973575557390582</v>
      </c>
      <c r="I14" s="323"/>
    </row>
    <row r="15" spans="1:9" x14ac:dyDescent="0.2">
      <c r="A15" s="323"/>
      <c r="B15" s="323" t="s">
        <v>194</v>
      </c>
      <c r="C15" s="323"/>
      <c r="D15" s="133">
        <v>0</v>
      </c>
      <c r="E15" s="8">
        <v>1</v>
      </c>
      <c r="F15" s="8">
        <v>1</v>
      </c>
      <c r="G15" s="161">
        <v>-100</v>
      </c>
      <c r="H15" s="161">
        <v>-100</v>
      </c>
      <c r="I15" s="323"/>
    </row>
    <row r="16" spans="1:9" x14ac:dyDescent="0.2">
      <c r="A16" s="323"/>
      <c r="B16" s="323" t="s">
        <v>195</v>
      </c>
      <c r="C16" s="323"/>
      <c r="D16" s="133">
        <v>6</v>
      </c>
      <c r="E16" s="8">
        <v>10</v>
      </c>
      <c r="F16" s="8">
        <v>4</v>
      </c>
      <c r="G16" s="161">
        <v>-40</v>
      </c>
      <c r="H16" s="161">
        <v>50</v>
      </c>
      <c r="I16" s="323"/>
    </row>
    <row r="17" spans="1:8" x14ac:dyDescent="0.2">
      <c r="A17" s="323"/>
      <c r="B17" s="323" t="s">
        <v>196</v>
      </c>
      <c r="C17" s="323"/>
      <c r="D17" s="133">
        <v>588</v>
      </c>
      <c r="E17" s="8">
        <v>724</v>
      </c>
      <c r="F17" s="8">
        <v>940</v>
      </c>
      <c r="G17" s="161">
        <v>-18.784530386740329</v>
      </c>
      <c r="H17" s="161">
        <v>-37.446808510638299</v>
      </c>
    </row>
    <row r="18" spans="1:8" x14ac:dyDescent="0.2">
      <c r="A18" s="323"/>
      <c r="B18" s="323" t="s">
        <v>171</v>
      </c>
      <c r="C18" s="323"/>
      <c r="D18" s="133">
        <v>3183</v>
      </c>
      <c r="E18" s="8">
        <v>2725</v>
      </c>
      <c r="F18" s="8">
        <v>2880</v>
      </c>
      <c r="G18" s="161">
        <v>16.807339449541292</v>
      </c>
      <c r="H18" s="161">
        <v>10.520833333333336</v>
      </c>
    </row>
    <row r="19" spans="1:8" ht="20.100000000000001" customHeight="1" x14ac:dyDescent="0.2">
      <c r="A19" s="378" t="s">
        <v>197</v>
      </c>
      <c r="B19" s="323"/>
      <c r="C19" s="323"/>
      <c r="D19" s="133"/>
      <c r="E19" s="8"/>
      <c r="F19" s="8"/>
      <c r="G19" s="161"/>
      <c r="H19" s="161"/>
    </row>
    <row r="20" spans="1:8" x14ac:dyDescent="0.2">
      <c r="A20" s="323"/>
      <c r="B20" s="323" t="s">
        <v>198</v>
      </c>
      <c r="C20" s="323"/>
      <c r="D20" s="133">
        <v>1673</v>
      </c>
      <c r="E20" s="8">
        <v>1137</v>
      </c>
      <c r="F20" s="8">
        <v>1585</v>
      </c>
      <c r="G20" s="161">
        <v>47.141600703605981</v>
      </c>
      <c r="H20" s="161">
        <v>5.5520504731861209</v>
      </c>
    </row>
    <row r="21" spans="1:8" x14ac:dyDescent="0.2">
      <c r="A21" s="323"/>
      <c r="B21" s="323" t="s">
        <v>199</v>
      </c>
      <c r="C21" s="323"/>
      <c r="D21" s="133">
        <v>450</v>
      </c>
      <c r="E21" s="8">
        <v>505</v>
      </c>
      <c r="F21" s="8">
        <v>564</v>
      </c>
      <c r="G21" s="161">
        <v>-10.89108910891089</v>
      </c>
      <c r="H21" s="161">
        <v>-20.212765957446809</v>
      </c>
    </row>
    <row r="22" spans="1:8" x14ac:dyDescent="0.2">
      <c r="A22" s="323"/>
      <c r="B22" s="323" t="s">
        <v>200</v>
      </c>
      <c r="C22" s="323"/>
      <c r="D22" s="133">
        <v>285</v>
      </c>
      <c r="E22" s="8">
        <v>741</v>
      </c>
      <c r="F22" s="8">
        <v>485</v>
      </c>
      <c r="G22" s="161">
        <v>-61.53846153846154</v>
      </c>
      <c r="H22" s="161">
        <v>-41.237113402061851</v>
      </c>
    </row>
    <row r="23" spans="1:8" x14ac:dyDescent="0.2">
      <c r="A23" s="323"/>
      <c r="B23" s="323" t="s">
        <v>201</v>
      </c>
      <c r="C23" s="323"/>
      <c r="D23" s="133">
        <v>2435</v>
      </c>
      <c r="E23" s="8">
        <v>2303</v>
      </c>
      <c r="F23" s="8">
        <v>2402</v>
      </c>
      <c r="G23" s="161">
        <v>5.7316543638732176</v>
      </c>
      <c r="H23" s="161">
        <v>1.3738551207327143</v>
      </c>
    </row>
    <row r="24" spans="1:8" x14ac:dyDescent="0.2">
      <c r="A24" s="323"/>
      <c r="B24" s="323"/>
      <c r="C24" s="323"/>
      <c r="D24" s="133"/>
      <c r="E24" s="8"/>
      <c r="F24" s="8"/>
      <c r="G24" s="161"/>
      <c r="H24" s="161"/>
    </row>
    <row r="25" spans="1:8" s="495" customFormat="1" ht="15" x14ac:dyDescent="0.25">
      <c r="A25" s="331" t="s">
        <v>202</v>
      </c>
      <c r="B25" s="331"/>
      <c r="C25" s="331"/>
      <c r="D25" s="107">
        <v>1171</v>
      </c>
      <c r="E25" s="332">
        <v>1297</v>
      </c>
      <c r="F25" s="332">
        <v>1398</v>
      </c>
      <c r="G25" s="161">
        <v>-9.7147262914417887</v>
      </c>
      <c r="H25" s="161">
        <v>-16.237482117310442</v>
      </c>
    </row>
    <row r="26" spans="1:8" x14ac:dyDescent="0.2">
      <c r="A26" s="378" t="s">
        <v>188</v>
      </c>
      <c r="B26" s="323"/>
      <c r="C26" s="323"/>
      <c r="D26" s="133"/>
      <c r="E26" s="8"/>
      <c r="F26" s="8"/>
      <c r="G26" s="161"/>
      <c r="H26" s="161"/>
    </row>
    <row r="27" spans="1:8" ht="15" x14ac:dyDescent="0.25">
      <c r="A27" s="331"/>
      <c r="B27" s="323" t="s">
        <v>189</v>
      </c>
      <c r="C27" s="323"/>
      <c r="D27" s="133">
        <v>735</v>
      </c>
      <c r="E27" s="8">
        <v>900</v>
      </c>
      <c r="F27" s="8">
        <v>1118</v>
      </c>
      <c r="G27" s="161">
        <v>-18.333333333333336</v>
      </c>
      <c r="H27" s="161">
        <v>-34.257602862254025</v>
      </c>
    </row>
    <row r="28" spans="1:8" x14ac:dyDescent="0.2">
      <c r="A28" s="323"/>
      <c r="B28" s="323" t="s">
        <v>190</v>
      </c>
      <c r="C28" s="323"/>
      <c r="D28" s="133">
        <v>323</v>
      </c>
      <c r="E28" s="8">
        <v>293</v>
      </c>
      <c r="F28" s="8">
        <v>237</v>
      </c>
      <c r="G28" s="161">
        <v>10.238907849829349</v>
      </c>
      <c r="H28" s="161">
        <v>36.286919831223628</v>
      </c>
    </row>
    <row r="29" spans="1:8" x14ac:dyDescent="0.2">
      <c r="A29" s="323"/>
      <c r="B29" s="323" t="s">
        <v>191</v>
      </c>
      <c r="C29" s="395"/>
      <c r="D29" s="133">
        <v>113</v>
      </c>
      <c r="E29" s="8">
        <v>104</v>
      </c>
      <c r="F29" s="8">
        <v>43</v>
      </c>
      <c r="G29" s="161">
        <v>8.6538461538461462</v>
      </c>
      <c r="H29" s="161" t="s">
        <v>500</v>
      </c>
    </row>
    <row r="30" spans="1:8" x14ac:dyDescent="0.2">
      <c r="A30" s="323"/>
      <c r="B30" s="323"/>
      <c r="C30" s="395"/>
      <c r="D30" s="133"/>
      <c r="E30" s="8"/>
      <c r="F30" s="8"/>
      <c r="G30" s="161"/>
      <c r="H30" s="161"/>
    </row>
    <row r="31" spans="1:8" ht="15" x14ac:dyDescent="0.25">
      <c r="A31" s="369" t="s">
        <v>203</v>
      </c>
      <c r="B31" s="323"/>
      <c r="C31" s="395"/>
      <c r="D31" s="133"/>
      <c r="E31" s="8"/>
      <c r="F31" s="8"/>
      <c r="G31" s="161"/>
      <c r="H31" s="161"/>
    </row>
    <row r="32" spans="1:8" s="495" customFormat="1" ht="15" x14ac:dyDescent="0.25">
      <c r="A32" s="331" t="s">
        <v>185</v>
      </c>
      <c r="B32" s="381"/>
      <c r="C32" s="331"/>
      <c r="D32" s="107">
        <v>4629</v>
      </c>
      <c r="E32" s="332">
        <v>4452</v>
      </c>
      <c r="F32" s="332">
        <v>4780</v>
      </c>
      <c r="G32" s="161">
        <v>3.9757412398921943</v>
      </c>
      <c r="H32" s="161">
        <v>-3.158995815899579</v>
      </c>
    </row>
    <row r="33" spans="1:8" x14ac:dyDescent="0.2">
      <c r="A33" s="372" t="s">
        <v>123</v>
      </c>
      <c r="B33" s="323"/>
      <c r="C33" s="357"/>
      <c r="D33" s="133"/>
      <c r="E33" s="8"/>
      <c r="F33" s="8"/>
      <c r="G33" s="161"/>
      <c r="H33" s="161"/>
    </row>
    <row r="34" spans="1:8" ht="15" x14ac:dyDescent="0.25">
      <c r="A34" s="1"/>
      <c r="B34" s="323" t="s">
        <v>20</v>
      </c>
      <c r="C34" s="357"/>
      <c r="D34" s="133">
        <v>1039</v>
      </c>
      <c r="E34" s="8">
        <v>1028</v>
      </c>
      <c r="F34" s="8">
        <v>991</v>
      </c>
      <c r="G34" s="161">
        <v>1.0700389105058328</v>
      </c>
      <c r="H34" s="161">
        <v>4.8435923309788187</v>
      </c>
    </row>
    <row r="35" spans="1:8" ht="14.25" customHeight="1" x14ac:dyDescent="0.25">
      <c r="A35" s="1"/>
      <c r="B35" s="323" t="s">
        <v>177</v>
      </c>
      <c r="C35" s="357"/>
      <c r="D35" s="133">
        <v>3590</v>
      </c>
      <c r="E35" s="8">
        <v>3424</v>
      </c>
      <c r="F35" s="8">
        <v>3789</v>
      </c>
      <c r="G35" s="161">
        <v>4.8481308411215007</v>
      </c>
      <c r="H35" s="161">
        <v>-5.2520453945632095</v>
      </c>
    </row>
    <row r="36" spans="1:8" s="495" customFormat="1" ht="20.100000000000001" customHeight="1" x14ac:dyDescent="0.25">
      <c r="A36" s="452" t="s">
        <v>204</v>
      </c>
      <c r="B36" s="331"/>
      <c r="C36" s="331"/>
      <c r="D36" s="107"/>
      <c r="E36" s="332"/>
      <c r="F36" s="332"/>
      <c r="G36" s="161"/>
      <c r="H36" s="161"/>
    </row>
    <row r="37" spans="1:8" x14ac:dyDescent="0.2">
      <c r="A37" s="2"/>
      <c r="B37" s="357" t="s">
        <v>25</v>
      </c>
      <c r="C37" s="357"/>
      <c r="D37" s="133">
        <v>1907</v>
      </c>
      <c r="E37" s="8">
        <v>1728</v>
      </c>
      <c r="F37" s="8">
        <v>1958</v>
      </c>
      <c r="G37" s="161">
        <v>10.358796296296301</v>
      </c>
      <c r="H37" s="161">
        <v>-2.6046986721144028</v>
      </c>
    </row>
    <row r="38" spans="1:8" x14ac:dyDescent="0.2">
      <c r="A38" s="2"/>
      <c r="B38" s="497" t="s">
        <v>26</v>
      </c>
      <c r="C38" s="357"/>
      <c r="D38" s="133">
        <v>1367</v>
      </c>
      <c r="E38" s="8">
        <v>997</v>
      </c>
      <c r="F38" s="8">
        <v>1048</v>
      </c>
      <c r="G38" s="161">
        <v>37.111334002006011</v>
      </c>
      <c r="H38" s="161">
        <v>30.438931297709914</v>
      </c>
    </row>
    <row r="39" spans="1:8" x14ac:dyDescent="0.2">
      <c r="A39" s="2"/>
      <c r="B39" s="497" t="s">
        <v>179</v>
      </c>
      <c r="C39" s="357"/>
      <c r="D39" s="133">
        <v>844</v>
      </c>
      <c r="E39" s="8">
        <v>863</v>
      </c>
      <c r="F39" s="8">
        <v>853</v>
      </c>
      <c r="G39" s="161">
        <v>-2.2016222479721903</v>
      </c>
      <c r="H39" s="161">
        <v>-1.0550996483001174</v>
      </c>
    </row>
    <row r="40" spans="1:8" x14ac:dyDescent="0.2">
      <c r="A40" s="2"/>
      <c r="B40" s="497" t="s">
        <v>28</v>
      </c>
      <c r="C40" s="357"/>
      <c r="D40" s="133">
        <v>362</v>
      </c>
      <c r="E40" s="8">
        <v>494</v>
      </c>
      <c r="F40" s="8">
        <v>594</v>
      </c>
      <c r="G40" s="161">
        <v>-26.720647773279349</v>
      </c>
      <c r="H40" s="161">
        <v>-39.057239057239059</v>
      </c>
    </row>
    <row r="41" spans="1:8" x14ac:dyDescent="0.2">
      <c r="A41" s="2"/>
      <c r="B41" s="497" t="s">
        <v>104</v>
      </c>
      <c r="C41" s="357"/>
      <c r="D41" s="133">
        <v>149</v>
      </c>
      <c r="E41" s="8">
        <v>370</v>
      </c>
      <c r="F41" s="8">
        <v>327</v>
      </c>
      <c r="G41" s="161">
        <v>-59.729729729729733</v>
      </c>
      <c r="H41" s="161">
        <v>-54.434250764525991</v>
      </c>
    </row>
    <row r="42" spans="1:8" ht="20.100000000000001" customHeight="1" x14ac:dyDescent="0.2">
      <c r="A42" s="372" t="s">
        <v>124</v>
      </c>
      <c r="B42" s="323"/>
      <c r="C42" s="357"/>
      <c r="D42" s="133"/>
      <c r="E42" s="8"/>
      <c r="F42" s="8"/>
      <c r="G42" s="161"/>
      <c r="H42" s="161"/>
    </row>
    <row r="43" spans="1:8" x14ac:dyDescent="0.2">
      <c r="A43" s="2"/>
      <c r="B43" s="497" t="s">
        <v>125</v>
      </c>
      <c r="C43" s="357"/>
      <c r="D43" s="133">
        <v>255</v>
      </c>
      <c r="E43" s="8">
        <v>487</v>
      </c>
      <c r="F43" s="8">
        <v>637</v>
      </c>
      <c r="G43" s="161">
        <v>-47.638603696098556</v>
      </c>
      <c r="H43" s="161">
        <v>-59.968602825745677</v>
      </c>
    </row>
    <row r="44" spans="1:8" x14ac:dyDescent="0.2">
      <c r="A44" s="323"/>
      <c r="B44" s="497" t="s">
        <v>126</v>
      </c>
      <c r="C44" s="357"/>
      <c r="D44" s="133">
        <v>1364</v>
      </c>
      <c r="E44" s="8">
        <v>1018</v>
      </c>
      <c r="F44" s="8">
        <v>972</v>
      </c>
      <c r="G44" s="161">
        <v>33.988212180746572</v>
      </c>
      <c r="H44" s="161">
        <v>40.329218106995881</v>
      </c>
    </row>
    <row r="45" spans="1:8" x14ac:dyDescent="0.2">
      <c r="A45" s="323"/>
      <c r="B45" s="497" t="s">
        <v>127</v>
      </c>
      <c r="C45" s="357"/>
      <c r="D45" s="133">
        <v>190</v>
      </c>
      <c r="E45" s="8">
        <v>214</v>
      </c>
      <c r="F45" s="8">
        <v>188</v>
      </c>
      <c r="G45" s="161">
        <v>-11.214953271028039</v>
      </c>
      <c r="H45" s="161">
        <v>1.0638297872340496</v>
      </c>
    </row>
    <row r="46" spans="1:8" x14ac:dyDescent="0.2">
      <c r="A46" s="323"/>
      <c r="B46" s="497" t="s">
        <v>128</v>
      </c>
      <c r="C46" s="357"/>
      <c r="D46" s="133">
        <v>803</v>
      </c>
      <c r="E46" s="8">
        <v>868</v>
      </c>
      <c r="F46" s="8">
        <v>921</v>
      </c>
      <c r="G46" s="161">
        <v>-7.4884792626728096</v>
      </c>
      <c r="H46" s="161">
        <v>-12.812160694896846</v>
      </c>
    </row>
    <row r="47" spans="1:8" x14ac:dyDescent="0.2">
      <c r="A47" s="323"/>
      <c r="B47" s="497" t="s">
        <v>129</v>
      </c>
      <c r="C47" s="357"/>
      <c r="D47" s="133">
        <v>670</v>
      </c>
      <c r="E47" s="8">
        <v>680</v>
      </c>
      <c r="F47" s="8">
        <v>898</v>
      </c>
      <c r="G47" s="161">
        <v>-1.4705882352941124</v>
      </c>
      <c r="H47" s="161">
        <v>-25.389755011135861</v>
      </c>
    </row>
    <row r="48" spans="1:8" x14ac:dyDescent="0.2">
      <c r="A48" s="323"/>
      <c r="B48" s="497" t="s">
        <v>130</v>
      </c>
      <c r="C48" s="357"/>
      <c r="D48" s="133">
        <v>104</v>
      </c>
      <c r="E48" s="8">
        <v>47</v>
      </c>
      <c r="F48" s="8">
        <v>62</v>
      </c>
      <c r="G48" s="161" t="s">
        <v>500</v>
      </c>
      <c r="H48" s="161">
        <v>67.741935483870975</v>
      </c>
    </row>
    <row r="49" spans="1:9" x14ac:dyDescent="0.2">
      <c r="A49" s="323"/>
      <c r="B49" s="783" t="s">
        <v>131</v>
      </c>
      <c r="C49" s="783"/>
      <c r="D49" s="133">
        <v>803</v>
      </c>
      <c r="E49" s="8">
        <v>791</v>
      </c>
      <c r="F49" s="8">
        <v>768</v>
      </c>
      <c r="G49" s="161">
        <v>1.5170670037926604</v>
      </c>
      <c r="H49" s="161">
        <v>4.5572916666666741</v>
      </c>
      <c r="I49" s="323"/>
    </row>
    <row r="50" spans="1:9" x14ac:dyDescent="0.2">
      <c r="A50" s="323"/>
      <c r="B50" s="497" t="s">
        <v>23</v>
      </c>
      <c r="C50" s="357"/>
      <c r="D50" s="133">
        <v>440</v>
      </c>
      <c r="E50" s="8">
        <v>347</v>
      </c>
      <c r="F50" s="8">
        <v>334</v>
      </c>
      <c r="G50" s="161">
        <v>26.801152737752165</v>
      </c>
      <c r="H50" s="161">
        <v>31.73652694610778</v>
      </c>
      <c r="I50" s="323"/>
    </row>
    <row r="51" spans="1:9" x14ac:dyDescent="0.2">
      <c r="A51" s="323"/>
      <c r="B51" s="497"/>
      <c r="C51" s="357"/>
      <c r="D51" s="103"/>
      <c r="E51" s="329"/>
      <c r="F51" s="8"/>
      <c r="G51" s="8"/>
      <c r="H51" s="8"/>
      <c r="I51" s="323"/>
    </row>
    <row r="52" spans="1:9" s="502" customFormat="1" ht="42" customHeight="1" x14ac:dyDescent="0.25">
      <c r="A52" s="499"/>
      <c r="B52" s="499"/>
      <c r="C52" s="500"/>
      <c r="D52" s="501" t="s">
        <v>409</v>
      </c>
      <c r="E52" s="501" t="s">
        <v>410</v>
      </c>
      <c r="F52" s="501" t="s">
        <v>362</v>
      </c>
      <c r="G52" s="7"/>
      <c r="H52" s="7"/>
      <c r="I52" s="499"/>
    </row>
    <row r="53" spans="1:9" ht="15" x14ac:dyDescent="0.25">
      <c r="A53" s="352" t="s">
        <v>205</v>
      </c>
      <c r="B53" s="376"/>
      <c r="C53" s="376"/>
      <c r="D53" s="105"/>
      <c r="E53" s="329"/>
      <c r="F53" s="503"/>
      <c r="G53" s="236"/>
      <c r="H53" s="8"/>
      <c r="I53" s="323"/>
    </row>
    <row r="54" spans="1:9" ht="15" x14ac:dyDescent="0.25">
      <c r="A54" s="331" t="s">
        <v>206</v>
      </c>
      <c r="B54" s="323"/>
      <c r="C54" s="376"/>
      <c r="D54" s="119">
        <v>4686</v>
      </c>
      <c r="E54" s="149">
        <v>5036</v>
      </c>
      <c r="F54" s="149">
        <v>5077</v>
      </c>
      <c r="G54" s="504"/>
      <c r="H54" s="505"/>
      <c r="I54" s="323"/>
    </row>
    <row r="55" spans="1:9" ht="15" x14ac:dyDescent="0.25">
      <c r="A55" s="323"/>
      <c r="B55" s="376"/>
      <c r="C55" s="376"/>
      <c r="D55" s="133"/>
      <c r="E55" s="8"/>
      <c r="F55" s="8"/>
      <c r="G55" s="504"/>
      <c r="H55" s="505"/>
      <c r="I55" s="323"/>
    </row>
    <row r="56" spans="1:9" s="495" customFormat="1" ht="15" x14ac:dyDescent="0.25">
      <c r="A56" s="1" t="s">
        <v>106</v>
      </c>
      <c r="B56" s="331"/>
      <c r="C56" s="36"/>
      <c r="D56" s="119"/>
      <c r="E56" s="149"/>
      <c r="F56" s="149"/>
      <c r="G56" s="504"/>
      <c r="H56" s="505"/>
      <c r="I56" s="331"/>
    </row>
    <row r="57" spans="1:9" x14ac:dyDescent="0.2">
      <c r="A57" s="323"/>
      <c r="B57" s="323" t="s">
        <v>207</v>
      </c>
      <c r="C57" s="437"/>
      <c r="D57" s="178">
        <v>853</v>
      </c>
      <c r="E57" s="189">
        <v>345</v>
      </c>
      <c r="F57" s="189">
        <v>623</v>
      </c>
      <c r="G57" s="504"/>
      <c r="H57" s="505"/>
      <c r="I57" s="323"/>
    </row>
    <row r="58" spans="1:9" x14ac:dyDescent="0.2">
      <c r="A58" s="323"/>
      <c r="B58" s="323" t="s">
        <v>111</v>
      </c>
      <c r="C58" s="437"/>
      <c r="D58" s="178">
        <v>-3</v>
      </c>
      <c r="E58" s="189">
        <v>-196</v>
      </c>
      <c r="F58" s="189">
        <v>-13</v>
      </c>
      <c r="G58" s="504"/>
      <c r="H58" s="505"/>
      <c r="I58" s="323"/>
    </row>
    <row r="59" spans="1:9" x14ac:dyDescent="0.2">
      <c r="A59" s="323"/>
      <c r="B59" s="323" t="s">
        <v>208</v>
      </c>
      <c r="C59" s="323"/>
      <c r="D59" s="178">
        <v>-407</v>
      </c>
      <c r="E59" s="189">
        <v>-195</v>
      </c>
      <c r="F59" s="189">
        <v>-520</v>
      </c>
      <c r="G59" s="504"/>
      <c r="H59" s="505"/>
      <c r="I59" s="323"/>
    </row>
    <row r="60" spans="1:9" x14ac:dyDescent="0.2">
      <c r="A60" s="323"/>
      <c r="B60" s="323" t="s">
        <v>209</v>
      </c>
      <c r="C60" s="323"/>
      <c r="D60" s="178">
        <v>-279</v>
      </c>
      <c r="E60" s="189">
        <v>-197</v>
      </c>
      <c r="F60" s="189">
        <v>-224</v>
      </c>
      <c r="G60" s="504"/>
      <c r="H60" s="505"/>
      <c r="I60" s="323"/>
    </row>
    <row r="61" spans="1:9" s="495" customFormat="1" ht="15" x14ac:dyDescent="0.25">
      <c r="A61" s="331"/>
      <c r="B61" s="331"/>
      <c r="C61" s="331"/>
      <c r="D61" s="119"/>
      <c r="E61" s="149"/>
      <c r="F61" s="149"/>
      <c r="G61" s="504"/>
      <c r="H61" s="505"/>
      <c r="I61" s="331"/>
    </row>
    <row r="62" spans="1:9" s="495" customFormat="1" ht="15" x14ac:dyDescent="0.25">
      <c r="A62" s="331" t="s">
        <v>210</v>
      </c>
      <c r="B62" s="331"/>
      <c r="C62" s="331"/>
      <c r="D62" s="178">
        <v>11</v>
      </c>
      <c r="E62" s="189">
        <v>37</v>
      </c>
      <c r="F62" s="189">
        <v>79</v>
      </c>
      <c r="G62" s="504"/>
      <c r="H62" s="505"/>
      <c r="I62" s="331"/>
    </row>
    <row r="63" spans="1:9" s="495" customFormat="1" ht="15" x14ac:dyDescent="0.25">
      <c r="A63" s="331" t="s">
        <v>211</v>
      </c>
      <c r="B63" s="331"/>
      <c r="C63" s="381"/>
      <c r="D63" s="178">
        <v>-18</v>
      </c>
      <c r="E63" s="189">
        <v>-144</v>
      </c>
      <c r="F63" s="189">
        <v>14</v>
      </c>
      <c r="G63" s="504"/>
      <c r="H63" s="505"/>
      <c r="I63" s="331"/>
    </row>
    <row r="64" spans="1:9" ht="15" x14ac:dyDescent="0.25">
      <c r="A64" s="331" t="s">
        <v>212</v>
      </c>
      <c r="B64" s="323"/>
      <c r="C64" s="357"/>
      <c r="D64" s="107">
        <v>4843</v>
      </c>
      <c r="E64" s="332">
        <v>4686</v>
      </c>
      <c r="F64" s="332">
        <v>5036</v>
      </c>
      <c r="G64" s="504"/>
      <c r="H64" s="505"/>
      <c r="I64" s="323"/>
    </row>
    <row r="65" spans="1:9" ht="15" x14ac:dyDescent="0.25">
      <c r="A65" s="323"/>
      <c r="B65" s="331"/>
      <c r="C65" s="357"/>
      <c r="D65" s="24"/>
      <c r="E65" s="409"/>
      <c r="F65" s="154"/>
      <c r="G65" s="351"/>
      <c r="H65" s="351"/>
      <c r="I65" s="323"/>
    </row>
    <row r="66" spans="1:9" s="351" customFormat="1" x14ac:dyDescent="0.2">
      <c r="A66" s="506"/>
      <c r="B66" s="506"/>
      <c r="C66" s="375"/>
      <c r="D66" s="505"/>
      <c r="E66" s="505"/>
      <c r="F66" s="505"/>
    </row>
    <row r="67" spans="1:9" s="323" customFormat="1" x14ac:dyDescent="0.2">
      <c r="A67" s="442" t="s">
        <v>89</v>
      </c>
      <c r="B67" s="442" t="s">
        <v>183</v>
      </c>
      <c r="C67" s="357"/>
      <c r="D67" s="161"/>
      <c r="E67" s="161"/>
      <c r="F67" s="161"/>
    </row>
    <row r="68" spans="1:9" s="323" customFormat="1" x14ac:dyDescent="0.2">
      <c r="A68" s="70"/>
      <c r="B68" s="442"/>
      <c r="C68" s="357"/>
      <c r="D68" s="8"/>
      <c r="E68" s="8"/>
      <c r="F68" s="8"/>
    </row>
    <row r="69" spans="1:9" x14ac:dyDescent="0.2">
      <c r="A69" s="323"/>
      <c r="B69" s="359"/>
      <c r="C69" s="357"/>
      <c r="D69" s="8"/>
      <c r="E69" s="8"/>
      <c r="F69" s="8"/>
      <c r="G69" s="351"/>
      <c r="H69" s="351"/>
      <c r="I69" s="323"/>
    </row>
    <row r="70" spans="1:9" x14ac:dyDescent="0.2">
      <c r="A70" s="323"/>
      <c r="B70" s="323"/>
      <c r="C70" s="357"/>
      <c r="D70" s="8"/>
      <c r="E70" s="8"/>
      <c r="F70" s="8"/>
      <c r="G70" s="351"/>
      <c r="H70" s="351"/>
      <c r="I70" s="323"/>
    </row>
    <row r="71" spans="1:9" x14ac:dyDescent="0.2">
      <c r="A71" s="323"/>
      <c r="B71" s="323"/>
      <c r="C71" s="357"/>
      <c r="D71" s="8"/>
      <c r="E71" s="8"/>
      <c r="F71" s="8"/>
      <c r="G71" s="323"/>
      <c r="H71" s="323"/>
      <c r="I71" s="323"/>
    </row>
    <row r="72" spans="1:9" x14ac:dyDescent="0.2">
      <c r="A72" s="323"/>
      <c r="B72" s="323"/>
      <c r="C72" s="357"/>
      <c r="D72" s="8"/>
      <c r="E72" s="8"/>
      <c r="F72" s="8"/>
      <c r="G72" s="323"/>
      <c r="H72" s="323"/>
      <c r="I72" s="323"/>
    </row>
    <row r="73" spans="1:9" x14ac:dyDescent="0.2">
      <c r="A73" s="323"/>
      <c r="B73" s="507"/>
      <c r="C73" s="357"/>
      <c r="D73" s="8"/>
      <c r="E73" s="8"/>
      <c r="F73" s="8"/>
      <c r="G73" s="323"/>
      <c r="H73" s="323"/>
      <c r="I73" s="323"/>
    </row>
    <row r="74" spans="1:9" x14ac:dyDescent="0.2">
      <c r="A74" s="323"/>
      <c r="B74" s="507"/>
      <c r="C74" s="357"/>
      <c r="D74" s="8"/>
      <c r="E74" s="8"/>
      <c r="F74" s="8"/>
      <c r="G74" s="323"/>
      <c r="H74" s="323"/>
      <c r="I74" s="323"/>
    </row>
    <row r="75" spans="1:9" x14ac:dyDescent="0.2">
      <c r="A75" s="323"/>
      <c r="B75" s="323"/>
      <c r="C75" s="357"/>
      <c r="D75" s="8"/>
      <c r="E75" s="8"/>
      <c r="F75" s="8"/>
      <c r="G75" s="323"/>
      <c r="H75" s="323"/>
      <c r="I75" s="323"/>
    </row>
    <row r="76" spans="1:9" x14ac:dyDescent="0.2">
      <c r="A76" s="323"/>
      <c r="B76" s="323"/>
      <c r="C76" s="357"/>
      <c r="D76" s="8"/>
      <c r="E76" s="8"/>
      <c r="F76" s="8"/>
      <c r="G76" s="323"/>
      <c r="H76" s="323"/>
      <c r="I76" s="323"/>
    </row>
    <row r="77" spans="1:9" x14ac:dyDescent="0.2">
      <c r="A77" s="323"/>
      <c r="B77" s="323"/>
      <c r="C77" s="357"/>
      <c r="D77" s="8"/>
      <c r="E77" s="8"/>
      <c r="F77" s="8"/>
      <c r="G77" s="323"/>
      <c r="H77" s="323"/>
      <c r="I77" s="323"/>
    </row>
    <row r="78" spans="1:9" x14ac:dyDescent="0.2">
      <c r="A78" s="323"/>
      <c r="B78" s="323"/>
      <c r="C78" s="357"/>
      <c r="D78" s="8"/>
      <c r="E78" s="8"/>
      <c r="F78" s="8"/>
      <c r="G78" s="323"/>
      <c r="H78" s="323"/>
      <c r="I78" s="323"/>
    </row>
    <row r="79" spans="1:9" x14ac:dyDescent="0.2">
      <c r="A79" s="323"/>
      <c r="B79" s="323"/>
      <c r="C79" s="357"/>
      <c r="D79" s="8"/>
      <c r="E79" s="8"/>
      <c r="F79" s="8"/>
      <c r="G79" s="323"/>
      <c r="H79" s="323"/>
      <c r="I79" s="323"/>
    </row>
    <row r="80" spans="1:9" x14ac:dyDescent="0.2">
      <c r="A80" s="323"/>
      <c r="B80" s="323"/>
      <c r="C80" s="357"/>
      <c r="D80" s="8"/>
      <c r="E80" s="8"/>
      <c r="F80" s="8"/>
    </row>
  </sheetData>
  <mergeCells count="2">
    <mergeCell ref="A2:C2"/>
    <mergeCell ref="B49:C49"/>
  </mergeCells>
  <phoneticPr fontId="2" type="noConversion"/>
  <hyperlinks>
    <hyperlink ref="A2" location="Index!A1" display="Back to Index" xr:uid="{A7B0F33C-3CEE-4DD4-B7C8-CE795FD547FD}"/>
  </hyperlinks>
  <printOptions gridLines="1"/>
  <pageMargins left="0.78740157480314965" right="0" top="0.59055118110236227" bottom="0.19685039370078741" header="3.937007874015748E-2" footer="0"/>
  <pageSetup paperSize="9" scale="60" orientation="landscape" blackAndWhite="1" r:id="rId1"/>
  <headerFooter alignWithMargins="0">
    <oddFooter>&amp;R&amp;F&amp;A
&amp;D\&amp;T</oddFooter>
  </headerFooter>
  <rowBreaks count="1" manualBreakCount="1">
    <brk id="51"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69F1-03D4-41D4-99B3-D39CD023E577}">
  <sheetPr>
    <tabColor indexed="47"/>
  </sheetPr>
  <dimension ref="A1:M142"/>
  <sheetViews>
    <sheetView showGridLines="0" zoomScaleNormal="100" workbookViewId="0">
      <pane xSplit="3" ySplit="3" topLeftCell="D33" activePane="bottomRight" state="frozen"/>
      <selection pane="topRight" activeCell="L13" sqref="L13"/>
      <selection pane="bottomLeft" activeCell="L13" sqref="L13"/>
      <selection pane="bottomRight" activeCell="C6" sqref="C6"/>
    </sheetView>
  </sheetViews>
  <sheetFormatPr defaultColWidth="9.42578125" defaultRowHeight="15" x14ac:dyDescent="0.25"/>
  <cols>
    <col min="1" max="2" width="2.42578125" style="412" customWidth="1"/>
    <col min="3" max="3" width="55.5703125" style="424" customWidth="1"/>
    <col min="4" max="6" width="11.42578125" style="459" customWidth="1"/>
    <col min="7" max="8" width="11.42578125" style="146" customWidth="1"/>
    <col min="9" max="16384" width="9.42578125" style="412"/>
  </cols>
  <sheetData>
    <row r="1" spans="1:13" s="4" customFormat="1" ht="20.25" x14ac:dyDescent="0.3">
      <c r="A1" s="3" t="s">
        <v>15</v>
      </c>
      <c r="D1" s="366"/>
      <c r="E1" s="366"/>
      <c r="F1" s="366"/>
      <c r="G1" s="510"/>
      <c r="H1" s="510"/>
    </row>
    <row r="2" spans="1:13" s="6" customFormat="1" ht="60" x14ac:dyDescent="0.25">
      <c r="A2" s="781" t="s">
        <v>33</v>
      </c>
      <c r="B2" s="781"/>
      <c r="C2" s="781"/>
      <c r="D2" s="446">
        <v>45992</v>
      </c>
      <c r="E2" s="446">
        <v>45809</v>
      </c>
      <c r="F2" s="446">
        <v>45627</v>
      </c>
      <c r="G2" s="446" t="s">
        <v>436</v>
      </c>
      <c r="H2" s="446" t="s">
        <v>437</v>
      </c>
    </row>
    <row r="3" spans="1:13" s="331" customFormat="1" ht="10.35" customHeight="1" x14ac:dyDescent="0.25">
      <c r="D3" s="237"/>
      <c r="E3" s="511"/>
      <c r="F3" s="511"/>
      <c r="G3" s="24"/>
      <c r="H3" s="24"/>
    </row>
    <row r="4" spans="1:13" s="331" customFormat="1" x14ac:dyDescent="0.25">
      <c r="A4" s="369" t="s">
        <v>213</v>
      </c>
      <c r="D4" s="238"/>
      <c r="E4" s="428"/>
      <c r="F4" s="428"/>
      <c r="G4" s="24"/>
      <c r="H4" s="24"/>
    </row>
    <row r="5" spans="1:13" s="331" customFormat="1" ht="15" customHeight="1" x14ac:dyDescent="0.25">
      <c r="A5" s="331" t="s">
        <v>214</v>
      </c>
      <c r="C5" s="343"/>
      <c r="D5" s="107">
        <v>6281</v>
      </c>
      <c r="E5" s="332">
        <v>6441</v>
      </c>
      <c r="F5" s="332">
        <v>6514</v>
      </c>
      <c r="G5" s="161">
        <v>-2.48408632199969</v>
      </c>
      <c r="H5" s="161">
        <v>-3.5769112680380744</v>
      </c>
      <c r="J5" s="406"/>
      <c r="K5" s="406"/>
      <c r="L5" s="406"/>
      <c r="M5" s="406"/>
    </row>
    <row r="6" spans="1:13" s="331" customFormat="1" x14ac:dyDescent="0.25">
      <c r="B6" s="331" t="s">
        <v>383</v>
      </c>
      <c r="D6" s="107">
        <v>2422</v>
      </c>
      <c r="E6" s="332">
        <v>2332</v>
      </c>
      <c r="F6" s="332">
        <v>2545</v>
      </c>
      <c r="G6" s="161">
        <v>3.8593481989708467</v>
      </c>
      <c r="H6" s="161">
        <v>-4.8330058939096254</v>
      </c>
      <c r="J6" s="406"/>
      <c r="K6" s="406"/>
      <c r="L6" s="406"/>
      <c r="M6" s="406"/>
    </row>
    <row r="7" spans="1:13" x14ac:dyDescent="0.25">
      <c r="A7" s="323"/>
      <c r="B7" s="323"/>
      <c r="C7" s="323" t="s">
        <v>189</v>
      </c>
      <c r="D7" s="133">
        <v>343</v>
      </c>
      <c r="E7" s="8">
        <v>376</v>
      </c>
      <c r="F7" s="8">
        <v>547</v>
      </c>
      <c r="G7" s="161">
        <v>-8.7765957446808489</v>
      </c>
      <c r="H7" s="161">
        <v>-37.294332723948806</v>
      </c>
      <c r="I7" s="323"/>
      <c r="J7" s="406"/>
      <c r="K7" s="406"/>
      <c r="L7" s="406"/>
      <c r="M7" s="406"/>
    </row>
    <row r="8" spans="1:13" x14ac:dyDescent="0.25">
      <c r="A8" s="323"/>
      <c r="B8" s="323"/>
      <c r="C8" s="323" t="s">
        <v>190</v>
      </c>
      <c r="D8" s="133">
        <v>983</v>
      </c>
      <c r="E8" s="8">
        <v>933</v>
      </c>
      <c r="F8" s="8">
        <v>928</v>
      </c>
      <c r="G8" s="161">
        <v>5.3590568060021493</v>
      </c>
      <c r="H8" s="161">
        <v>5.9267241379310276</v>
      </c>
      <c r="I8" s="323"/>
      <c r="J8" s="406"/>
      <c r="K8" s="406"/>
      <c r="L8" s="406"/>
      <c r="M8" s="406"/>
    </row>
    <row r="9" spans="1:13" x14ac:dyDescent="0.25">
      <c r="A9" s="323"/>
      <c r="B9" s="323"/>
      <c r="C9" s="323" t="s">
        <v>191</v>
      </c>
      <c r="D9" s="133">
        <v>1096</v>
      </c>
      <c r="E9" s="8">
        <v>1023</v>
      </c>
      <c r="F9" s="8">
        <v>1070</v>
      </c>
      <c r="G9" s="161">
        <v>7.1358748778103553</v>
      </c>
      <c r="H9" s="161">
        <v>2.4299065420560817</v>
      </c>
      <c r="I9" s="323"/>
      <c r="J9" s="406"/>
      <c r="K9" s="406"/>
      <c r="L9" s="406"/>
      <c r="M9" s="406"/>
    </row>
    <row r="10" spans="1:13" s="331" customFormat="1" x14ac:dyDescent="0.25">
      <c r="B10" s="331" t="s">
        <v>449</v>
      </c>
      <c r="D10" s="107">
        <v>3859</v>
      </c>
      <c r="E10" s="332">
        <v>4109</v>
      </c>
      <c r="F10" s="332">
        <v>3969</v>
      </c>
      <c r="G10" s="161">
        <v>-6.0842054027744013</v>
      </c>
      <c r="H10" s="161">
        <v>-2.7714789619551539</v>
      </c>
      <c r="J10" s="406"/>
      <c r="K10" s="406"/>
      <c r="L10" s="406"/>
      <c r="M10" s="406"/>
    </row>
    <row r="11" spans="1:13" s="331" customFormat="1" x14ac:dyDescent="0.25">
      <c r="C11" s="343"/>
      <c r="D11" s="107"/>
      <c r="E11" s="332"/>
      <c r="F11" s="332"/>
      <c r="G11" s="144"/>
      <c r="H11" s="144"/>
      <c r="J11" s="406"/>
      <c r="K11" s="406"/>
      <c r="L11" s="406"/>
      <c r="M11" s="406"/>
    </row>
    <row r="12" spans="1:13" s="331" customFormat="1" x14ac:dyDescent="0.25">
      <c r="A12" s="369" t="s">
        <v>450</v>
      </c>
      <c r="C12" s="343"/>
      <c r="D12" s="107"/>
      <c r="E12" s="332"/>
      <c r="F12" s="332"/>
      <c r="G12" s="144"/>
      <c r="H12" s="144"/>
      <c r="J12" s="406"/>
      <c r="K12" s="406"/>
      <c r="L12" s="406"/>
      <c r="M12" s="406"/>
    </row>
    <row r="13" spans="1:13" s="331" customFormat="1" x14ac:dyDescent="0.25">
      <c r="A13" s="331" t="s">
        <v>215</v>
      </c>
      <c r="C13" s="343"/>
      <c r="D13" s="107">
        <v>2422</v>
      </c>
      <c r="E13" s="332">
        <v>2332</v>
      </c>
      <c r="F13" s="332">
        <v>2545</v>
      </c>
      <c r="G13" s="161">
        <v>3.8593481989708467</v>
      </c>
      <c r="H13" s="161">
        <v>-4.8330058939096254</v>
      </c>
      <c r="J13" s="406"/>
      <c r="K13" s="406"/>
      <c r="L13" s="406"/>
      <c r="M13" s="406"/>
    </row>
    <row r="14" spans="1:13" s="331" customFormat="1" x14ac:dyDescent="0.25">
      <c r="B14" s="331" t="s">
        <v>216</v>
      </c>
      <c r="D14" s="107">
        <v>2324</v>
      </c>
      <c r="E14" s="332">
        <v>2216</v>
      </c>
      <c r="F14" s="332">
        <v>2393</v>
      </c>
      <c r="G14" s="161">
        <v>4.8736462093862842</v>
      </c>
      <c r="H14" s="161">
        <v>-2.8834099456748863</v>
      </c>
      <c r="J14" s="406"/>
      <c r="K14" s="406"/>
      <c r="L14" s="406"/>
      <c r="M14" s="406"/>
    </row>
    <row r="15" spans="1:13" x14ac:dyDescent="0.25">
      <c r="A15" s="323"/>
      <c r="B15" s="450" t="s">
        <v>123</v>
      </c>
      <c r="C15" s="323"/>
      <c r="D15" s="133"/>
      <c r="E15" s="8"/>
      <c r="F15" s="8"/>
      <c r="G15" s="161"/>
      <c r="H15" s="161"/>
      <c r="I15" s="323"/>
      <c r="J15" s="406"/>
      <c r="K15" s="406"/>
      <c r="L15" s="406"/>
      <c r="M15" s="406"/>
    </row>
    <row r="16" spans="1:13" x14ac:dyDescent="0.25">
      <c r="A16" s="323"/>
      <c r="B16" s="376"/>
      <c r="C16" s="323" t="s">
        <v>217</v>
      </c>
      <c r="D16" s="133">
        <v>317</v>
      </c>
      <c r="E16" s="8">
        <v>298</v>
      </c>
      <c r="F16" s="8">
        <v>304</v>
      </c>
      <c r="G16" s="161">
        <v>6.3758389261745041</v>
      </c>
      <c r="H16" s="161">
        <v>4.2763157894736947</v>
      </c>
      <c r="I16" s="323"/>
      <c r="J16" s="406"/>
      <c r="K16" s="406"/>
      <c r="L16" s="406"/>
      <c r="M16" s="406"/>
    </row>
    <row r="17" spans="2:13" x14ac:dyDescent="0.25">
      <c r="B17" s="376"/>
      <c r="C17" s="323" t="s">
        <v>177</v>
      </c>
      <c r="D17" s="133">
        <v>2007</v>
      </c>
      <c r="E17" s="8">
        <v>1918</v>
      </c>
      <c r="F17" s="8">
        <v>2089</v>
      </c>
      <c r="G17" s="161">
        <v>4.6402502606882168</v>
      </c>
      <c r="H17" s="161">
        <v>-3.9253231211105799</v>
      </c>
      <c r="I17" s="323"/>
      <c r="J17" s="406"/>
      <c r="K17" s="406"/>
      <c r="L17" s="406"/>
      <c r="M17" s="406"/>
    </row>
    <row r="18" spans="2:13" ht="8.25" customHeight="1" x14ac:dyDescent="0.25">
      <c r="B18" s="324"/>
      <c r="C18" s="324"/>
      <c r="D18" s="133"/>
      <c r="E18" s="8"/>
      <c r="F18" s="8"/>
      <c r="G18" s="161"/>
      <c r="H18" s="161"/>
      <c r="I18" s="323"/>
      <c r="J18" s="406"/>
      <c r="K18" s="406"/>
      <c r="L18" s="406"/>
      <c r="M18" s="406"/>
    </row>
    <row r="19" spans="2:13" ht="20.100000000000001" customHeight="1" x14ac:dyDescent="0.25">
      <c r="B19" s="452" t="s">
        <v>431</v>
      </c>
      <c r="C19" s="323"/>
      <c r="D19" s="133"/>
      <c r="E19" s="8"/>
      <c r="F19" s="8"/>
      <c r="G19" s="161"/>
      <c r="H19" s="161"/>
      <c r="I19" s="323"/>
      <c r="J19" s="406"/>
      <c r="K19" s="406"/>
      <c r="L19" s="406"/>
      <c r="M19" s="406"/>
    </row>
    <row r="20" spans="2:13" x14ac:dyDescent="0.25">
      <c r="B20" s="324"/>
      <c r="C20" s="323" t="s">
        <v>25</v>
      </c>
      <c r="D20" s="133">
        <v>1185</v>
      </c>
      <c r="E20" s="8">
        <v>1045</v>
      </c>
      <c r="F20" s="8">
        <v>1190</v>
      </c>
      <c r="G20" s="161">
        <v>13.397129186602875</v>
      </c>
      <c r="H20" s="161">
        <v>-0.42016806722688926</v>
      </c>
      <c r="I20" s="512"/>
      <c r="J20" s="406"/>
      <c r="K20" s="406"/>
      <c r="L20" s="406"/>
      <c r="M20" s="406"/>
    </row>
    <row r="21" spans="2:13" x14ac:dyDescent="0.25">
      <c r="B21" s="324"/>
      <c r="C21" s="513" t="s">
        <v>26</v>
      </c>
      <c r="D21" s="133">
        <v>509</v>
      </c>
      <c r="E21" s="8">
        <v>319</v>
      </c>
      <c r="F21" s="8">
        <v>322</v>
      </c>
      <c r="G21" s="161">
        <v>59.561128526645767</v>
      </c>
      <c r="H21" s="161">
        <v>58.074534161490689</v>
      </c>
      <c r="I21" s="512"/>
      <c r="J21" s="406"/>
      <c r="K21" s="406"/>
      <c r="L21" s="406"/>
      <c r="M21" s="406"/>
    </row>
    <row r="22" spans="2:13" x14ac:dyDescent="0.25">
      <c r="B22" s="324"/>
      <c r="C22" s="513" t="s">
        <v>179</v>
      </c>
      <c r="D22" s="133">
        <v>279</v>
      </c>
      <c r="E22" s="8">
        <v>304</v>
      </c>
      <c r="F22" s="8">
        <v>289</v>
      </c>
      <c r="G22" s="161">
        <v>-8.2236842105263168</v>
      </c>
      <c r="H22" s="161">
        <v>-3.4602076124567449</v>
      </c>
      <c r="I22" s="512"/>
      <c r="J22" s="406"/>
      <c r="K22" s="406"/>
      <c r="L22" s="406"/>
      <c r="M22" s="406"/>
    </row>
    <row r="23" spans="2:13" x14ac:dyDescent="0.25">
      <c r="B23" s="324"/>
      <c r="C23" s="513" t="s">
        <v>28</v>
      </c>
      <c r="D23" s="133">
        <v>317</v>
      </c>
      <c r="E23" s="8">
        <v>400</v>
      </c>
      <c r="F23" s="8">
        <v>492</v>
      </c>
      <c r="G23" s="161">
        <v>-20.75</v>
      </c>
      <c r="H23" s="161">
        <v>-35.569105691056912</v>
      </c>
      <c r="I23" s="512"/>
      <c r="J23" s="406"/>
      <c r="K23" s="406"/>
      <c r="L23" s="406"/>
      <c r="M23" s="406"/>
    </row>
    <row r="24" spans="2:13" x14ac:dyDescent="0.25">
      <c r="B24" s="324"/>
      <c r="C24" s="513" t="s">
        <v>104</v>
      </c>
      <c r="D24" s="133">
        <v>34</v>
      </c>
      <c r="E24" s="8">
        <v>148</v>
      </c>
      <c r="F24" s="8">
        <v>100</v>
      </c>
      <c r="G24" s="161">
        <v>-77.027027027027032</v>
      </c>
      <c r="H24" s="161">
        <v>-65.999999999999986</v>
      </c>
      <c r="I24" s="512"/>
      <c r="J24" s="406"/>
      <c r="K24" s="406"/>
      <c r="L24" s="406"/>
      <c r="M24" s="406"/>
    </row>
    <row r="25" spans="2:13" ht="20.100000000000001" customHeight="1" x14ac:dyDescent="0.25">
      <c r="B25" s="450" t="s">
        <v>124</v>
      </c>
      <c r="C25" s="323"/>
      <c r="D25" s="133"/>
      <c r="E25" s="8"/>
      <c r="F25" s="8"/>
      <c r="G25" s="161"/>
      <c r="H25" s="161"/>
      <c r="I25" s="323"/>
      <c r="J25" s="406"/>
      <c r="K25" s="406"/>
      <c r="L25" s="406"/>
      <c r="M25" s="406"/>
    </row>
    <row r="26" spans="2:13" x14ac:dyDescent="0.25">
      <c r="B26" s="324"/>
      <c r="C26" s="513" t="s">
        <v>125</v>
      </c>
      <c r="D26" s="133">
        <v>146</v>
      </c>
      <c r="E26" s="8">
        <v>347</v>
      </c>
      <c r="F26" s="8">
        <v>363</v>
      </c>
      <c r="G26" s="161">
        <v>-57.925072046109506</v>
      </c>
      <c r="H26" s="161">
        <v>-59.779614325068863</v>
      </c>
      <c r="I26" s="512"/>
      <c r="J26" s="405"/>
      <c r="K26" s="406"/>
      <c r="L26" s="406"/>
      <c r="M26" s="406"/>
    </row>
    <row r="27" spans="2:13" x14ac:dyDescent="0.25">
      <c r="B27" s="323"/>
      <c r="C27" s="513" t="s">
        <v>126</v>
      </c>
      <c r="D27" s="133">
        <v>562</v>
      </c>
      <c r="E27" s="8">
        <v>314</v>
      </c>
      <c r="F27" s="8">
        <v>313</v>
      </c>
      <c r="G27" s="161">
        <v>78.98089171974523</v>
      </c>
      <c r="H27" s="161">
        <v>79.552715654952081</v>
      </c>
      <c r="I27" s="512"/>
      <c r="J27" s="405"/>
      <c r="K27" s="406"/>
      <c r="L27" s="406"/>
      <c r="M27" s="406"/>
    </row>
    <row r="28" spans="2:13" x14ac:dyDescent="0.25">
      <c r="B28" s="323"/>
      <c r="C28" s="513" t="s">
        <v>127</v>
      </c>
      <c r="D28" s="133">
        <v>5</v>
      </c>
      <c r="E28" s="8">
        <v>3</v>
      </c>
      <c r="F28" s="8">
        <v>5</v>
      </c>
      <c r="G28" s="161">
        <v>66.666666666666671</v>
      </c>
      <c r="H28" s="161">
        <v>0</v>
      </c>
      <c r="I28" s="512"/>
      <c r="J28" s="405"/>
      <c r="K28" s="406"/>
      <c r="L28" s="406"/>
      <c r="M28" s="406"/>
    </row>
    <row r="29" spans="2:13" x14ac:dyDescent="0.25">
      <c r="B29" s="323"/>
      <c r="C29" s="513" t="s">
        <v>128</v>
      </c>
      <c r="D29" s="133">
        <v>544</v>
      </c>
      <c r="E29" s="8">
        <v>567</v>
      </c>
      <c r="F29" s="8">
        <v>581</v>
      </c>
      <c r="G29" s="161">
        <v>-4.0564373897707284</v>
      </c>
      <c r="H29" s="161">
        <v>-6.3683304647160099</v>
      </c>
      <c r="I29" s="512"/>
      <c r="J29" s="405"/>
      <c r="K29" s="406"/>
      <c r="L29" s="406"/>
      <c r="M29" s="406"/>
    </row>
    <row r="30" spans="2:13" x14ac:dyDescent="0.25">
      <c r="B30" s="323"/>
      <c r="C30" s="513" t="s">
        <v>129</v>
      </c>
      <c r="D30" s="133">
        <v>538</v>
      </c>
      <c r="E30" s="8">
        <v>537</v>
      </c>
      <c r="F30" s="8">
        <v>680</v>
      </c>
      <c r="G30" s="161">
        <v>0.18621973929235924</v>
      </c>
      <c r="H30" s="161">
        <v>-20.882352941176475</v>
      </c>
      <c r="I30" s="512"/>
      <c r="J30" s="405"/>
      <c r="K30" s="406"/>
      <c r="L30" s="406"/>
      <c r="M30" s="406"/>
    </row>
    <row r="31" spans="2:13" x14ac:dyDescent="0.25">
      <c r="B31" s="323"/>
      <c r="C31" s="513" t="s">
        <v>130</v>
      </c>
      <c r="D31" s="133">
        <v>27</v>
      </c>
      <c r="E31" s="8">
        <v>1</v>
      </c>
      <c r="F31" s="8" t="s">
        <v>444</v>
      </c>
      <c r="G31" s="161" t="s">
        <v>500</v>
      </c>
      <c r="H31" s="189" t="s">
        <v>117</v>
      </c>
      <c r="I31" s="512"/>
      <c r="J31" s="405"/>
      <c r="K31" s="406"/>
      <c r="L31" s="406"/>
      <c r="M31" s="406"/>
    </row>
    <row r="32" spans="2:13" ht="28.5" x14ac:dyDescent="0.25">
      <c r="B32" s="323"/>
      <c r="C32" s="498" t="s">
        <v>131</v>
      </c>
      <c r="D32" s="133">
        <v>309</v>
      </c>
      <c r="E32" s="8">
        <v>295</v>
      </c>
      <c r="F32" s="8">
        <v>301</v>
      </c>
      <c r="G32" s="161">
        <v>4.7457627118643986</v>
      </c>
      <c r="H32" s="161">
        <v>2.6578073089700949</v>
      </c>
      <c r="I32" s="512"/>
      <c r="J32" s="405"/>
      <c r="K32" s="406"/>
      <c r="L32" s="406"/>
      <c r="M32" s="406"/>
    </row>
    <row r="33" spans="1:13" x14ac:dyDescent="0.25">
      <c r="A33" s="323"/>
      <c r="B33" s="323"/>
      <c r="C33" s="513" t="s">
        <v>23</v>
      </c>
      <c r="D33" s="133">
        <v>193</v>
      </c>
      <c r="E33" s="8">
        <v>152</v>
      </c>
      <c r="F33" s="8">
        <v>150</v>
      </c>
      <c r="G33" s="161">
        <v>26.973684210526304</v>
      </c>
      <c r="H33" s="161">
        <v>28.666666666666664</v>
      </c>
      <c r="I33" s="512"/>
      <c r="J33" s="406"/>
      <c r="K33" s="406"/>
      <c r="L33" s="406"/>
      <c r="M33" s="406"/>
    </row>
    <row r="34" spans="1:13" s="331" customFormat="1" ht="20.100000000000001" customHeight="1" x14ac:dyDescent="0.25">
      <c r="B34" s="331" t="s">
        <v>218</v>
      </c>
      <c r="C34" s="376"/>
      <c r="D34" s="107">
        <v>98</v>
      </c>
      <c r="E34" s="332">
        <v>116</v>
      </c>
      <c r="F34" s="332">
        <v>152</v>
      </c>
      <c r="G34" s="161">
        <v>-15.517241379310342</v>
      </c>
      <c r="H34" s="161">
        <v>-35.526315789473685</v>
      </c>
      <c r="I34" s="514"/>
      <c r="J34" s="406"/>
      <c r="K34" s="406"/>
      <c r="L34" s="406"/>
      <c r="M34" s="406"/>
    </row>
    <row r="35" spans="1:13" x14ac:dyDescent="0.25">
      <c r="A35" s="323"/>
      <c r="B35" s="331"/>
      <c r="C35" s="324" t="s">
        <v>187</v>
      </c>
      <c r="D35" s="133">
        <v>98</v>
      </c>
      <c r="E35" s="8">
        <v>116</v>
      </c>
      <c r="F35" s="8">
        <v>152</v>
      </c>
      <c r="G35" s="161">
        <v>-15.517241379310342</v>
      </c>
      <c r="H35" s="161">
        <v>-35.526315789473685</v>
      </c>
      <c r="I35" s="323"/>
      <c r="J35" s="406"/>
      <c r="K35" s="406"/>
      <c r="L35" s="406"/>
      <c r="M35" s="406"/>
    </row>
    <row r="36" spans="1:13" x14ac:dyDescent="0.25">
      <c r="A36" s="331"/>
      <c r="B36" s="392"/>
      <c r="C36" s="408"/>
      <c r="D36" s="8"/>
      <c r="E36" s="8"/>
      <c r="F36" s="8"/>
      <c r="G36" s="230"/>
      <c r="H36" s="230"/>
      <c r="I36" s="323"/>
      <c r="J36" s="406"/>
      <c r="K36" s="406"/>
      <c r="L36" s="406"/>
      <c r="M36" s="406"/>
    </row>
    <row r="37" spans="1:13" s="351" customFormat="1" x14ac:dyDescent="0.25">
      <c r="B37" s="506"/>
      <c r="C37" s="454"/>
      <c r="D37" s="330"/>
      <c r="E37" s="330"/>
      <c r="F37" s="330"/>
      <c r="G37" s="230"/>
      <c r="H37" s="230"/>
    </row>
    <row r="38" spans="1:13" s="323" customFormat="1" x14ac:dyDescent="0.25">
      <c r="B38" s="359" t="s">
        <v>89</v>
      </c>
      <c r="C38" s="359" t="s">
        <v>183</v>
      </c>
      <c r="D38" s="8"/>
      <c r="E38" s="8"/>
      <c r="F38" s="8"/>
      <c r="G38" s="146"/>
      <c r="H38" s="146"/>
    </row>
    <row r="39" spans="1:13" s="323" customFormat="1" x14ac:dyDescent="0.25">
      <c r="B39" s="359" t="s">
        <v>444</v>
      </c>
      <c r="C39" s="363" t="s">
        <v>448</v>
      </c>
      <c r="D39" s="8"/>
      <c r="E39" s="8"/>
      <c r="F39" s="8"/>
      <c r="G39" s="146"/>
      <c r="H39" s="146"/>
    </row>
    <row r="40" spans="1:13" s="323" customFormat="1" x14ac:dyDescent="0.25">
      <c r="B40" s="70" t="s">
        <v>60</v>
      </c>
      <c r="C40" s="363"/>
      <c r="D40" s="8"/>
      <c r="E40" s="8"/>
      <c r="F40" s="8"/>
      <c r="G40" s="146"/>
      <c r="H40" s="146"/>
    </row>
    <row r="41" spans="1:13" x14ac:dyDescent="0.25">
      <c r="A41" s="323"/>
      <c r="B41" s="323"/>
      <c r="C41" s="357"/>
      <c r="D41" s="330"/>
      <c r="E41" s="8"/>
      <c r="F41" s="8"/>
      <c r="I41" s="323"/>
      <c r="J41" s="323"/>
      <c r="K41" s="323"/>
      <c r="L41" s="323"/>
      <c r="M41" s="323"/>
    </row>
    <row r="42" spans="1:13" x14ac:dyDescent="0.25">
      <c r="A42" s="323"/>
      <c r="B42" s="323"/>
      <c r="C42" s="357"/>
      <c r="D42" s="330"/>
      <c r="E42" s="8"/>
      <c r="F42" s="8"/>
      <c r="I42" s="323"/>
      <c r="J42" s="323"/>
      <c r="K42" s="323"/>
      <c r="L42" s="323"/>
      <c r="M42" s="323"/>
    </row>
    <row r="43" spans="1:13" x14ac:dyDescent="0.25">
      <c r="A43" s="323"/>
      <c r="B43" s="323"/>
      <c r="C43" s="357"/>
      <c r="D43" s="8"/>
      <c r="E43" s="8"/>
      <c r="F43" s="8"/>
      <c r="I43" s="323"/>
      <c r="J43" s="323"/>
      <c r="K43" s="323"/>
      <c r="L43" s="323"/>
      <c r="M43" s="323"/>
    </row>
    <row r="44" spans="1:13" x14ac:dyDescent="0.25">
      <c r="A44" s="323"/>
      <c r="B44" s="323"/>
      <c r="C44" s="357"/>
      <c r="D44" s="8"/>
      <c r="E44" s="8"/>
      <c r="F44" s="8"/>
      <c r="I44" s="323"/>
      <c r="J44" s="323"/>
      <c r="K44" s="323"/>
      <c r="L44" s="323"/>
      <c r="M44" s="323"/>
    </row>
    <row r="45" spans="1:13" x14ac:dyDescent="0.25">
      <c r="A45" s="323"/>
      <c r="B45" s="323"/>
      <c r="C45" s="357"/>
      <c r="D45" s="411"/>
      <c r="E45" s="411"/>
      <c r="F45" s="411"/>
      <c r="I45" s="323"/>
      <c r="J45" s="323"/>
      <c r="K45" s="323"/>
      <c r="L45" s="323"/>
      <c r="M45" s="323"/>
    </row>
    <row r="46" spans="1:13" x14ac:dyDescent="0.25">
      <c r="A46" s="323"/>
      <c r="B46" s="323"/>
      <c r="C46" s="357"/>
      <c r="D46" s="411"/>
      <c r="E46" s="411"/>
      <c r="F46" s="411"/>
      <c r="I46" s="323"/>
      <c r="J46" s="323"/>
      <c r="K46" s="323"/>
      <c r="L46" s="323"/>
      <c r="M46" s="323"/>
    </row>
    <row r="47" spans="1:13" x14ac:dyDescent="0.25">
      <c r="A47" s="323"/>
      <c r="B47" s="357"/>
      <c r="C47" s="357"/>
      <c r="D47" s="411"/>
      <c r="E47" s="411"/>
      <c r="F47" s="411"/>
      <c r="G47" s="515"/>
      <c r="H47" s="515"/>
      <c r="I47" s="323"/>
      <c r="J47" s="323"/>
      <c r="K47" s="323"/>
      <c r="L47" s="323"/>
      <c r="M47" s="323"/>
    </row>
    <row r="48" spans="1:13" x14ac:dyDescent="0.25">
      <c r="A48" s="323"/>
      <c r="B48" s="357"/>
      <c r="C48" s="357"/>
      <c r="D48" s="411"/>
      <c r="E48" s="411"/>
      <c r="F48" s="411"/>
      <c r="G48" s="515"/>
      <c r="H48" s="515"/>
      <c r="I48" s="323"/>
      <c r="J48" s="323"/>
      <c r="K48" s="323"/>
      <c r="L48" s="323"/>
      <c r="M48" s="323"/>
    </row>
    <row r="49" spans="4:8" x14ac:dyDescent="0.25">
      <c r="D49" s="411"/>
      <c r="E49" s="411"/>
      <c r="F49" s="411"/>
      <c r="G49" s="515"/>
      <c r="H49" s="515"/>
    </row>
    <row r="50" spans="4:8" x14ac:dyDescent="0.25">
      <c r="D50" s="411"/>
      <c r="E50" s="411"/>
      <c r="F50" s="411"/>
      <c r="G50" s="515"/>
      <c r="H50" s="515"/>
    </row>
    <row r="51" spans="4:8" x14ac:dyDescent="0.25">
      <c r="D51" s="411"/>
      <c r="E51" s="411"/>
      <c r="F51" s="411"/>
      <c r="G51" s="515"/>
      <c r="H51" s="515"/>
    </row>
    <row r="52" spans="4:8" x14ac:dyDescent="0.25">
      <c r="D52" s="411"/>
      <c r="E52" s="411"/>
      <c r="F52" s="411"/>
      <c r="G52" s="515"/>
      <c r="H52" s="515"/>
    </row>
    <row r="53" spans="4:8" x14ac:dyDescent="0.25">
      <c r="D53" s="411"/>
      <c r="E53" s="411"/>
      <c r="F53" s="411"/>
      <c r="G53" s="515"/>
      <c r="H53" s="515"/>
    </row>
    <row r="54" spans="4:8" x14ac:dyDescent="0.25">
      <c r="D54" s="411"/>
      <c r="E54" s="411"/>
      <c r="F54" s="411"/>
      <c r="G54" s="515"/>
      <c r="H54" s="515"/>
    </row>
    <row r="55" spans="4:8" x14ac:dyDescent="0.25">
      <c r="D55" s="411"/>
      <c r="E55" s="411"/>
      <c r="F55" s="411"/>
      <c r="G55" s="515"/>
      <c r="H55" s="515"/>
    </row>
    <row r="56" spans="4:8" x14ac:dyDescent="0.25">
      <c r="D56" s="411"/>
      <c r="E56" s="411"/>
      <c r="F56" s="411"/>
      <c r="G56" s="515"/>
      <c r="H56" s="515"/>
    </row>
    <row r="57" spans="4:8" x14ac:dyDescent="0.25">
      <c r="D57" s="411"/>
      <c r="E57" s="411"/>
      <c r="F57" s="411"/>
      <c r="G57" s="515"/>
      <c r="H57" s="515"/>
    </row>
    <row r="58" spans="4:8" x14ac:dyDescent="0.25">
      <c r="D58" s="411"/>
      <c r="E58" s="411"/>
      <c r="F58" s="411"/>
      <c r="G58" s="515"/>
      <c r="H58" s="515"/>
    </row>
    <row r="59" spans="4:8" x14ac:dyDescent="0.25">
      <c r="D59" s="411"/>
      <c r="E59" s="411"/>
      <c r="F59" s="411"/>
      <c r="G59" s="515"/>
      <c r="H59" s="515"/>
    </row>
    <row r="60" spans="4:8" x14ac:dyDescent="0.25">
      <c r="D60" s="330"/>
      <c r="E60" s="330"/>
      <c r="F60" s="330"/>
      <c r="G60" s="515"/>
      <c r="H60" s="515"/>
    </row>
    <row r="61" spans="4:8" x14ac:dyDescent="0.25">
      <c r="D61" s="330"/>
      <c r="E61" s="330"/>
      <c r="F61" s="330"/>
      <c r="G61" s="515"/>
      <c r="H61" s="515"/>
    </row>
    <row r="62" spans="4:8" x14ac:dyDescent="0.25">
      <c r="D62" s="330"/>
      <c r="E62" s="330"/>
      <c r="F62" s="330"/>
      <c r="G62" s="515"/>
      <c r="H62" s="515"/>
    </row>
    <row r="63" spans="4:8" x14ac:dyDescent="0.25">
      <c r="D63" s="330"/>
      <c r="E63" s="330"/>
      <c r="F63" s="330"/>
      <c r="G63" s="515"/>
      <c r="H63" s="515"/>
    </row>
    <row r="64" spans="4:8" x14ac:dyDescent="0.25">
      <c r="D64" s="330"/>
      <c r="E64" s="330"/>
      <c r="F64" s="330"/>
      <c r="G64" s="515"/>
      <c r="H64" s="515"/>
    </row>
    <row r="65" spans="4:8" x14ac:dyDescent="0.25">
      <c r="D65" s="330"/>
      <c r="E65" s="330"/>
      <c r="F65" s="330"/>
      <c r="G65" s="515"/>
      <c r="H65" s="515"/>
    </row>
    <row r="66" spans="4:8" x14ac:dyDescent="0.25">
      <c r="D66" s="330"/>
      <c r="E66" s="330"/>
      <c r="F66" s="330"/>
      <c r="G66" s="515"/>
      <c r="H66" s="515"/>
    </row>
    <row r="67" spans="4:8" x14ac:dyDescent="0.25">
      <c r="D67" s="330"/>
      <c r="E67" s="330"/>
      <c r="F67" s="330"/>
      <c r="G67" s="515"/>
      <c r="H67" s="515"/>
    </row>
    <row r="68" spans="4:8" x14ac:dyDescent="0.25">
      <c r="D68" s="330"/>
      <c r="E68" s="330"/>
      <c r="F68" s="330"/>
      <c r="G68" s="515"/>
      <c r="H68" s="515"/>
    </row>
    <row r="69" spans="4:8" x14ac:dyDescent="0.25">
      <c r="D69" s="330"/>
      <c r="E69" s="330"/>
      <c r="F69" s="330"/>
      <c r="G69" s="515"/>
      <c r="H69" s="515"/>
    </row>
    <row r="70" spans="4:8" x14ac:dyDescent="0.25">
      <c r="D70" s="330"/>
      <c r="E70" s="330"/>
      <c r="F70" s="330"/>
      <c r="G70" s="515"/>
      <c r="H70" s="515"/>
    </row>
    <row r="71" spans="4:8" x14ac:dyDescent="0.25">
      <c r="D71" s="330"/>
      <c r="E71" s="330"/>
      <c r="F71" s="330"/>
      <c r="G71" s="515"/>
      <c r="H71" s="515"/>
    </row>
    <row r="72" spans="4:8" x14ac:dyDescent="0.25">
      <c r="D72" s="330"/>
      <c r="E72" s="330"/>
      <c r="F72" s="330"/>
      <c r="G72" s="515"/>
      <c r="H72" s="515"/>
    </row>
    <row r="73" spans="4:8" x14ac:dyDescent="0.25">
      <c r="D73" s="330"/>
      <c r="E73" s="330"/>
      <c r="F73" s="330"/>
      <c r="G73" s="515"/>
      <c r="H73" s="515"/>
    </row>
    <row r="74" spans="4:8" x14ac:dyDescent="0.25">
      <c r="D74" s="330"/>
      <c r="E74" s="330"/>
      <c r="F74" s="330"/>
      <c r="G74" s="515"/>
      <c r="H74" s="515"/>
    </row>
    <row r="75" spans="4:8" x14ac:dyDescent="0.25">
      <c r="D75" s="330"/>
      <c r="E75" s="330"/>
      <c r="F75" s="330"/>
      <c r="G75" s="515"/>
      <c r="H75" s="515"/>
    </row>
    <row r="76" spans="4:8" x14ac:dyDescent="0.25">
      <c r="D76" s="330"/>
      <c r="E76" s="330"/>
      <c r="F76" s="330"/>
      <c r="G76" s="515"/>
      <c r="H76" s="515"/>
    </row>
    <row r="77" spans="4:8" x14ac:dyDescent="0.25">
      <c r="D77" s="330"/>
      <c r="E77" s="330"/>
      <c r="F77" s="330"/>
      <c r="G77" s="515"/>
      <c r="H77" s="515"/>
    </row>
    <row r="78" spans="4:8" x14ac:dyDescent="0.25">
      <c r="D78" s="330"/>
      <c r="E78" s="330"/>
      <c r="F78" s="330"/>
      <c r="G78" s="515"/>
      <c r="H78" s="515"/>
    </row>
    <row r="79" spans="4:8" x14ac:dyDescent="0.25">
      <c r="D79" s="330"/>
      <c r="E79" s="330"/>
      <c r="F79" s="330"/>
      <c r="G79" s="515"/>
      <c r="H79" s="515"/>
    </row>
    <row r="80" spans="4:8" x14ac:dyDescent="0.25">
      <c r="D80" s="330"/>
      <c r="E80" s="330"/>
      <c r="F80" s="330"/>
      <c r="G80" s="515"/>
      <c r="H80" s="515"/>
    </row>
    <row r="81" spans="4:8" x14ac:dyDescent="0.25">
      <c r="D81" s="330"/>
      <c r="E81" s="330"/>
      <c r="F81" s="330"/>
      <c r="G81" s="515"/>
      <c r="H81" s="515"/>
    </row>
    <row r="82" spans="4:8" x14ac:dyDescent="0.25">
      <c r="D82" s="330"/>
      <c r="E82" s="330"/>
      <c r="F82" s="330"/>
      <c r="G82" s="515"/>
      <c r="H82" s="515"/>
    </row>
    <row r="83" spans="4:8" x14ac:dyDescent="0.25">
      <c r="D83" s="330"/>
      <c r="E83" s="330"/>
      <c r="F83" s="330"/>
    </row>
    <row r="84" spans="4:8" x14ac:dyDescent="0.25">
      <c r="D84" s="330"/>
      <c r="E84" s="330"/>
      <c r="F84" s="330"/>
    </row>
    <row r="85" spans="4:8" x14ac:dyDescent="0.25">
      <c r="D85" s="330"/>
      <c r="E85" s="330"/>
      <c r="F85" s="330"/>
    </row>
    <row r="86" spans="4:8" x14ac:dyDescent="0.25">
      <c r="D86" s="330"/>
      <c r="E86" s="330"/>
      <c r="F86" s="330"/>
    </row>
    <row r="87" spans="4:8" x14ac:dyDescent="0.25">
      <c r="D87" s="330"/>
      <c r="E87" s="330"/>
      <c r="F87" s="330"/>
    </row>
    <row r="88" spans="4:8" x14ac:dyDescent="0.25">
      <c r="D88" s="330"/>
      <c r="E88" s="330"/>
      <c r="F88" s="330"/>
    </row>
    <row r="89" spans="4:8" x14ac:dyDescent="0.25">
      <c r="D89" s="330"/>
      <c r="E89" s="330"/>
      <c r="F89" s="330"/>
    </row>
    <row r="90" spans="4:8" x14ac:dyDescent="0.25">
      <c r="D90" s="330"/>
      <c r="E90" s="330"/>
      <c r="F90" s="330"/>
    </row>
    <row r="91" spans="4:8" x14ac:dyDescent="0.25">
      <c r="D91" s="330"/>
      <c r="E91" s="330"/>
      <c r="F91" s="330"/>
    </row>
    <row r="92" spans="4:8" x14ac:dyDescent="0.25">
      <c r="D92" s="330"/>
      <c r="E92" s="330"/>
      <c r="F92" s="330"/>
    </row>
    <row r="93" spans="4:8" x14ac:dyDescent="0.25">
      <c r="D93" s="330"/>
      <c r="E93" s="330"/>
      <c r="F93" s="330"/>
    </row>
    <row r="94" spans="4:8" x14ac:dyDescent="0.25">
      <c r="D94" s="330"/>
      <c r="E94" s="330"/>
      <c r="F94" s="330"/>
    </row>
    <row r="95" spans="4:8" x14ac:dyDescent="0.25">
      <c r="D95" s="330"/>
      <c r="E95" s="330"/>
      <c r="F95" s="330"/>
    </row>
    <row r="96" spans="4:8" x14ac:dyDescent="0.25">
      <c r="D96" s="330"/>
      <c r="E96" s="330"/>
      <c r="F96" s="330"/>
    </row>
    <row r="97" spans="4:6" x14ac:dyDescent="0.25">
      <c r="D97" s="330"/>
      <c r="E97" s="330"/>
      <c r="F97" s="330"/>
    </row>
    <row r="98" spans="4:6" x14ac:dyDescent="0.25">
      <c r="D98" s="330"/>
      <c r="E98" s="330"/>
      <c r="F98" s="330"/>
    </row>
    <row r="99" spans="4:6" x14ac:dyDescent="0.25">
      <c r="D99" s="330"/>
      <c r="E99" s="330"/>
      <c r="F99" s="330"/>
    </row>
    <row r="100" spans="4:6" x14ac:dyDescent="0.25">
      <c r="D100" s="330"/>
      <c r="E100" s="330"/>
      <c r="F100" s="330"/>
    </row>
    <row r="101" spans="4:6" x14ac:dyDescent="0.25">
      <c r="D101" s="330"/>
      <c r="E101" s="330"/>
      <c r="F101" s="330"/>
    </row>
    <row r="102" spans="4:6" x14ac:dyDescent="0.25">
      <c r="D102" s="330"/>
      <c r="E102" s="330"/>
      <c r="F102" s="330"/>
    </row>
    <row r="103" spans="4:6" x14ac:dyDescent="0.25">
      <c r="D103" s="330"/>
      <c r="E103" s="330"/>
      <c r="F103" s="330"/>
    </row>
    <row r="104" spans="4:6" x14ac:dyDescent="0.25">
      <c r="D104" s="330"/>
      <c r="E104" s="330"/>
      <c r="F104" s="330"/>
    </row>
    <row r="105" spans="4:6" x14ac:dyDescent="0.25">
      <c r="D105" s="330"/>
      <c r="E105" s="330"/>
      <c r="F105" s="330"/>
    </row>
    <row r="106" spans="4:6" x14ac:dyDescent="0.25">
      <c r="D106" s="330"/>
      <c r="E106" s="330"/>
      <c r="F106" s="330"/>
    </row>
    <row r="107" spans="4:6" x14ac:dyDescent="0.25">
      <c r="D107" s="330"/>
      <c r="E107" s="330"/>
      <c r="F107" s="330"/>
    </row>
    <row r="108" spans="4:6" x14ac:dyDescent="0.25">
      <c r="D108" s="330"/>
      <c r="E108" s="330"/>
      <c r="F108" s="330"/>
    </row>
    <row r="109" spans="4:6" x14ac:dyDescent="0.25">
      <c r="D109" s="330"/>
      <c r="E109" s="330"/>
      <c r="F109" s="330"/>
    </row>
    <row r="110" spans="4:6" x14ac:dyDescent="0.25">
      <c r="D110" s="330"/>
      <c r="E110" s="330"/>
      <c r="F110" s="330"/>
    </row>
    <row r="111" spans="4:6" x14ac:dyDescent="0.25">
      <c r="D111" s="330"/>
      <c r="E111" s="330"/>
      <c r="F111" s="330"/>
    </row>
    <row r="112" spans="4:6" x14ac:dyDescent="0.25">
      <c r="D112" s="330"/>
      <c r="E112" s="330"/>
      <c r="F112" s="330"/>
    </row>
    <row r="113" spans="4:6" x14ac:dyDescent="0.25">
      <c r="D113" s="330"/>
      <c r="E113" s="330"/>
      <c r="F113" s="330"/>
    </row>
    <row r="114" spans="4:6" x14ac:dyDescent="0.25">
      <c r="D114" s="330"/>
      <c r="E114" s="330"/>
      <c r="F114" s="330"/>
    </row>
    <row r="115" spans="4:6" x14ac:dyDescent="0.25">
      <c r="D115" s="330"/>
      <c r="E115" s="330"/>
      <c r="F115" s="330"/>
    </row>
    <row r="116" spans="4:6" x14ac:dyDescent="0.25">
      <c r="D116" s="330"/>
      <c r="E116" s="330"/>
      <c r="F116" s="330"/>
    </row>
    <row r="117" spans="4:6" x14ac:dyDescent="0.25">
      <c r="D117" s="330"/>
      <c r="E117" s="330"/>
      <c r="F117" s="330"/>
    </row>
    <row r="118" spans="4:6" x14ac:dyDescent="0.25">
      <c r="D118" s="330"/>
      <c r="E118" s="330"/>
      <c r="F118" s="330"/>
    </row>
    <row r="119" spans="4:6" x14ac:dyDescent="0.25">
      <c r="D119" s="330"/>
      <c r="E119" s="330"/>
      <c r="F119" s="330"/>
    </row>
    <row r="120" spans="4:6" x14ac:dyDescent="0.25">
      <c r="D120" s="330"/>
      <c r="E120" s="330"/>
      <c r="F120" s="330"/>
    </row>
    <row r="121" spans="4:6" x14ac:dyDescent="0.25">
      <c r="D121" s="330"/>
      <c r="E121" s="330"/>
      <c r="F121" s="330"/>
    </row>
    <row r="122" spans="4:6" x14ac:dyDescent="0.25">
      <c r="D122" s="330"/>
      <c r="E122" s="330"/>
      <c r="F122" s="330"/>
    </row>
    <row r="123" spans="4:6" x14ac:dyDescent="0.25">
      <c r="D123" s="330"/>
      <c r="E123" s="330"/>
      <c r="F123" s="330"/>
    </row>
    <row r="124" spans="4:6" x14ac:dyDescent="0.25">
      <c r="D124" s="330"/>
      <c r="E124" s="330"/>
      <c r="F124" s="330"/>
    </row>
    <row r="125" spans="4:6" x14ac:dyDescent="0.25">
      <c r="D125" s="330"/>
      <c r="E125" s="330"/>
      <c r="F125" s="330"/>
    </row>
    <row r="126" spans="4:6" x14ac:dyDescent="0.25">
      <c r="D126" s="330"/>
      <c r="E126" s="330"/>
      <c r="F126" s="330"/>
    </row>
    <row r="127" spans="4:6" x14ac:dyDescent="0.25">
      <c r="D127" s="330"/>
      <c r="E127" s="330"/>
      <c r="F127" s="330"/>
    </row>
    <row r="128" spans="4:6" x14ac:dyDescent="0.25">
      <c r="D128" s="330"/>
      <c r="E128" s="330"/>
      <c r="F128" s="330"/>
    </row>
    <row r="129" spans="4:6" x14ac:dyDescent="0.25">
      <c r="D129" s="330"/>
      <c r="E129" s="330"/>
      <c r="F129" s="330"/>
    </row>
    <row r="130" spans="4:6" x14ac:dyDescent="0.25">
      <c r="D130" s="330"/>
      <c r="E130" s="330"/>
      <c r="F130" s="330"/>
    </row>
    <row r="131" spans="4:6" x14ac:dyDescent="0.25">
      <c r="D131" s="330"/>
      <c r="E131" s="330"/>
      <c r="F131" s="330"/>
    </row>
    <row r="132" spans="4:6" x14ac:dyDescent="0.25">
      <c r="D132" s="330"/>
      <c r="E132" s="330"/>
      <c r="F132" s="330"/>
    </row>
    <row r="133" spans="4:6" x14ac:dyDescent="0.25">
      <c r="D133" s="330"/>
      <c r="E133" s="330"/>
      <c r="F133" s="330"/>
    </row>
    <row r="134" spans="4:6" x14ac:dyDescent="0.25">
      <c r="D134" s="330"/>
      <c r="E134" s="330"/>
      <c r="F134" s="330"/>
    </row>
    <row r="135" spans="4:6" x14ac:dyDescent="0.25">
      <c r="D135" s="330"/>
      <c r="E135" s="330"/>
      <c r="F135" s="330"/>
    </row>
    <row r="136" spans="4:6" x14ac:dyDescent="0.25">
      <c r="D136" s="330"/>
      <c r="E136" s="330"/>
      <c r="F136" s="330"/>
    </row>
    <row r="137" spans="4:6" x14ac:dyDescent="0.25">
      <c r="D137" s="330"/>
      <c r="E137" s="330"/>
      <c r="F137" s="330"/>
    </row>
    <row r="138" spans="4:6" x14ac:dyDescent="0.25">
      <c r="D138" s="330"/>
      <c r="E138" s="330"/>
      <c r="F138" s="330"/>
    </row>
    <row r="139" spans="4:6" x14ac:dyDescent="0.25">
      <c r="D139" s="330"/>
      <c r="E139" s="330"/>
      <c r="F139" s="330"/>
    </row>
    <row r="140" spans="4:6" x14ac:dyDescent="0.25">
      <c r="D140" s="330"/>
      <c r="E140" s="330"/>
      <c r="F140" s="330"/>
    </row>
    <row r="141" spans="4:6" x14ac:dyDescent="0.25">
      <c r="D141" s="330"/>
      <c r="E141" s="330"/>
      <c r="F141" s="330"/>
    </row>
    <row r="142" spans="4:6" x14ac:dyDescent="0.25">
      <c r="D142" s="330"/>
      <c r="E142" s="330"/>
      <c r="F142" s="330"/>
    </row>
  </sheetData>
  <mergeCells count="1">
    <mergeCell ref="A2:C2"/>
  </mergeCells>
  <phoneticPr fontId="2" type="noConversion"/>
  <hyperlinks>
    <hyperlink ref="A2" location="Index!A1" display="Back to Index" xr:uid="{D47F0630-C34D-4847-B7E2-E8D48969771B}"/>
  </hyperlinks>
  <printOptions gridLines="1"/>
  <pageMargins left="0.74803149606299213" right="0.31496062992125984" top="0.70866141732283472" bottom="0.51181102362204722" header="0.51181102362204722" footer="0"/>
  <pageSetup paperSize="9" scale="80" orientation="landscape" blackAndWhite="1" r:id="rId1"/>
  <headerFooter alignWithMargins="0">
    <oddFooter>&amp;L&amp;8&amp;D\&amp;T&amp;R&amp;F&amp;A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B80F3-A50C-49DE-B357-B08A50DE81E3}">
  <sheetPr>
    <tabColor indexed="47"/>
    <pageSetUpPr fitToPage="1"/>
  </sheetPr>
  <dimension ref="A1:U22"/>
  <sheetViews>
    <sheetView showGridLines="0" zoomScale="85" zoomScaleNormal="85" workbookViewId="0">
      <pane xSplit="3" ySplit="3" topLeftCell="D4" activePane="bottomRight" state="frozen"/>
      <selection pane="topRight" activeCell="L13" sqref="L13"/>
      <selection pane="bottomLeft" activeCell="L13" sqref="L13"/>
      <selection pane="bottomRight" sqref="A1:IV65536"/>
    </sheetView>
  </sheetViews>
  <sheetFormatPr defaultColWidth="9.42578125" defaultRowHeight="14.25" x14ac:dyDescent="0.2"/>
  <cols>
    <col min="1" max="1" width="1.5703125" style="519" customWidth="1"/>
    <col min="2" max="2" width="4.42578125" style="519" customWidth="1"/>
    <col min="3" max="3" width="53.42578125" style="522" customWidth="1"/>
    <col min="4" max="7" width="11.42578125" style="523" customWidth="1"/>
    <col min="8" max="9" width="11.42578125" style="524" customWidth="1"/>
    <col min="10" max="10" width="9.5703125" style="523" customWidth="1"/>
    <col min="11" max="11" width="4.42578125" style="519" customWidth="1"/>
    <col min="12" max="16384" width="9.42578125" style="519"/>
  </cols>
  <sheetData>
    <row r="1" spans="1:12" s="516" customFormat="1" ht="20.25" x14ac:dyDescent="0.3">
      <c r="A1" s="3" t="s">
        <v>16</v>
      </c>
      <c r="B1" s="4"/>
      <c r="C1" s="4"/>
      <c r="D1" s="366"/>
      <c r="E1" s="366"/>
      <c r="F1" s="366"/>
      <c r="G1" s="366"/>
      <c r="H1" s="464"/>
      <c r="I1" s="464"/>
      <c r="J1" s="366"/>
      <c r="K1" s="4"/>
      <c r="L1" s="4"/>
    </row>
    <row r="2" spans="1:12" s="517" customFormat="1" ht="45" x14ac:dyDescent="0.25">
      <c r="A2" s="781" t="s">
        <v>33</v>
      </c>
      <c r="B2" s="781"/>
      <c r="C2" s="781"/>
      <c r="D2" s="465">
        <v>45992</v>
      </c>
      <c r="E2" s="465">
        <v>45901</v>
      </c>
      <c r="F2" s="465">
        <v>45809</v>
      </c>
      <c r="G2" s="465">
        <v>45627</v>
      </c>
      <c r="H2" s="446" t="s">
        <v>445</v>
      </c>
      <c r="I2" s="446" t="s">
        <v>446</v>
      </c>
      <c r="J2" s="465"/>
      <c r="K2" s="322"/>
      <c r="L2" s="6"/>
    </row>
    <row r="3" spans="1:12" s="518" customFormat="1" ht="7.5" customHeight="1" x14ac:dyDescent="0.25">
      <c r="A3" s="352"/>
      <c r="B3" s="376"/>
      <c r="C3" s="376"/>
      <c r="D3" s="168"/>
      <c r="E3" s="332"/>
      <c r="F3" s="332"/>
      <c r="G3" s="332"/>
      <c r="H3" s="230"/>
      <c r="I3" s="230"/>
      <c r="J3" s="332"/>
      <c r="K3" s="376"/>
      <c r="L3" s="376"/>
    </row>
    <row r="4" spans="1:12" ht="15" x14ac:dyDescent="0.25">
      <c r="A4" s="369" t="s">
        <v>219</v>
      </c>
      <c r="B4" s="497"/>
      <c r="C4" s="357"/>
      <c r="D4" s="118"/>
      <c r="E4" s="241"/>
      <c r="F4" s="241"/>
      <c r="G4" s="144"/>
      <c r="H4" s="175"/>
      <c r="I4" s="175"/>
      <c r="J4" s="144"/>
      <c r="K4" s="323"/>
      <c r="L4" s="323"/>
    </row>
    <row r="5" spans="1:12" s="323" customFormat="1" x14ac:dyDescent="0.2">
      <c r="B5" s="323" t="s">
        <v>220</v>
      </c>
      <c r="D5" s="118">
        <v>62195</v>
      </c>
      <c r="E5" s="144">
        <v>61972</v>
      </c>
      <c r="F5" s="144">
        <v>60538</v>
      </c>
      <c r="G5" s="144">
        <v>59993</v>
      </c>
      <c r="H5" s="333">
        <v>2.7371237900161827</v>
      </c>
      <c r="I5" s="333">
        <v>3.6704282166252655</v>
      </c>
      <c r="J5" s="8"/>
    </row>
    <row r="6" spans="1:12" s="323" customFormat="1" x14ac:dyDescent="0.2">
      <c r="D6" s="118"/>
      <c r="E6" s="144"/>
      <c r="F6" s="144"/>
      <c r="G6" s="144"/>
      <c r="H6" s="144"/>
      <c r="I6" s="144"/>
      <c r="J6" s="8"/>
    </row>
    <row r="7" spans="1:12" s="323" customFormat="1" x14ac:dyDescent="0.2">
      <c r="B7" s="324" t="s">
        <v>221</v>
      </c>
      <c r="D7" s="118">
        <v>62195</v>
      </c>
      <c r="E7" s="144">
        <v>61973</v>
      </c>
      <c r="F7" s="144">
        <v>61538</v>
      </c>
      <c r="G7" s="144">
        <v>62386</v>
      </c>
      <c r="H7" s="333">
        <v>1.0676330072475482</v>
      </c>
      <c r="I7" s="333">
        <v>-0.30615843298176237</v>
      </c>
      <c r="J7" s="8"/>
    </row>
    <row r="8" spans="1:12" s="323" customFormat="1" x14ac:dyDescent="0.2">
      <c r="B8" s="324"/>
      <c r="D8" s="118"/>
      <c r="E8" s="144"/>
      <c r="F8" s="144"/>
      <c r="G8" s="144"/>
      <c r="H8" s="144"/>
      <c r="I8" s="144"/>
      <c r="J8" s="8"/>
    </row>
    <row r="9" spans="1:12" s="323" customFormat="1" x14ac:dyDescent="0.2">
      <c r="B9" s="324" t="s">
        <v>222</v>
      </c>
      <c r="D9" s="118">
        <v>65446</v>
      </c>
      <c r="E9" s="144">
        <v>65235</v>
      </c>
      <c r="F9" s="144">
        <v>64709</v>
      </c>
      <c r="G9" s="144">
        <v>65601</v>
      </c>
      <c r="H9" s="333">
        <v>1.1389451235531478</v>
      </c>
      <c r="I9" s="333">
        <v>-0.23627688602307906</v>
      </c>
      <c r="J9" s="8"/>
    </row>
    <row r="10" spans="1:12" s="518" customFormat="1" ht="6.75" customHeight="1" x14ac:dyDescent="0.25">
      <c r="A10" s="376"/>
      <c r="B10" s="376"/>
      <c r="C10" s="324"/>
      <c r="D10" s="118"/>
      <c r="E10" s="144"/>
      <c r="F10" s="144"/>
      <c r="G10" s="144"/>
      <c r="H10" s="144"/>
      <c r="I10" s="144"/>
      <c r="J10" s="332"/>
      <c r="K10" s="323"/>
      <c r="L10" s="376"/>
    </row>
    <row r="11" spans="1:12" s="520" customFormat="1" ht="15" x14ac:dyDescent="0.25">
      <c r="A11" s="376" t="s">
        <v>223</v>
      </c>
      <c r="B11" s="331"/>
      <c r="C11" s="331"/>
      <c r="D11" s="118">
        <v>365381</v>
      </c>
      <c r="E11" s="144">
        <v>366603</v>
      </c>
      <c r="F11" s="144">
        <v>355160</v>
      </c>
      <c r="G11" s="144">
        <v>352002</v>
      </c>
      <c r="H11" s="333">
        <v>2.8778578668769095</v>
      </c>
      <c r="I11" s="333">
        <v>3.8008306770984213</v>
      </c>
      <c r="J11" s="332"/>
      <c r="K11" s="331"/>
      <c r="L11" s="331"/>
    </row>
    <row r="12" spans="1:12" ht="15" x14ac:dyDescent="0.25">
      <c r="A12" s="323"/>
      <c r="B12" s="376"/>
      <c r="C12" s="331"/>
      <c r="D12" s="118"/>
      <c r="E12" s="144"/>
      <c r="F12" s="144"/>
      <c r="G12" s="144"/>
      <c r="H12" s="144"/>
      <c r="I12" s="144"/>
      <c r="J12" s="146"/>
      <c r="K12" s="323"/>
      <c r="L12" s="323"/>
    </row>
    <row r="13" spans="1:12" ht="15" x14ac:dyDescent="0.25">
      <c r="A13" s="376" t="s">
        <v>224</v>
      </c>
      <c r="B13" s="323"/>
      <c r="C13" s="331"/>
      <c r="D13" s="118"/>
      <c r="E13" s="144"/>
      <c r="F13" s="144"/>
      <c r="G13" s="144"/>
      <c r="H13" s="144"/>
      <c r="I13" s="144"/>
      <c r="J13" s="144"/>
      <c r="K13" s="323"/>
      <c r="L13" s="323"/>
    </row>
    <row r="14" spans="1:12" s="323" customFormat="1" x14ac:dyDescent="0.2">
      <c r="B14" s="323" t="s">
        <v>366</v>
      </c>
      <c r="D14" s="239">
        <v>17</v>
      </c>
      <c r="E14" s="242">
        <v>16.899999999999999</v>
      </c>
      <c r="F14" s="242">
        <v>17</v>
      </c>
      <c r="G14" s="242">
        <v>17</v>
      </c>
      <c r="H14" s="235">
        <v>0</v>
      </c>
      <c r="I14" s="235">
        <v>0</v>
      </c>
      <c r="J14" s="243"/>
    </row>
    <row r="15" spans="1:12" s="323" customFormat="1" x14ac:dyDescent="0.2">
      <c r="B15" s="324" t="s">
        <v>225</v>
      </c>
      <c r="D15" s="239">
        <v>17</v>
      </c>
      <c r="E15" s="242">
        <v>16.899999999999999</v>
      </c>
      <c r="F15" s="242">
        <v>17.3</v>
      </c>
      <c r="G15" s="242">
        <v>17.7</v>
      </c>
      <c r="H15" s="235">
        <v>-0.30000000000000071</v>
      </c>
      <c r="I15" s="235">
        <v>-0.69999999999999929</v>
      </c>
      <c r="J15" s="243"/>
    </row>
    <row r="16" spans="1:12" s="323" customFormat="1" x14ac:dyDescent="0.2">
      <c r="B16" s="324" t="s">
        <v>226</v>
      </c>
      <c r="D16" s="240">
        <v>17.899999999999999</v>
      </c>
      <c r="E16" s="243">
        <v>17.8</v>
      </c>
      <c r="F16" s="243">
        <v>18.2</v>
      </c>
      <c r="G16" s="243">
        <v>18.600000000000001</v>
      </c>
      <c r="H16" s="235">
        <v>-0.30000000000000071</v>
      </c>
      <c r="I16" s="235">
        <v>-0.70000000000000284</v>
      </c>
      <c r="J16" s="243"/>
    </row>
    <row r="17" spans="1:21" s="518" customFormat="1" ht="17.25" x14ac:dyDescent="0.25">
      <c r="A17" s="376"/>
      <c r="B17" s="324" t="s">
        <v>364</v>
      </c>
      <c r="C17" s="376"/>
      <c r="D17" s="240">
        <v>15</v>
      </c>
      <c r="E17" s="243">
        <v>15.1</v>
      </c>
      <c r="F17" s="243">
        <v>15.1</v>
      </c>
      <c r="G17" s="243">
        <v>15.1</v>
      </c>
      <c r="H17" s="235">
        <v>-9.9999999999999645E-2</v>
      </c>
      <c r="I17" s="235">
        <v>-9.9999999999999645E-2</v>
      </c>
      <c r="J17" s="243"/>
      <c r="K17" s="331"/>
      <c r="L17" s="376"/>
    </row>
    <row r="18" spans="1:21" s="518" customFormat="1" ht="15" x14ac:dyDescent="0.25">
      <c r="A18" s="376"/>
      <c r="B18" s="324"/>
      <c r="C18" s="376"/>
      <c r="D18" s="240"/>
      <c r="E18" s="243"/>
      <c r="F18" s="243"/>
      <c r="G18" s="243"/>
      <c r="H18" s="235"/>
      <c r="I18" s="235"/>
      <c r="J18" s="243"/>
      <c r="K18" s="331"/>
      <c r="L18" s="376"/>
    </row>
    <row r="19" spans="1:21" s="521" customFormat="1" x14ac:dyDescent="0.2">
      <c r="A19" s="324"/>
      <c r="B19" s="324"/>
      <c r="C19" s="324"/>
      <c r="D19" s="144"/>
      <c r="E19" s="144"/>
      <c r="F19" s="144"/>
      <c r="G19" s="144"/>
      <c r="H19" s="241"/>
      <c r="I19" s="241"/>
      <c r="J19" s="144"/>
      <c r="K19" s="323"/>
      <c r="L19" s="324"/>
    </row>
    <row r="20" spans="1:21" s="331" customFormat="1" ht="15" x14ac:dyDescent="0.25">
      <c r="B20" s="442" t="s">
        <v>89</v>
      </c>
      <c r="C20" s="70" t="s">
        <v>365</v>
      </c>
      <c r="D20" s="332"/>
      <c r="E20" s="332"/>
      <c r="F20" s="332"/>
      <c r="G20" s="332"/>
      <c r="H20" s="146"/>
      <c r="I20" s="146"/>
      <c r="J20" s="332"/>
      <c r="K20" s="323"/>
    </row>
    <row r="21" spans="1:21" s="327" customFormat="1" x14ac:dyDescent="0.2">
      <c r="A21" s="364"/>
      <c r="B21" s="70"/>
      <c r="C21" s="70"/>
      <c r="D21" s="8"/>
      <c r="E21" s="8"/>
      <c r="F21" s="8"/>
      <c r="G21" s="8"/>
      <c r="H21" s="8"/>
      <c r="I21" s="8"/>
      <c r="J21" s="8"/>
      <c r="K21" s="8"/>
      <c r="L21" s="8"/>
      <c r="M21" s="8"/>
      <c r="N21" s="8"/>
      <c r="O21" s="8"/>
      <c r="P21" s="8"/>
      <c r="Q21" s="323"/>
      <c r="R21" s="323"/>
      <c r="S21" s="323"/>
      <c r="T21" s="323"/>
      <c r="U21" s="8"/>
    </row>
    <row r="22" spans="1:21" s="327" customFormat="1" x14ac:dyDescent="0.2">
      <c r="B22" s="70"/>
      <c r="C22" s="70"/>
      <c r="D22" s="365"/>
      <c r="E22" s="365"/>
      <c r="F22" s="365"/>
      <c r="G22" s="365"/>
      <c r="H22" s="365"/>
      <c r="I22" s="365"/>
      <c r="J22" s="365"/>
      <c r="K22" s="365"/>
      <c r="L22" s="365"/>
      <c r="M22" s="365"/>
      <c r="N22" s="365"/>
      <c r="O22" s="365"/>
      <c r="P22" s="365"/>
      <c r="U22" s="365"/>
    </row>
  </sheetData>
  <mergeCells count="1">
    <mergeCell ref="A2:C2"/>
  </mergeCells>
  <phoneticPr fontId="2" type="noConversion"/>
  <hyperlinks>
    <hyperlink ref="A2" location="Index!A1" display="Back to Index" xr:uid="{C9879A32-0B5C-471E-804D-AD60D539D790}"/>
  </hyperlinks>
  <pageMargins left="0.75" right="0.75" top="1" bottom="1" header="0.5" footer="0.5"/>
  <pageSetup scale="8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64840-C633-4A2B-8C04-6150CA52F5A7}">
  <sheetPr>
    <tabColor rgb="FF00FF00"/>
    <pageSetUpPr fitToPage="1"/>
  </sheetPr>
  <dimension ref="A1:J140"/>
  <sheetViews>
    <sheetView showGridLines="0" zoomScale="85" zoomScaleNormal="85" workbookViewId="0">
      <pane xSplit="3" ySplit="3" topLeftCell="D16" activePane="bottomRight" state="frozen"/>
      <selection pane="topRight" activeCell="L13" sqref="L13"/>
      <selection pane="bottomLeft" activeCell="L13" sqref="L13"/>
      <selection pane="bottomRight"/>
    </sheetView>
  </sheetViews>
  <sheetFormatPr defaultRowHeight="12.75" x14ac:dyDescent="0.2"/>
  <cols>
    <col min="2" max="2" width="14" customWidth="1"/>
    <col min="3" max="3" width="34.140625" customWidth="1"/>
    <col min="4" max="6" width="11.42578125" style="537" customWidth="1"/>
    <col min="7" max="7" width="2.5703125" customWidth="1"/>
    <col min="8" max="9" width="11.42578125" style="537" customWidth="1"/>
  </cols>
  <sheetData>
    <row r="1" spans="1:10" s="4" customFormat="1" ht="20.25" x14ac:dyDescent="0.3">
      <c r="A1" s="3" t="s">
        <v>227</v>
      </c>
      <c r="D1" s="525"/>
      <c r="E1" s="525"/>
      <c r="F1" s="525"/>
      <c r="H1" s="525"/>
      <c r="I1" s="525"/>
    </row>
    <row r="2" spans="1:10" s="6" customFormat="1" ht="15" x14ac:dyDescent="0.25">
      <c r="A2" s="781" t="s">
        <v>33</v>
      </c>
      <c r="B2" s="781"/>
      <c r="C2" s="781"/>
      <c r="D2" s="321" t="s">
        <v>409</v>
      </c>
      <c r="E2" s="321" t="s">
        <v>410</v>
      </c>
      <c r="F2" s="321" t="s">
        <v>362</v>
      </c>
      <c r="H2" s="321" t="s">
        <v>412</v>
      </c>
      <c r="I2" s="321" t="s">
        <v>363</v>
      </c>
    </row>
    <row r="3" spans="1:10" ht="6.75" customHeight="1" x14ac:dyDescent="0.2">
      <c r="D3" s="244"/>
      <c r="E3" s="526"/>
      <c r="F3" s="526"/>
      <c r="H3" s="244"/>
      <c r="I3" s="526"/>
    </row>
    <row r="4" spans="1:10" s="528" customFormat="1" ht="15" x14ac:dyDescent="0.25">
      <c r="A4" s="352" t="s">
        <v>510</v>
      </c>
      <c r="B4" s="2"/>
      <c r="C4" s="2"/>
      <c r="D4" s="245"/>
      <c r="E4" s="527"/>
      <c r="F4" s="527"/>
      <c r="G4" s="2"/>
      <c r="H4" s="245"/>
      <c r="I4" s="527"/>
      <c r="J4" s="2"/>
    </row>
    <row r="5" spans="1:10" s="528" customFormat="1" ht="14.25" x14ac:dyDescent="0.2">
      <c r="A5" s="372" t="s">
        <v>123</v>
      </c>
      <c r="B5" s="2"/>
      <c r="C5" s="2"/>
      <c r="D5" s="246">
        <v>11263</v>
      </c>
      <c r="E5" s="248"/>
      <c r="F5" s="248"/>
      <c r="G5" s="2"/>
      <c r="H5" s="246">
        <v>22900</v>
      </c>
      <c r="I5" s="248"/>
      <c r="J5" s="2"/>
    </row>
    <row r="6" spans="1:10" s="528" customFormat="1" ht="14.25" x14ac:dyDescent="0.2">
      <c r="A6" s="2"/>
      <c r="B6" s="2" t="s">
        <v>20</v>
      </c>
      <c r="C6" s="2"/>
      <c r="D6" s="178">
        <v>47</v>
      </c>
      <c r="E6" s="189">
        <v>45</v>
      </c>
      <c r="F6" s="249">
        <v>45</v>
      </c>
      <c r="G6" s="2"/>
      <c r="H6" s="178">
        <v>46</v>
      </c>
      <c r="I6" s="189">
        <v>46</v>
      </c>
      <c r="J6" s="249"/>
    </row>
    <row r="7" spans="1:10" s="528" customFormat="1" ht="14.25" x14ac:dyDescent="0.2">
      <c r="A7" s="2"/>
      <c r="B7" s="2" t="s">
        <v>228</v>
      </c>
      <c r="C7" s="2"/>
      <c r="D7" s="178">
        <v>39</v>
      </c>
      <c r="E7" s="189">
        <v>39</v>
      </c>
      <c r="F7" s="249">
        <v>40</v>
      </c>
      <c r="G7" s="2"/>
      <c r="H7" s="178">
        <v>39</v>
      </c>
      <c r="I7" s="189">
        <v>41</v>
      </c>
      <c r="J7" s="249"/>
    </row>
    <row r="8" spans="1:10" s="528" customFormat="1" ht="14.25" x14ac:dyDescent="0.2">
      <c r="A8" s="2"/>
      <c r="B8" s="2" t="s">
        <v>22</v>
      </c>
      <c r="C8" s="2"/>
      <c r="D8" s="178">
        <v>5</v>
      </c>
      <c r="E8" s="189">
        <v>7</v>
      </c>
      <c r="F8" s="249">
        <v>4</v>
      </c>
      <c r="G8" s="2"/>
      <c r="H8" s="178">
        <v>6</v>
      </c>
      <c r="I8" s="189">
        <v>4</v>
      </c>
      <c r="J8" s="249"/>
    </row>
    <row r="9" spans="1:10" s="528" customFormat="1" ht="14.25" x14ac:dyDescent="0.2">
      <c r="A9" s="2"/>
      <c r="B9" s="2" t="s">
        <v>23</v>
      </c>
      <c r="C9" s="2"/>
      <c r="D9" s="178">
        <v>9</v>
      </c>
      <c r="E9" s="189">
        <v>9</v>
      </c>
      <c r="F9" s="249">
        <v>11</v>
      </c>
      <c r="G9" s="2"/>
      <c r="H9" s="178">
        <v>9</v>
      </c>
      <c r="I9" s="189">
        <v>9</v>
      </c>
      <c r="J9" s="249"/>
    </row>
    <row r="10" spans="1:10" s="528" customFormat="1" ht="18" customHeight="1" x14ac:dyDescent="0.2">
      <c r="A10" s="378" t="s">
        <v>229</v>
      </c>
      <c r="B10" s="2"/>
      <c r="C10" s="2"/>
      <c r="D10" s="246">
        <v>11263</v>
      </c>
      <c r="E10" s="248">
        <v>11637</v>
      </c>
      <c r="F10" s="248"/>
      <c r="G10" s="2"/>
      <c r="H10" s="246">
        <v>22900</v>
      </c>
      <c r="I10" s="248"/>
      <c r="J10" s="248"/>
    </row>
    <row r="11" spans="1:10" s="528" customFormat="1" ht="14.25" x14ac:dyDescent="0.2">
      <c r="A11" s="2"/>
      <c r="B11" s="2" t="s">
        <v>25</v>
      </c>
      <c r="C11" s="2"/>
      <c r="D11" s="178">
        <v>64</v>
      </c>
      <c r="E11" s="189">
        <v>64</v>
      </c>
      <c r="F11" s="189">
        <v>65</v>
      </c>
      <c r="G11" s="2"/>
      <c r="H11" s="178">
        <v>64</v>
      </c>
      <c r="I11" s="189">
        <v>65</v>
      </c>
      <c r="J11" s="189"/>
    </row>
    <row r="12" spans="1:10" s="528" customFormat="1" ht="14.25" x14ac:dyDescent="0.2">
      <c r="A12" s="2"/>
      <c r="B12" s="2" t="s">
        <v>26</v>
      </c>
      <c r="C12" s="2"/>
      <c r="D12" s="178">
        <v>15</v>
      </c>
      <c r="E12" s="189">
        <v>15</v>
      </c>
      <c r="F12" s="189">
        <v>15</v>
      </c>
      <c r="G12" s="2"/>
      <c r="H12" s="178">
        <v>15</v>
      </c>
      <c r="I12" s="189">
        <v>15</v>
      </c>
      <c r="J12" s="189"/>
    </row>
    <row r="13" spans="1:10" s="528" customFormat="1" ht="14.25" x14ac:dyDescent="0.2">
      <c r="A13" s="2"/>
      <c r="B13" s="2" t="s">
        <v>27</v>
      </c>
      <c r="C13" s="2"/>
      <c r="D13" s="178">
        <v>10</v>
      </c>
      <c r="E13" s="189">
        <v>9</v>
      </c>
      <c r="F13" s="189">
        <v>9</v>
      </c>
      <c r="G13" s="2"/>
      <c r="H13" s="178">
        <v>10</v>
      </c>
      <c r="I13" s="189">
        <v>9</v>
      </c>
      <c r="J13" s="189"/>
    </row>
    <row r="14" spans="1:10" s="528" customFormat="1" ht="14.25" x14ac:dyDescent="0.2">
      <c r="A14" s="2"/>
      <c r="B14" s="2" t="s">
        <v>28</v>
      </c>
      <c r="C14" s="2"/>
      <c r="D14" s="178">
        <v>7</v>
      </c>
      <c r="E14" s="189">
        <v>8</v>
      </c>
      <c r="F14" s="189">
        <v>7</v>
      </c>
      <c r="G14" s="2"/>
      <c r="H14" s="178">
        <v>7</v>
      </c>
      <c r="I14" s="189">
        <v>7</v>
      </c>
      <c r="J14" s="189"/>
    </row>
    <row r="15" spans="1:10" s="528" customFormat="1" ht="14.25" x14ac:dyDescent="0.2">
      <c r="A15" s="2"/>
      <c r="B15" s="2" t="s">
        <v>29</v>
      </c>
      <c r="C15" s="2"/>
      <c r="D15" s="178">
        <v>4</v>
      </c>
      <c r="E15" s="189">
        <v>4</v>
      </c>
      <c r="F15" s="189">
        <v>4</v>
      </c>
      <c r="G15" s="2"/>
      <c r="H15" s="178">
        <v>4</v>
      </c>
      <c r="I15" s="189">
        <v>4</v>
      </c>
      <c r="J15" s="189"/>
    </row>
    <row r="16" spans="1:10" s="528" customFormat="1" ht="14.25" x14ac:dyDescent="0.2">
      <c r="A16" s="2"/>
      <c r="B16" s="2"/>
      <c r="C16" s="2"/>
      <c r="D16" s="133"/>
      <c r="E16" s="529"/>
      <c r="F16" s="527"/>
      <c r="G16" s="2"/>
      <c r="H16" s="133"/>
      <c r="I16" s="529"/>
      <c r="J16" s="527"/>
    </row>
    <row r="17" spans="1:10" s="528" customFormat="1" ht="17.25" x14ac:dyDescent="0.25">
      <c r="A17" s="352" t="s">
        <v>342</v>
      </c>
      <c r="B17" s="2"/>
      <c r="C17" s="2"/>
      <c r="D17" s="133"/>
      <c r="E17" s="529"/>
      <c r="F17" s="527"/>
      <c r="G17" s="2"/>
      <c r="H17" s="133"/>
      <c r="I17" s="529"/>
      <c r="J17" s="527"/>
    </row>
    <row r="18" spans="1:10" s="528" customFormat="1" ht="14.25" hidden="1" customHeight="1" x14ac:dyDescent="0.2">
      <c r="A18" s="372" t="s">
        <v>123</v>
      </c>
      <c r="B18" s="2"/>
      <c r="C18" s="2"/>
      <c r="D18" s="247"/>
      <c r="E18" s="250"/>
      <c r="F18" s="250"/>
      <c r="G18" s="2"/>
      <c r="H18" s="247"/>
      <c r="I18" s="250"/>
      <c r="J18" s="250"/>
    </row>
    <row r="19" spans="1:10" s="528" customFormat="1" ht="14.25" hidden="1" customHeight="1" x14ac:dyDescent="0.2">
      <c r="A19" s="2"/>
      <c r="B19" s="2" t="s">
        <v>20</v>
      </c>
      <c r="C19" s="2"/>
      <c r="D19" s="178"/>
      <c r="E19" s="251"/>
      <c r="F19" s="251"/>
      <c r="G19" s="2"/>
      <c r="H19" s="178"/>
      <c r="I19" s="251"/>
      <c r="J19" s="251"/>
    </row>
    <row r="20" spans="1:10" s="528" customFormat="1" ht="14.25" hidden="1" customHeight="1" x14ac:dyDescent="0.2">
      <c r="A20" s="2"/>
      <c r="B20" s="2" t="s">
        <v>228</v>
      </c>
      <c r="C20" s="2"/>
      <c r="D20" s="178"/>
      <c r="E20" s="251"/>
      <c r="F20" s="251"/>
      <c r="G20" s="2"/>
      <c r="H20" s="178"/>
      <c r="I20" s="251"/>
      <c r="J20" s="251"/>
    </row>
    <row r="21" spans="1:10" s="528" customFormat="1" ht="14.25" hidden="1" customHeight="1" x14ac:dyDescent="0.2">
      <c r="A21" s="2"/>
      <c r="B21" s="2" t="s">
        <v>230</v>
      </c>
      <c r="C21" s="2"/>
      <c r="D21" s="178"/>
      <c r="E21" s="251"/>
      <c r="F21" s="251"/>
      <c r="G21" s="2"/>
      <c r="H21" s="178"/>
      <c r="I21" s="251"/>
      <c r="J21" s="251"/>
    </row>
    <row r="22" spans="1:10" s="528" customFormat="1" ht="14.25" hidden="1" customHeight="1" x14ac:dyDescent="0.2">
      <c r="A22" s="2"/>
      <c r="B22" s="2" t="s">
        <v>23</v>
      </c>
      <c r="C22" s="2"/>
      <c r="D22" s="178"/>
      <c r="E22" s="251"/>
      <c r="F22" s="251"/>
      <c r="G22" s="2"/>
      <c r="H22" s="178"/>
      <c r="I22" s="251"/>
      <c r="J22" s="251"/>
    </row>
    <row r="23" spans="1:10" s="528" customFormat="1" ht="14.25" x14ac:dyDescent="0.2">
      <c r="A23" s="378" t="s">
        <v>229</v>
      </c>
      <c r="B23" s="2"/>
      <c r="C23" s="2"/>
      <c r="D23" s="246">
        <v>5312</v>
      </c>
      <c r="E23" s="248">
        <v>5721</v>
      </c>
      <c r="F23" s="248"/>
      <c r="G23" s="2"/>
      <c r="H23" s="246">
        <v>11033</v>
      </c>
      <c r="I23" s="248"/>
      <c r="J23" s="248"/>
    </row>
    <row r="24" spans="1:10" s="528" customFormat="1" ht="14.25" x14ac:dyDescent="0.2">
      <c r="A24" s="2"/>
      <c r="B24" s="2" t="s">
        <v>25</v>
      </c>
      <c r="C24" s="2"/>
      <c r="D24" s="178">
        <v>71</v>
      </c>
      <c r="E24" s="189">
        <v>70</v>
      </c>
      <c r="F24" s="189">
        <v>75</v>
      </c>
      <c r="G24" s="2"/>
      <c r="H24" s="178">
        <v>71</v>
      </c>
      <c r="I24" s="189">
        <v>74</v>
      </c>
      <c r="J24" s="189"/>
    </row>
    <row r="25" spans="1:10" s="528" customFormat="1" ht="14.25" x14ac:dyDescent="0.2">
      <c r="A25" s="2"/>
      <c r="B25" s="2" t="s">
        <v>26</v>
      </c>
      <c r="C25" s="2"/>
      <c r="D25" s="178">
        <v>14</v>
      </c>
      <c r="E25" s="189">
        <v>15</v>
      </c>
      <c r="F25" s="189">
        <v>14</v>
      </c>
      <c r="G25" s="2"/>
      <c r="H25" s="178">
        <v>15</v>
      </c>
      <c r="I25" s="189">
        <v>14</v>
      </c>
      <c r="J25" s="189"/>
    </row>
    <row r="26" spans="1:10" s="528" customFormat="1" ht="14.25" x14ac:dyDescent="0.2">
      <c r="A26" s="2"/>
      <c r="B26" s="2" t="s">
        <v>27</v>
      </c>
      <c r="C26" s="2"/>
      <c r="D26" s="178">
        <v>7</v>
      </c>
      <c r="E26" s="189">
        <v>8</v>
      </c>
      <c r="F26" s="189">
        <v>4</v>
      </c>
      <c r="G26" s="2"/>
      <c r="H26" s="178">
        <v>7</v>
      </c>
      <c r="I26" s="189">
        <v>5</v>
      </c>
      <c r="J26" s="189"/>
    </row>
    <row r="27" spans="1:10" s="528" customFormat="1" ht="14.25" x14ac:dyDescent="0.2">
      <c r="A27" s="2"/>
      <c r="B27" s="2" t="s">
        <v>28</v>
      </c>
      <c r="C27" s="2"/>
      <c r="D27" s="178">
        <v>3</v>
      </c>
      <c r="E27" s="189">
        <v>5</v>
      </c>
      <c r="F27" s="189">
        <v>3</v>
      </c>
      <c r="G27" s="2"/>
      <c r="H27" s="178">
        <v>4</v>
      </c>
      <c r="I27" s="189">
        <v>3</v>
      </c>
      <c r="J27" s="189"/>
    </row>
    <row r="28" spans="1:10" s="528" customFormat="1" ht="14.25" x14ac:dyDescent="0.2">
      <c r="A28" s="2"/>
      <c r="B28" s="2" t="s">
        <v>29</v>
      </c>
      <c r="C28" s="2"/>
      <c r="D28" s="178">
        <v>5</v>
      </c>
      <c r="E28" s="189">
        <v>2</v>
      </c>
      <c r="F28" s="189">
        <v>4</v>
      </c>
      <c r="G28" s="2"/>
      <c r="H28" s="178">
        <v>3</v>
      </c>
      <c r="I28" s="189">
        <v>4</v>
      </c>
      <c r="J28" s="189"/>
    </row>
    <row r="29" spans="1:10" s="528" customFormat="1" ht="14.25" x14ac:dyDescent="0.2">
      <c r="A29" s="2"/>
      <c r="B29" s="2"/>
      <c r="C29" s="2"/>
      <c r="D29" s="178"/>
      <c r="E29" s="251"/>
      <c r="F29" s="251"/>
      <c r="G29" s="2"/>
      <c r="H29" s="178"/>
      <c r="I29" s="251"/>
      <c r="J29" s="251"/>
    </row>
    <row r="30" spans="1:10" s="528" customFormat="1" ht="15" x14ac:dyDescent="0.25">
      <c r="A30" s="352" t="s">
        <v>231</v>
      </c>
      <c r="B30" s="2"/>
      <c r="C30" s="2"/>
      <c r="D30" s="133"/>
      <c r="E30" s="529"/>
      <c r="F30" s="529"/>
      <c r="G30" s="2"/>
      <c r="H30" s="133"/>
      <c r="I30" s="529"/>
      <c r="J30" s="529"/>
    </row>
    <row r="31" spans="1:10" s="528" customFormat="1" ht="15.75" x14ac:dyDescent="0.2">
      <c r="A31" s="372" t="s">
        <v>232</v>
      </c>
      <c r="B31" s="2"/>
      <c r="C31" s="2"/>
      <c r="D31" s="246">
        <v>891174</v>
      </c>
      <c r="E31" s="248">
        <v>835499</v>
      </c>
      <c r="F31" s="248"/>
      <c r="G31" s="2"/>
      <c r="H31" s="246">
        <v>891174</v>
      </c>
      <c r="I31" s="248"/>
      <c r="J31" s="248"/>
    </row>
    <row r="32" spans="1:10" s="528" customFormat="1" ht="14.25" x14ac:dyDescent="0.2">
      <c r="A32" s="2"/>
      <c r="B32" s="2" t="s">
        <v>20</v>
      </c>
      <c r="C32" s="2"/>
      <c r="D32" s="178">
        <v>15</v>
      </c>
      <c r="E32" s="189">
        <v>16</v>
      </c>
      <c r="F32" s="189">
        <v>16</v>
      </c>
      <c r="G32" s="2"/>
      <c r="H32" s="178">
        <v>15</v>
      </c>
      <c r="I32" s="189">
        <v>16</v>
      </c>
      <c r="J32" s="189"/>
    </row>
    <row r="33" spans="1:10" s="528" customFormat="1" ht="14.25" x14ac:dyDescent="0.2">
      <c r="A33" s="2"/>
      <c r="B33" s="2" t="s">
        <v>228</v>
      </c>
      <c r="C33" s="2"/>
      <c r="D33" s="178">
        <v>39</v>
      </c>
      <c r="E33" s="189">
        <v>40</v>
      </c>
      <c r="F33" s="189">
        <v>41</v>
      </c>
      <c r="G33" s="2"/>
      <c r="H33" s="178">
        <v>39</v>
      </c>
      <c r="I33" s="189">
        <v>41</v>
      </c>
      <c r="J33" s="189"/>
    </row>
    <row r="34" spans="1:10" s="528" customFormat="1" ht="14.25" x14ac:dyDescent="0.2">
      <c r="A34" s="2"/>
      <c r="B34" s="2" t="s">
        <v>22</v>
      </c>
      <c r="C34" s="2"/>
      <c r="D34" s="178">
        <v>27</v>
      </c>
      <c r="E34" s="189">
        <v>28</v>
      </c>
      <c r="F34" s="189">
        <v>29</v>
      </c>
      <c r="G34" s="2"/>
      <c r="H34" s="178">
        <v>27</v>
      </c>
      <c r="I34" s="189">
        <v>29</v>
      </c>
      <c r="J34" s="189"/>
    </row>
    <row r="35" spans="1:10" s="528" customFormat="1" ht="14.25" x14ac:dyDescent="0.2">
      <c r="A35" s="2"/>
      <c r="B35" s="2" t="s">
        <v>23</v>
      </c>
      <c r="C35" s="2"/>
      <c r="D35" s="178">
        <v>19</v>
      </c>
      <c r="E35" s="189">
        <v>16</v>
      </c>
      <c r="F35" s="189">
        <v>14</v>
      </c>
      <c r="G35" s="2"/>
      <c r="H35" s="178">
        <v>19</v>
      </c>
      <c r="I35" s="189">
        <v>14</v>
      </c>
      <c r="J35" s="189"/>
    </row>
    <row r="36" spans="1:10" s="528" customFormat="1" ht="17.45" customHeight="1" x14ac:dyDescent="0.2">
      <c r="A36" s="378" t="s">
        <v>229</v>
      </c>
      <c r="B36" s="2"/>
      <c r="C36" s="2"/>
      <c r="D36" s="246">
        <v>891174</v>
      </c>
      <c r="E36" s="248">
        <v>835499</v>
      </c>
      <c r="F36" s="248"/>
      <c r="G36" s="2"/>
      <c r="H36" s="246">
        <v>891174</v>
      </c>
      <c r="I36" s="248"/>
      <c r="J36" s="248"/>
    </row>
    <row r="37" spans="1:10" s="528" customFormat="1" ht="14.25" x14ac:dyDescent="0.2">
      <c r="A37" s="2"/>
      <c r="B37" s="2" t="s">
        <v>25</v>
      </c>
      <c r="C37" s="2"/>
      <c r="D37" s="178">
        <v>67</v>
      </c>
      <c r="E37" s="189">
        <v>66</v>
      </c>
      <c r="F37" s="189">
        <v>66</v>
      </c>
      <c r="G37" s="2"/>
      <c r="H37" s="178">
        <v>67</v>
      </c>
      <c r="I37" s="189">
        <v>66</v>
      </c>
      <c r="J37" s="189"/>
    </row>
    <row r="38" spans="1:10" s="528" customFormat="1" ht="14.25" x14ac:dyDescent="0.2">
      <c r="A38" s="2"/>
      <c r="B38" s="2" t="s">
        <v>26</v>
      </c>
      <c r="C38" s="2"/>
      <c r="D38" s="178">
        <v>12</v>
      </c>
      <c r="E38" s="189">
        <v>12</v>
      </c>
      <c r="F38" s="189">
        <v>13</v>
      </c>
      <c r="G38" s="2"/>
      <c r="H38" s="178">
        <v>12</v>
      </c>
      <c r="I38" s="189">
        <v>13</v>
      </c>
      <c r="J38" s="189"/>
    </row>
    <row r="39" spans="1:10" s="528" customFormat="1" ht="14.25" x14ac:dyDescent="0.2">
      <c r="A39" s="2"/>
      <c r="B39" s="2" t="s">
        <v>27</v>
      </c>
      <c r="C39" s="2"/>
      <c r="D39" s="178">
        <v>9</v>
      </c>
      <c r="E39" s="189">
        <v>9</v>
      </c>
      <c r="F39" s="189">
        <v>9</v>
      </c>
      <c r="G39" s="2"/>
      <c r="H39" s="178">
        <v>9</v>
      </c>
      <c r="I39" s="189">
        <v>9</v>
      </c>
      <c r="J39" s="189"/>
    </row>
    <row r="40" spans="1:10" s="528" customFormat="1" ht="14.25" x14ac:dyDescent="0.2">
      <c r="A40" s="2"/>
      <c r="B40" s="2" t="s">
        <v>28</v>
      </c>
      <c r="C40" s="2"/>
      <c r="D40" s="178">
        <v>5</v>
      </c>
      <c r="E40" s="189">
        <v>5</v>
      </c>
      <c r="F40" s="189">
        <v>5</v>
      </c>
      <c r="G40" s="2"/>
      <c r="H40" s="178">
        <v>5</v>
      </c>
      <c r="I40" s="189">
        <v>5</v>
      </c>
      <c r="J40" s="189"/>
    </row>
    <row r="41" spans="1:10" s="528" customFormat="1" ht="14.25" x14ac:dyDescent="0.2">
      <c r="A41" s="2"/>
      <c r="B41" s="2" t="s">
        <v>29</v>
      </c>
      <c r="C41" s="2"/>
      <c r="D41" s="178">
        <v>7</v>
      </c>
      <c r="E41" s="189">
        <v>8</v>
      </c>
      <c r="F41" s="252">
        <v>7</v>
      </c>
      <c r="G41" s="2"/>
      <c r="H41" s="178">
        <v>7</v>
      </c>
      <c r="I41" s="189">
        <v>7</v>
      </c>
      <c r="J41" s="252"/>
    </row>
    <row r="42" spans="1:10" s="528" customFormat="1" ht="14.25" x14ac:dyDescent="0.2">
      <c r="A42" s="2"/>
      <c r="B42" s="2"/>
      <c r="C42" s="2"/>
      <c r="D42" s="439"/>
      <c r="E42" s="527"/>
      <c r="F42" s="527"/>
      <c r="G42" s="2"/>
      <c r="H42" s="439"/>
      <c r="I42" s="527"/>
      <c r="J42" s="2"/>
    </row>
    <row r="43" spans="1:10" x14ac:dyDescent="0.2">
      <c r="D43" s="530"/>
      <c r="E43" s="526"/>
      <c r="F43" s="526"/>
      <c r="H43" s="530"/>
      <c r="I43" s="526"/>
    </row>
    <row r="44" spans="1:10" x14ac:dyDescent="0.2">
      <c r="D44" s="526"/>
      <c r="E44" s="526"/>
      <c r="F44" s="526"/>
      <c r="H44" s="526"/>
      <c r="I44" s="526"/>
    </row>
    <row r="45" spans="1:10" s="532" customFormat="1" x14ac:dyDescent="0.2">
      <c r="A45" s="531" t="s">
        <v>89</v>
      </c>
      <c r="B45" s="532" t="s">
        <v>103</v>
      </c>
      <c r="D45" s="533"/>
      <c r="E45" s="533"/>
      <c r="F45" s="533"/>
      <c r="H45" s="533"/>
      <c r="I45" s="533"/>
    </row>
    <row r="46" spans="1:10" s="532" customFormat="1" x14ac:dyDescent="0.2">
      <c r="A46" s="534" t="s">
        <v>90</v>
      </c>
      <c r="B46" s="532" t="s">
        <v>233</v>
      </c>
      <c r="D46" s="533"/>
      <c r="E46" s="533"/>
      <c r="F46" s="533"/>
      <c r="H46" s="533"/>
      <c r="I46" s="533"/>
    </row>
    <row r="47" spans="1:10" x14ac:dyDescent="0.2">
      <c r="D47" s="535"/>
      <c r="E47" s="535"/>
      <c r="F47" s="535"/>
      <c r="H47" s="535"/>
      <c r="I47" s="535"/>
    </row>
    <row r="48" spans="1:10" x14ac:dyDescent="0.2">
      <c r="D48" s="535"/>
      <c r="E48" s="535"/>
      <c r="F48" s="535"/>
      <c r="H48" s="535"/>
      <c r="I48" s="535"/>
    </row>
    <row r="49" spans="2:9" x14ac:dyDescent="0.2">
      <c r="D49" s="535"/>
      <c r="E49" s="535"/>
      <c r="F49" s="535"/>
      <c r="H49" s="535"/>
      <c r="I49" s="535"/>
    </row>
    <row r="50" spans="2:9" x14ac:dyDescent="0.2">
      <c r="D50" s="535"/>
      <c r="E50" s="535"/>
      <c r="F50" s="535"/>
      <c r="H50" s="535"/>
      <c r="I50" s="535"/>
    </row>
    <row r="51" spans="2:9" x14ac:dyDescent="0.2">
      <c r="D51" s="535"/>
      <c r="E51" s="535"/>
      <c r="F51" s="535"/>
      <c r="H51" s="535"/>
      <c r="I51" s="535"/>
    </row>
    <row r="52" spans="2:9" x14ac:dyDescent="0.2">
      <c r="D52" s="535"/>
      <c r="E52" s="535"/>
      <c r="F52" s="535"/>
      <c r="H52" s="535"/>
      <c r="I52" s="535"/>
    </row>
    <row r="53" spans="2:9" x14ac:dyDescent="0.2">
      <c r="D53" s="535"/>
      <c r="E53" s="535"/>
      <c r="F53" s="535"/>
      <c r="H53" s="535"/>
      <c r="I53" s="535"/>
    </row>
    <row r="54" spans="2:9" x14ac:dyDescent="0.2">
      <c r="B54" s="11"/>
      <c r="D54" s="535"/>
      <c r="E54" s="535"/>
      <c r="F54" s="535"/>
      <c r="H54" s="535"/>
      <c r="I54" s="535"/>
    </row>
    <row r="55" spans="2:9" x14ac:dyDescent="0.2">
      <c r="D55" s="535"/>
      <c r="E55" s="535"/>
      <c r="F55" s="535"/>
      <c r="H55" s="535"/>
      <c r="I55" s="535"/>
    </row>
    <row r="56" spans="2:9" x14ac:dyDescent="0.2">
      <c r="D56" s="535"/>
      <c r="E56" s="535"/>
      <c r="F56" s="535"/>
      <c r="H56" s="535"/>
      <c r="I56" s="535"/>
    </row>
    <row r="57" spans="2:9" x14ac:dyDescent="0.2">
      <c r="D57" s="535"/>
      <c r="E57" s="535"/>
      <c r="F57" s="535"/>
      <c r="H57" s="535"/>
      <c r="I57" s="535"/>
    </row>
    <row r="58" spans="2:9" x14ac:dyDescent="0.2">
      <c r="D58" s="535"/>
      <c r="E58" s="535"/>
      <c r="F58" s="535"/>
      <c r="H58" s="535"/>
      <c r="I58" s="535"/>
    </row>
    <row r="59" spans="2:9" x14ac:dyDescent="0.2">
      <c r="D59" s="535"/>
      <c r="E59" s="535"/>
      <c r="F59" s="535"/>
      <c r="H59" s="535"/>
      <c r="I59" s="535"/>
    </row>
    <row r="60" spans="2:9" x14ac:dyDescent="0.2">
      <c r="D60" s="535"/>
      <c r="E60" s="535"/>
      <c r="F60" s="535"/>
      <c r="H60" s="535"/>
      <c r="I60" s="535"/>
    </row>
    <row r="61" spans="2:9" x14ac:dyDescent="0.2">
      <c r="D61" s="535"/>
      <c r="E61" s="535"/>
      <c r="F61" s="535"/>
      <c r="H61" s="535"/>
      <c r="I61" s="535"/>
    </row>
    <row r="62" spans="2:9" x14ac:dyDescent="0.2">
      <c r="D62" s="535"/>
      <c r="E62" s="535"/>
      <c r="F62" s="535"/>
      <c r="H62" s="535"/>
      <c r="I62" s="535"/>
    </row>
    <row r="63" spans="2:9" x14ac:dyDescent="0.2">
      <c r="D63" s="535"/>
      <c r="E63" s="535"/>
      <c r="F63" s="535"/>
      <c r="H63" s="535"/>
      <c r="I63" s="535"/>
    </row>
    <row r="64" spans="2:9" x14ac:dyDescent="0.2">
      <c r="D64" s="535"/>
      <c r="E64" s="535"/>
      <c r="F64" s="535"/>
      <c r="H64" s="535"/>
      <c r="I64" s="535"/>
    </row>
    <row r="65" spans="4:9" x14ac:dyDescent="0.2">
      <c r="D65" s="535"/>
      <c r="E65" s="535"/>
      <c r="F65" s="535"/>
      <c r="H65" s="535"/>
      <c r="I65" s="535"/>
    </row>
    <row r="66" spans="4:9" x14ac:dyDescent="0.2">
      <c r="D66" s="535"/>
      <c r="E66" s="535"/>
      <c r="F66" s="535"/>
      <c r="H66" s="535"/>
      <c r="I66" s="535"/>
    </row>
    <row r="67" spans="4:9" x14ac:dyDescent="0.2">
      <c r="D67" s="535"/>
      <c r="E67" s="535"/>
      <c r="F67" s="535"/>
      <c r="H67" s="535"/>
      <c r="I67" s="535"/>
    </row>
    <row r="68" spans="4:9" x14ac:dyDescent="0.2">
      <c r="D68" s="535"/>
      <c r="E68" s="535"/>
      <c r="F68" s="535"/>
      <c r="H68" s="535"/>
      <c r="I68" s="535"/>
    </row>
    <row r="69" spans="4:9" x14ac:dyDescent="0.2">
      <c r="D69" s="535"/>
      <c r="E69" s="535"/>
      <c r="F69" s="535"/>
      <c r="H69" s="535"/>
      <c r="I69" s="535"/>
    </row>
    <row r="70" spans="4:9" x14ac:dyDescent="0.2">
      <c r="D70" s="535"/>
      <c r="E70" s="535"/>
      <c r="F70" s="535"/>
      <c r="H70" s="535"/>
      <c r="I70" s="535"/>
    </row>
    <row r="71" spans="4:9" x14ac:dyDescent="0.2">
      <c r="D71" s="535"/>
      <c r="E71" s="535"/>
      <c r="F71" s="535"/>
      <c r="H71" s="535"/>
      <c r="I71" s="535"/>
    </row>
    <row r="72" spans="4:9" x14ac:dyDescent="0.2">
      <c r="D72" s="535"/>
      <c r="E72" s="535"/>
      <c r="F72" s="535"/>
      <c r="H72" s="535"/>
      <c r="I72" s="535"/>
    </row>
    <row r="73" spans="4:9" x14ac:dyDescent="0.2">
      <c r="D73" s="535"/>
      <c r="E73" s="535"/>
      <c r="F73" s="535"/>
      <c r="H73" s="535"/>
      <c r="I73" s="535"/>
    </row>
    <row r="74" spans="4:9" x14ac:dyDescent="0.2">
      <c r="D74" s="535"/>
      <c r="E74" s="535"/>
      <c r="F74" s="535"/>
      <c r="H74" s="535"/>
      <c r="I74" s="535"/>
    </row>
    <row r="75" spans="4:9" x14ac:dyDescent="0.2">
      <c r="D75" s="535"/>
      <c r="E75" s="535"/>
      <c r="F75" s="535"/>
      <c r="H75" s="535"/>
      <c r="I75" s="535"/>
    </row>
    <row r="76" spans="4:9" x14ac:dyDescent="0.2">
      <c r="D76" s="535"/>
      <c r="E76" s="535"/>
      <c r="F76" s="535"/>
      <c r="H76" s="535"/>
      <c r="I76" s="535"/>
    </row>
    <row r="77" spans="4:9" x14ac:dyDescent="0.2">
      <c r="D77" s="535"/>
      <c r="E77" s="535"/>
      <c r="F77" s="535"/>
      <c r="H77" s="535"/>
      <c r="I77" s="535"/>
    </row>
    <row r="78" spans="4:9" x14ac:dyDescent="0.2">
      <c r="D78" s="536"/>
      <c r="E78" s="536"/>
      <c r="F78" s="536"/>
      <c r="H78" s="536"/>
      <c r="I78" s="536"/>
    </row>
    <row r="79" spans="4:9" x14ac:dyDescent="0.2">
      <c r="D79" s="536"/>
      <c r="E79" s="536"/>
      <c r="F79" s="536"/>
      <c r="H79" s="536"/>
      <c r="I79" s="536"/>
    </row>
    <row r="80" spans="4:9" x14ac:dyDescent="0.2">
      <c r="D80" s="536"/>
      <c r="E80" s="536"/>
      <c r="F80" s="536"/>
      <c r="H80" s="536"/>
      <c r="I80" s="536"/>
    </row>
    <row r="81" spans="4:9" x14ac:dyDescent="0.2">
      <c r="D81" s="536"/>
      <c r="E81" s="536"/>
      <c r="F81" s="536"/>
      <c r="H81" s="536"/>
      <c r="I81" s="536"/>
    </row>
    <row r="82" spans="4:9" x14ac:dyDescent="0.2">
      <c r="D82" s="536"/>
      <c r="E82" s="536"/>
      <c r="F82" s="536"/>
      <c r="H82" s="536"/>
      <c r="I82" s="536"/>
    </row>
    <row r="83" spans="4:9" x14ac:dyDescent="0.2">
      <c r="D83" s="536"/>
      <c r="E83" s="536"/>
      <c r="F83" s="536"/>
      <c r="H83" s="536"/>
      <c r="I83" s="536"/>
    </row>
    <row r="84" spans="4:9" x14ac:dyDescent="0.2">
      <c r="D84" s="536"/>
      <c r="E84" s="536"/>
      <c r="F84" s="536"/>
      <c r="H84" s="536"/>
      <c r="I84" s="536"/>
    </row>
    <row r="85" spans="4:9" x14ac:dyDescent="0.2">
      <c r="D85" s="536"/>
      <c r="E85" s="536"/>
      <c r="F85" s="536"/>
      <c r="H85" s="536"/>
      <c r="I85" s="536"/>
    </row>
    <row r="86" spans="4:9" x14ac:dyDescent="0.2">
      <c r="D86" s="536"/>
      <c r="E86" s="536"/>
      <c r="F86" s="536"/>
      <c r="H86" s="536"/>
      <c r="I86" s="536"/>
    </row>
    <row r="87" spans="4:9" x14ac:dyDescent="0.2">
      <c r="D87" s="536"/>
      <c r="E87" s="536"/>
      <c r="F87" s="536"/>
      <c r="H87" s="536"/>
      <c r="I87" s="536"/>
    </row>
    <row r="88" spans="4:9" x14ac:dyDescent="0.2">
      <c r="D88" s="536"/>
      <c r="E88" s="536"/>
      <c r="F88" s="536"/>
      <c r="H88" s="536"/>
      <c r="I88" s="536"/>
    </row>
    <row r="89" spans="4:9" x14ac:dyDescent="0.2">
      <c r="D89" s="536"/>
      <c r="E89" s="536"/>
      <c r="F89" s="536"/>
      <c r="H89" s="536"/>
      <c r="I89" s="536"/>
    </row>
    <row r="90" spans="4:9" x14ac:dyDescent="0.2">
      <c r="D90" s="536"/>
      <c r="E90" s="536"/>
      <c r="F90" s="536"/>
      <c r="H90" s="536"/>
      <c r="I90" s="536"/>
    </row>
    <row r="91" spans="4:9" x14ac:dyDescent="0.2">
      <c r="D91" s="536"/>
      <c r="E91" s="536"/>
      <c r="F91" s="536"/>
      <c r="H91" s="536"/>
      <c r="I91" s="536"/>
    </row>
    <row r="92" spans="4:9" x14ac:dyDescent="0.2">
      <c r="D92" s="536"/>
      <c r="E92" s="536"/>
      <c r="F92" s="536"/>
      <c r="H92" s="536"/>
      <c r="I92" s="536"/>
    </row>
    <row r="93" spans="4:9" x14ac:dyDescent="0.2">
      <c r="D93" s="536"/>
      <c r="E93" s="536"/>
      <c r="F93" s="536"/>
      <c r="H93" s="536"/>
      <c r="I93" s="536"/>
    </row>
    <row r="94" spans="4:9" x14ac:dyDescent="0.2">
      <c r="D94" s="536"/>
      <c r="E94" s="536"/>
      <c r="F94" s="536"/>
      <c r="H94" s="536"/>
      <c r="I94" s="536"/>
    </row>
    <row r="95" spans="4:9" x14ac:dyDescent="0.2">
      <c r="D95" s="536"/>
      <c r="E95" s="536"/>
      <c r="F95" s="536"/>
      <c r="H95" s="536"/>
      <c r="I95" s="536"/>
    </row>
    <row r="96" spans="4:9" x14ac:dyDescent="0.2">
      <c r="D96" s="536"/>
      <c r="E96" s="536"/>
      <c r="F96" s="536"/>
      <c r="H96" s="536"/>
      <c r="I96" s="536"/>
    </row>
    <row r="97" spans="4:9" x14ac:dyDescent="0.2">
      <c r="D97" s="536"/>
      <c r="E97" s="536"/>
      <c r="F97" s="536"/>
      <c r="H97" s="536"/>
      <c r="I97" s="536"/>
    </row>
    <row r="98" spans="4:9" x14ac:dyDescent="0.2">
      <c r="D98" s="536"/>
      <c r="E98" s="536"/>
      <c r="F98" s="536"/>
      <c r="H98" s="536"/>
      <c r="I98" s="536"/>
    </row>
    <row r="99" spans="4:9" x14ac:dyDescent="0.2">
      <c r="D99" s="536"/>
      <c r="E99" s="536"/>
      <c r="F99" s="536"/>
      <c r="H99" s="536"/>
      <c r="I99" s="536"/>
    </row>
    <row r="100" spans="4:9" x14ac:dyDescent="0.2">
      <c r="D100" s="536"/>
      <c r="E100" s="536"/>
      <c r="F100" s="536"/>
      <c r="H100" s="536"/>
      <c r="I100" s="536"/>
    </row>
    <row r="101" spans="4:9" x14ac:dyDescent="0.2">
      <c r="D101" s="536"/>
      <c r="E101" s="536"/>
      <c r="F101" s="536"/>
      <c r="H101" s="536"/>
      <c r="I101" s="536"/>
    </row>
    <row r="102" spans="4:9" x14ac:dyDescent="0.2">
      <c r="D102" s="536"/>
      <c r="E102" s="536"/>
      <c r="F102" s="536"/>
      <c r="H102" s="536"/>
      <c r="I102" s="536"/>
    </row>
    <row r="103" spans="4:9" x14ac:dyDescent="0.2">
      <c r="D103" s="536"/>
      <c r="E103" s="536"/>
      <c r="F103" s="536"/>
      <c r="H103" s="536"/>
      <c r="I103" s="536"/>
    </row>
    <row r="104" spans="4:9" x14ac:dyDescent="0.2">
      <c r="D104" s="536"/>
      <c r="E104" s="536"/>
      <c r="F104" s="536"/>
      <c r="H104" s="536"/>
      <c r="I104" s="536"/>
    </row>
    <row r="105" spans="4:9" x14ac:dyDescent="0.2">
      <c r="D105" s="536"/>
      <c r="E105" s="536"/>
      <c r="F105" s="536"/>
      <c r="H105" s="536"/>
      <c r="I105" s="536"/>
    </row>
    <row r="106" spans="4:9" x14ac:dyDescent="0.2">
      <c r="D106" s="536"/>
      <c r="E106" s="536"/>
      <c r="F106" s="536"/>
      <c r="H106" s="536"/>
      <c r="I106" s="536"/>
    </row>
    <row r="107" spans="4:9" x14ac:dyDescent="0.2">
      <c r="D107" s="536"/>
      <c r="E107" s="536"/>
      <c r="F107" s="536"/>
      <c r="H107" s="536"/>
      <c r="I107" s="536"/>
    </row>
    <row r="108" spans="4:9" x14ac:dyDescent="0.2">
      <c r="D108" s="536"/>
      <c r="E108" s="536"/>
      <c r="F108" s="536"/>
      <c r="H108" s="536"/>
      <c r="I108" s="536"/>
    </row>
    <row r="109" spans="4:9" x14ac:dyDescent="0.2">
      <c r="D109" s="536"/>
      <c r="E109" s="536"/>
      <c r="F109" s="536"/>
      <c r="H109" s="536"/>
      <c r="I109" s="536"/>
    </row>
    <row r="110" spans="4:9" x14ac:dyDescent="0.2">
      <c r="D110" s="536"/>
      <c r="E110" s="536"/>
      <c r="F110" s="536"/>
      <c r="H110" s="536"/>
      <c r="I110" s="536"/>
    </row>
    <row r="111" spans="4:9" x14ac:dyDescent="0.2">
      <c r="D111" s="536"/>
      <c r="E111" s="536"/>
      <c r="F111" s="536"/>
      <c r="H111" s="536"/>
      <c r="I111" s="536"/>
    </row>
    <row r="112" spans="4:9" x14ac:dyDescent="0.2">
      <c r="D112" s="536"/>
      <c r="E112" s="536"/>
      <c r="F112" s="536"/>
      <c r="H112" s="536"/>
      <c r="I112" s="536"/>
    </row>
    <row r="113" spans="4:9" x14ac:dyDescent="0.2">
      <c r="D113" s="536"/>
      <c r="E113" s="536"/>
      <c r="F113" s="536"/>
      <c r="H113" s="536"/>
      <c r="I113" s="536"/>
    </row>
    <row r="114" spans="4:9" x14ac:dyDescent="0.2">
      <c r="D114" s="536"/>
      <c r="E114" s="536"/>
      <c r="F114" s="536"/>
      <c r="H114" s="536"/>
      <c r="I114" s="536"/>
    </row>
    <row r="115" spans="4:9" x14ac:dyDescent="0.2">
      <c r="D115" s="536"/>
      <c r="E115" s="536"/>
      <c r="F115" s="536"/>
      <c r="H115" s="536"/>
      <c r="I115" s="536"/>
    </row>
    <row r="116" spans="4:9" x14ac:dyDescent="0.2">
      <c r="D116" s="536"/>
      <c r="E116" s="536"/>
      <c r="F116" s="536"/>
      <c r="H116" s="536"/>
      <c r="I116" s="536"/>
    </row>
    <row r="117" spans="4:9" x14ac:dyDescent="0.2">
      <c r="D117" s="536"/>
      <c r="E117" s="536"/>
      <c r="F117" s="536"/>
      <c r="H117" s="536"/>
      <c r="I117" s="536"/>
    </row>
    <row r="118" spans="4:9" x14ac:dyDescent="0.2">
      <c r="D118" s="536"/>
      <c r="E118" s="536"/>
      <c r="F118" s="536"/>
      <c r="H118" s="536"/>
      <c r="I118" s="536"/>
    </row>
    <row r="119" spans="4:9" x14ac:dyDescent="0.2">
      <c r="D119" s="536"/>
      <c r="E119" s="536"/>
      <c r="F119" s="536"/>
      <c r="H119" s="536"/>
      <c r="I119" s="536"/>
    </row>
    <row r="120" spans="4:9" x14ac:dyDescent="0.2">
      <c r="D120" s="536"/>
      <c r="E120" s="536"/>
      <c r="F120" s="536"/>
      <c r="H120" s="536"/>
      <c r="I120" s="536"/>
    </row>
    <row r="121" spans="4:9" x14ac:dyDescent="0.2">
      <c r="D121" s="536"/>
      <c r="E121" s="536"/>
      <c r="F121" s="536"/>
      <c r="H121" s="536"/>
      <c r="I121" s="536"/>
    </row>
    <row r="122" spans="4:9" x14ac:dyDescent="0.2">
      <c r="D122" s="536"/>
      <c r="E122" s="536"/>
      <c r="F122" s="536"/>
      <c r="H122" s="536"/>
      <c r="I122" s="536"/>
    </row>
    <row r="123" spans="4:9" x14ac:dyDescent="0.2">
      <c r="D123" s="536"/>
      <c r="E123" s="536"/>
      <c r="F123" s="536"/>
      <c r="H123" s="536"/>
      <c r="I123" s="536"/>
    </row>
    <row r="124" spans="4:9" x14ac:dyDescent="0.2">
      <c r="D124" s="536"/>
      <c r="E124" s="536"/>
      <c r="F124" s="536"/>
      <c r="H124" s="536"/>
      <c r="I124" s="536"/>
    </row>
    <row r="125" spans="4:9" x14ac:dyDescent="0.2">
      <c r="D125" s="536"/>
      <c r="E125" s="536"/>
      <c r="F125" s="536"/>
      <c r="H125" s="536"/>
      <c r="I125" s="536"/>
    </row>
    <row r="126" spans="4:9" x14ac:dyDescent="0.2">
      <c r="D126" s="536"/>
      <c r="E126" s="536"/>
      <c r="F126" s="536"/>
      <c r="H126" s="536"/>
      <c r="I126" s="536"/>
    </row>
    <row r="127" spans="4:9" x14ac:dyDescent="0.2">
      <c r="D127" s="536"/>
      <c r="E127" s="536"/>
      <c r="F127" s="536"/>
      <c r="H127" s="536"/>
      <c r="I127" s="536"/>
    </row>
    <row r="128" spans="4:9" x14ac:dyDescent="0.2">
      <c r="D128" s="536"/>
      <c r="E128" s="536"/>
      <c r="F128" s="536"/>
      <c r="H128" s="536"/>
      <c r="I128" s="536"/>
    </row>
    <row r="129" spans="4:9" x14ac:dyDescent="0.2">
      <c r="D129" s="536"/>
      <c r="E129" s="536"/>
      <c r="F129" s="536"/>
      <c r="H129" s="536"/>
      <c r="I129" s="536"/>
    </row>
    <row r="130" spans="4:9" x14ac:dyDescent="0.2">
      <c r="D130" s="536"/>
      <c r="E130" s="536"/>
      <c r="F130" s="536"/>
      <c r="H130" s="536"/>
      <c r="I130" s="536"/>
    </row>
    <row r="131" spans="4:9" x14ac:dyDescent="0.2">
      <c r="D131" s="536"/>
      <c r="E131" s="536"/>
      <c r="F131" s="536"/>
      <c r="H131" s="536"/>
      <c r="I131" s="536"/>
    </row>
    <row r="132" spans="4:9" x14ac:dyDescent="0.2">
      <c r="D132" s="536"/>
      <c r="E132" s="536"/>
      <c r="F132" s="536"/>
      <c r="H132" s="536"/>
      <c r="I132" s="536"/>
    </row>
    <row r="133" spans="4:9" x14ac:dyDescent="0.2">
      <c r="D133" s="536"/>
      <c r="E133" s="536"/>
      <c r="F133" s="536"/>
      <c r="H133" s="536"/>
      <c r="I133" s="536"/>
    </row>
    <row r="134" spans="4:9" x14ac:dyDescent="0.2">
      <c r="D134" s="536"/>
      <c r="E134" s="536"/>
      <c r="F134" s="536"/>
      <c r="H134" s="536"/>
      <c r="I134" s="536"/>
    </row>
    <row r="135" spans="4:9" x14ac:dyDescent="0.2">
      <c r="D135" s="536"/>
      <c r="E135" s="536"/>
      <c r="F135" s="536"/>
      <c r="H135" s="536"/>
      <c r="I135" s="536"/>
    </row>
    <row r="136" spans="4:9" x14ac:dyDescent="0.2">
      <c r="D136" s="536"/>
      <c r="E136" s="536"/>
      <c r="F136" s="536"/>
      <c r="H136" s="536"/>
      <c r="I136" s="536"/>
    </row>
    <row r="137" spans="4:9" x14ac:dyDescent="0.2">
      <c r="D137" s="536"/>
      <c r="E137" s="536"/>
      <c r="F137" s="536"/>
      <c r="H137" s="536"/>
      <c r="I137" s="536"/>
    </row>
    <row r="138" spans="4:9" x14ac:dyDescent="0.2">
      <c r="D138" s="536"/>
      <c r="E138" s="536"/>
      <c r="F138" s="536"/>
      <c r="H138" s="536"/>
      <c r="I138" s="536"/>
    </row>
    <row r="139" spans="4:9" x14ac:dyDescent="0.2">
      <c r="D139" s="536"/>
      <c r="E139" s="536"/>
      <c r="F139" s="536"/>
      <c r="H139" s="536"/>
      <c r="I139" s="536"/>
    </row>
    <row r="140" spans="4:9" x14ac:dyDescent="0.2">
      <c r="D140" s="536"/>
      <c r="E140" s="536"/>
      <c r="F140" s="536"/>
      <c r="H140" s="536"/>
      <c r="I140" s="536"/>
    </row>
  </sheetData>
  <mergeCells count="1">
    <mergeCell ref="A2:C2"/>
  </mergeCells>
  <phoneticPr fontId="2" type="noConversion"/>
  <hyperlinks>
    <hyperlink ref="A2" location="Index!A1" display="Back to Index" xr:uid="{2DCB46AA-31EB-4EBF-9ACC-B49B975C60F9}"/>
  </hyperlinks>
  <pageMargins left="0.75" right="0.75" top="0.77" bottom="0.77" header="0.5" footer="0.5"/>
  <pageSetup scale="86"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E3D5-9BFF-42ED-852B-E7BC91DE32C9}">
  <sheetPr>
    <tabColor indexed="12"/>
    <pageSetUpPr fitToPage="1"/>
  </sheetPr>
  <dimension ref="A1:L150"/>
  <sheetViews>
    <sheetView showGridLines="0" zoomScale="90" zoomScaleNormal="90" workbookViewId="0">
      <pane xSplit="3" ySplit="3" topLeftCell="D4" activePane="bottomRight" state="frozen"/>
      <selection pane="topRight" activeCell="L13" sqref="L13"/>
      <selection pane="bottomLeft" activeCell="L13" sqref="L13"/>
      <selection pane="bottomRight"/>
    </sheetView>
  </sheetViews>
  <sheetFormatPr defaultColWidth="9.42578125" defaultRowHeight="14.25" x14ac:dyDescent="0.2"/>
  <cols>
    <col min="1" max="1" width="4" style="323" customWidth="1"/>
    <col min="2" max="2" width="4.42578125" style="323" customWidth="1"/>
    <col min="3" max="3" width="46" style="357" customWidth="1"/>
    <col min="4" max="5" width="11.42578125" style="8" customWidth="1"/>
    <col min="6" max="8" width="11.42578125" style="323" customWidth="1"/>
    <col min="9" max="9" width="2.5703125" style="323" customWidth="1"/>
    <col min="10" max="12" width="11.42578125" style="323" customWidth="1"/>
    <col min="13" max="16384" width="9.42578125" style="323"/>
  </cols>
  <sheetData>
    <row r="1" spans="1:12" s="4" customFormat="1" ht="20.25" x14ac:dyDescent="0.3">
      <c r="A1" s="3" t="s">
        <v>20</v>
      </c>
      <c r="D1" s="366"/>
      <c r="E1" s="366"/>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6.75" customHeight="1" x14ac:dyDescent="0.25">
      <c r="A3" s="352"/>
      <c r="D3" s="237"/>
      <c r="E3" s="511"/>
      <c r="J3" s="237"/>
      <c r="K3" s="511"/>
    </row>
    <row r="4" spans="1:12" s="376" customFormat="1" ht="14.25" customHeight="1" x14ac:dyDescent="0.25">
      <c r="A4" s="352" t="s">
        <v>79</v>
      </c>
      <c r="D4" s="253"/>
      <c r="E4" s="332"/>
      <c r="J4" s="168"/>
      <c r="K4" s="24"/>
    </row>
    <row r="5" spans="1:12" ht="14.1" customHeight="1" x14ac:dyDescent="0.2">
      <c r="B5" s="538" t="s">
        <v>37</v>
      </c>
      <c r="C5" s="323"/>
      <c r="D5" s="133">
        <v>3007</v>
      </c>
      <c r="E5" s="204">
        <v>3099</v>
      </c>
      <c r="F5" s="204">
        <v>3237</v>
      </c>
      <c r="G5" s="333">
        <v>-7.1053444547420463</v>
      </c>
      <c r="H5" s="333">
        <v>-2.9686995805098371</v>
      </c>
      <c r="I5" s="408"/>
      <c r="J5" s="199">
        <v>6106</v>
      </c>
      <c r="K5" s="539">
        <v>6469</v>
      </c>
      <c r="L5" s="333">
        <v>-5.6113773380738863</v>
      </c>
    </row>
    <row r="6" spans="1:12" x14ac:dyDescent="0.2">
      <c r="B6" s="538" t="s">
        <v>38</v>
      </c>
      <c r="C6" s="408"/>
      <c r="D6" s="133">
        <v>1644</v>
      </c>
      <c r="E6" s="204">
        <v>1602</v>
      </c>
      <c r="F6" s="204">
        <v>1364</v>
      </c>
      <c r="G6" s="333">
        <v>20.52785923753666</v>
      </c>
      <c r="H6" s="333">
        <v>2.621722846441954</v>
      </c>
      <c r="I6" s="408"/>
      <c r="J6" s="199">
        <v>3246</v>
      </c>
      <c r="K6" s="539">
        <v>2677</v>
      </c>
      <c r="L6" s="333">
        <v>21.255136346656698</v>
      </c>
    </row>
    <row r="7" spans="1:12" x14ac:dyDescent="0.2">
      <c r="B7" s="538" t="s">
        <v>85</v>
      </c>
      <c r="C7" s="408"/>
      <c r="D7" s="133">
        <v>606</v>
      </c>
      <c r="E7" s="204">
        <v>583</v>
      </c>
      <c r="F7" s="204">
        <v>495</v>
      </c>
      <c r="G7" s="333">
        <v>22.424242424242415</v>
      </c>
      <c r="H7" s="333">
        <v>3.9451114922812947</v>
      </c>
      <c r="I7" s="408"/>
      <c r="J7" s="199">
        <v>1189</v>
      </c>
      <c r="K7" s="539">
        <v>1009</v>
      </c>
      <c r="L7" s="333">
        <v>17.839444995044595</v>
      </c>
    </row>
    <row r="8" spans="1:12" s="331" customFormat="1" ht="15" x14ac:dyDescent="0.25">
      <c r="B8" s="540" t="s">
        <v>40</v>
      </c>
      <c r="D8" s="107">
        <v>5257</v>
      </c>
      <c r="E8" s="254">
        <v>5284</v>
      </c>
      <c r="F8" s="254">
        <v>5096</v>
      </c>
      <c r="G8" s="333">
        <v>3.1593406593406703</v>
      </c>
      <c r="H8" s="333">
        <v>-0.51097653292959677</v>
      </c>
      <c r="I8" s="402"/>
      <c r="J8" s="198">
        <v>10541</v>
      </c>
      <c r="K8" s="541">
        <v>10155</v>
      </c>
      <c r="L8" s="333">
        <v>3.8010832102412628</v>
      </c>
    </row>
    <row r="9" spans="1:12" x14ac:dyDescent="0.2">
      <c r="B9" s="513" t="s">
        <v>7</v>
      </c>
      <c r="C9" s="323"/>
      <c r="D9" s="133">
        <v>2842</v>
      </c>
      <c r="E9" s="204">
        <v>2658</v>
      </c>
      <c r="F9" s="204">
        <v>2782</v>
      </c>
      <c r="G9" s="333">
        <v>2.1567217828900143</v>
      </c>
      <c r="H9" s="333">
        <v>6.9224981188863888</v>
      </c>
      <c r="I9" s="408"/>
      <c r="J9" s="199">
        <v>5500</v>
      </c>
      <c r="K9" s="539">
        <v>5273</v>
      </c>
      <c r="L9" s="333">
        <v>4.3049497439787698</v>
      </c>
    </row>
    <row r="10" spans="1:12" x14ac:dyDescent="0.2">
      <c r="B10" s="513" t="s">
        <v>42</v>
      </c>
      <c r="C10" s="323"/>
      <c r="D10" s="133">
        <v>0</v>
      </c>
      <c r="E10" s="204">
        <v>0</v>
      </c>
      <c r="F10" s="204">
        <v>0</v>
      </c>
      <c r="G10" s="333">
        <v>0</v>
      </c>
      <c r="H10" s="333">
        <v>0</v>
      </c>
      <c r="I10" s="408"/>
      <c r="J10" s="206">
        <v>0</v>
      </c>
      <c r="K10" s="256">
        <v>0</v>
      </c>
      <c r="L10" s="333">
        <v>0</v>
      </c>
    </row>
    <row r="11" spans="1:12" x14ac:dyDescent="0.2">
      <c r="B11" s="513" t="s">
        <v>8</v>
      </c>
      <c r="C11" s="323"/>
      <c r="D11" s="133">
        <v>270</v>
      </c>
      <c r="E11" s="204">
        <v>229</v>
      </c>
      <c r="F11" s="204">
        <v>223</v>
      </c>
      <c r="G11" s="333">
        <v>21.076233183856495</v>
      </c>
      <c r="H11" s="333">
        <v>17.903930131004376</v>
      </c>
      <c r="I11" s="408"/>
      <c r="J11" s="199">
        <v>499</v>
      </c>
      <c r="K11" s="539">
        <v>445</v>
      </c>
      <c r="L11" s="333">
        <v>12.134831460674157</v>
      </c>
    </row>
    <row r="12" spans="1:12" x14ac:dyDescent="0.2">
      <c r="B12" s="513" t="s">
        <v>43</v>
      </c>
      <c r="C12" s="323"/>
      <c r="D12" s="133">
        <v>0</v>
      </c>
      <c r="E12" s="204">
        <v>0</v>
      </c>
      <c r="F12" s="204">
        <v>0</v>
      </c>
      <c r="G12" s="333">
        <v>0</v>
      </c>
      <c r="H12" s="333">
        <v>0</v>
      </c>
      <c r="I12" s="408"/>
      <c r="J12" s="206">
        <v>0</v>
      </c>
      <c r="K12" s="256">
        <v>0</v>
      </c>
      <c r="L12" s="333">
        <v>0</v>
      </c>
    </row>
    <row r="13" spans="1:12" s="331" customFormat="1" ht="15" x14ac:dyDescent="0.25">
      <c r="B13" s="376" t="s">
        <v>44</v>
      </c>
      <c r="D13" s="107">
        <v>2145</v>
      </c>
      <c r="E13" s="254">
        <v>2397</v>
      </c>
      <c r="F13" s="254">
        <v>2091</v>
      </c>
      <c r="G13" s="333">
        <v>2.582496413199431</v>
      </c>
      <c r="H13" s="333">
        <v>-10.513141426783479</v>
      </c>
      <c r="I13" s="402"/>
      <c r="J13" s="198">
        <v>4542</v>
      </c>
      <c r="K13" s="541">
        <v>4437</v>
      </c>
      <c r="L13" s="333">
        <v>2.3664638269100813</v>
      </c>
    </row>
    <row r="14" spans="1:12" x14ac:dyDescent="0.2">
      <c r="D14" s="133"/>
      <c r="E14" s="333"/>
      <c r="F14" s="218"/>
      <c r="G14" s="542"/>
      <c r="H14" s="542"/>
      <c r="I14" s="408"/>
      <c r="J14" s="199"/>
      <c r="K14" s="543"/>
    </row>
    <row r="15" spans="1:12" s="376" customFormat="1" ht="14.25" customHeight="1" x14ac:dyDescent="0.25">
      <c r="A15" s="352" t="s">
        <v>234</v>
      </c>
      <c r="D15" s="133"/>
      <c r="E15" s="333"/>
      <c r="F15" s="255"/>
      <c r="G15" s="544"/>
      <c r="H15" s="544"/>
      <c r="I15" s="390"/>
      <c r="J15" s="199"/>
      <c r="K15" s="543"/>
    </row>
    <row r="16" spans="1:12" x14ac:dyDescent="0.2">
      <c r="B16" s="513" t="s">
        <v>341</v>
      </c>
      <c r="C16" s="323"/>
      <c r="D16" s="133">
        <v>135866</v>
      </c>
      <c r="E16" s="333">
        <v>133617</v>
      </c>
      <c r="F16" s="204">
        <v>133626</v>
      </c>
      <c r="G16" s="333">
        <v>1.6763204765539719</v>
      </c>
      <c r="H16" s="333">
        <v>1.6831690578294589</v>
      </c>
      <c r="I16" s="408"/>
      <c r="J16" s="199">
        <v>135866</v>
      </c>
      <c r="K16" s="539">
        <v>133626</v>
      </c>
      <c r="L16" s="333">
        <v>1.6763204765539719</v>
      </c>
    </row>
    <row r="17" spans="2:12" x14ac:dyDescent="0.2">
      <c r="B17" s="513" t="s">
        <v>51</v>
      </c>
      <c r="C17" s="323"/>
      <c r="D17" s="133">
        <v>357077</v>
      </c>
      <c r="E17" s="333">
        <v>334453</v>
      </c>
      <c r="F17" s="204">
        <v>324634</v>
      </c>
      <c r="G17" s="333">
        <v>9.9937160001724923</v>
      </c>
      <c r="H17" s="333">
        <v>6.7644781180016267</v>
      </c>
      <c r="I17" s="408"/>
      <c r="J17" s="199">
        <v>357077</v>
      </c>
      <c r="K17" s="539">
        <v>324634</v>
      </c>
      <c r="L17" s="333">
        <v>9.9937160001724923</v>
      </c>
    </row>
    <row r="18" spans="2:12" x14ac:dyDescent="0.2">
      <c r="B18" s="513" t="s">
        <v>235</v>
      </c>
      <c r="C18" s="323"/>
      <c r="D18" s="133">
        <v>104</v>
      </c>
      <c r="E18" s="333">
        <v>67</v>
      </c>
      <c r="F18" s="204">
        <v>102</v>
      </c>
      <c r="G18" s="333">
        <v>1.9607843137254832</v>
      </c>
      <c r="H18" s="333">
        <v>55.223880597014926</v>
      </c>
      <c r="I18" s="408"/>
      <c r="J18" s="199">
        <v>171</v>
      </c>
      <c r="K18" s="539">
        <v>163</v>
      </c>
      <c r="L18" s="333">
        <v>4.9079754601226933</v>
      </c>
    </row>
    <row r="19" spans="2:12" x14ac:dyDescent="0.2">
      <c r="B19" s="513" t="s">
        <v>236</v>
      </c>
      <c r="C19" s="323"/>
      <c r="D19" s="133">
        <v>22</v>
      </c>
      <c r="E19" s="333">
        <v>12</v>
      </c>
      <c r="F19" s="204">
        <v>22</v>
      </c>
      <c r="G19" s="333">
        <v>0</v>
      </c>
      <c r="H19" s="333">
        <v>83.333333333333329</v>
      </c>
      <c r="I19" s="408"/>
      <c r="J19" s="199">
        <v>34</v>
      </c>
      <c r="K19" s="539">
        <v>34</v>
      </c>
      <c r="L19" s="333">
        <v>0</v>
      </c>
    </row>
    <row r="20" spans="2:12" x14ac:dyDescent="0.2">
      <c r="B20" s="497"/>
      <c r="D20" s="374"/>
      <c r="E20" s="333"/>
      <c r="F20" s="218"/>
      <c r="G20" s="408"/>
      <c r="H20" s="408"/>
      <c r="I20" s="408"/>
    </row>
    <row r="21" spans="2:12" ht="15" x14ac:dyDescent="0.25">
      <c r="B21" s="70"/>
      <c r="C21" s="70"/>
      <c r="D21" s="332"/>
      <c r="E21" s="332"/>
      <c r="F21" s="152"/>
    </row>
    <row r="22" spans="2:12" x14ac:dyDescent="0.2">
      <c r="B22" s="545" t="s">
        <v>89</v>
      </c>
      <c r="C22" s="546" t="s">
        <v>512</v>
      </c>
      <c r="D22" s="330"/>
      <c r="E22" s="330"/>
      <c r="F22" s="152"/>
    </row>
    <row r="23" spans="2:12" x14ac:dyDescent="0.2">
      <c r="D23" s="330"/>
      <c r="E23" s="330"/>
    </row>
    <row r="24" spans="2:12" x14ac:dyDescent="0.2">
      <c r="D24" s="330"/>
      <c r="E24" s="330"/>
    </row>
    <row r="25" spans="2:12" x14ac:dyDescent="0.2">
      <c r="D25" s="330"/>
      <c r="E25" s="330"/>
    </row>
    <row r="26" spans="2:12" x14ac:dyDescent="0.2">
      <c r="D26" s="330"/>
      <c r="E26" s="330"/>
    </row>
    <row r="27" spans="2:12" x14ac:dyDescent="0.2">
      <c r="D27" s="330"/>
      <c r="E27" s="330"/>
    </row>
    <row r="28" spans="2:12" x14ac:dyDescent="0.2">
      <c r="D28" s="330"/>
      <c r="E28" s="330"/>
    </row>
    <row r="29" spans="2:12" x14ac:dyDescent="0.2">
      <c r="D29" s="330"/>
      <c r="E29" s="330"/>
    </row>
    <row r="30" spans="2:12" x14ac:dyDescent="0.2">
      <c r="D30" s="330"/>
      <c r="E30" s="330"/>
    </row>
    <row r="31" spans="2:12" x14ac:dyDescent="0.2">
      <c r="D31" s="330"/>
      <c r="E31" s="330"/>
    </row>
    <row r="32" spans="2:12" x14ac:dyDescent="0.2">
      <c r="D32" s="330"/>
      <c r="E32" s="330"/>
    </row>
    <row r="33" spans="4:5" x14ac:dyDescent="0.2">
      <c r="D33" s="330"/>
      <c r="E33" s="330"/>
    </row>
    <row r="34" spans="4:5" x14ac:dyDescent="0.2">
      <c r="D34" s="330"/>
      <c r="E34" s="330"/>
    </row>
    <row r="35" spans="4:5" x14ac:dyDescent="0.2">
      <c r="D35" s="330"/>
      <c r="E35" s="330"/>
    </row>
    <row r="36" spans="4:5" x14ac:dyDescent="0.2">
      <c r="D36" s="330"/>
      <c r="E36" s="330"/>
    </row>
    <row r="37" spans="4:5" x14ac:dyDescent="0.2">
      <c r="D37" s="330"/>
      <c r="E37" s="330"/>
    </row>
    <row r="38" spans="4:5" x14ac:dyDescent="0.2">
      <c r="D38" s="330"/>
      <c r="E38" s="330"/>
    </row>
    <row r="39" spans="4:5" x14ac:dyDescent="0.2">
      <c r="D39" s="330"/>
      <c r="E39" s="330"/>
    </row>
    <row r="40" spans="4:5" x14ac:dyDescent="0.2">
      <c r="D40" s="330"/>
      <c r="E40" s="330"/>
    </row>
    <row r="41" spans="4:5" x14ac:dyDescent="0.2">
      <c r="D41" s="330"/>
      <c r="E41" s="330"/>
    </row>
    <row r="42" spans="4:5" x14ac:dyDescent="0.2">
      <c r="D42" s="330"/>
      <c r="E42" s="330"/>
    </row>
    <row r="43" spans="4:5" x14ac:dyDescent="0.2">
      <c r="D43" s="330"/>
      <c r="E43" s="330"/>
    </row>
    <row r="44" spans="4:5" x14ac:dyDescent="0.2">
      <c r="D44" s="330"/>
      <c r="E44" s="330"/>
    </row>
    <row r="45" spans="4:5" x14ac:dyDescent="0.2">
      <c r="D45" s="330"/>
      <c r="E45" s="330"/>
    </row>
    <row r="46" spans="4:5" x14ac:dyDescent="0.2">
      <c r="D46" s="330"/>
      <c r="E46" s="330"/>
    </row>
    <row r="47" spans="4:5" x14ac:dyDescent="0.2">
      <c r="D47" s="330"/>
      <c r="E47" s="330"/>
    </row>
    <row r="48" spans="4:5" x14ac:dyDescent="0.2">
      <c r="D48" s="330"/>
      <c r="E48" s="330"/>
    </row>
    <row r="49" spans="4:5" x14ac:dyDescent="0.2">
      <c r="D49" s="330"/>
      <c r="E49" s="330"/>
    </row>
    <row r="50" spans="4:5" x14ac:dyDescent="0.2">
      <c r="D50" s="330"/>
      <c r="E50" s="330"/>
    </row>
    <row r="51" spans="4:5" x14ac:dyDescent="0.2">
      <c r="D51" s="330"/>
      <c r="E51" s="330"/>
    </row>
    <row r="52" spans="4:5" x14ac:dyDescent="0.2">
      <c r="D52" s="330"/>
      <c r="E52" s="330"/>
    </row>
    <row r="53" spans="4:5" x14ac:dyDescent="0.2">
      <c r="D53" s="330"/>
      <c r="E53" s="330"/>
    </row>
    <row r="54" spans="4:5" x14ac:dyDescent="0.2">
      <c r="D54" s="330"/>
      <c r="E54" s="330"/>
    </row>
    <row r="55" spans="4:5" x14ac:dyDescent="0.2">
      <c r="D55" s="330"/>
      <c r="E55" s="330"/>
    </row>
    <row r="56" spans="4:5" x14ac:dyDescent="0.2">
      <c r="D56" s="330"/>
      <c r="E56" s="330"/>
    </row>
    <row r="57" spans="4:5" x14ac:dyDescent="0.2">
      <c r="D57" s="330"/>
      <c r="E57" s="330"/>
    </row>
    <row r="58" spans="4:5" x14ac:dyDescent="0.2">
      <c r="D58" s="330"/>
      <c r="E58" s="330"/>
    </row>
    <row r="59" spans="4:5" x14ac:dyDescent="0.2">
      <c r="D59" s="330"/>
      <c r="E59" s="330"/>
    </row>
    <row r="60" spans="4:5" x14ac:dyDescent="0.2">
      <c r="D60" s="330"/>
      <c r="E60" s="330"/>
    </row>
    <row r="61" spans="4:5" x14ac:dyDescent="0.2">
      <c r="D61" s="330"/>
      <c r="E61" s="330"/>
    </row>
    <row r="62" spans="4:5" x14ac:dyDescent="0.2">
      <c r="D62" s="330"/>
      <c r="E62" s="330"/>
    </row>
    <row r="63" spans="4:5" x14ac:dyDescent="0.2">
      <c r="D63" s="330"/>
      <c r="E63" s="330"/>
    </row>
    <row r="64" spans="4:5" x14ac:dyDescent="0.2">
      <c r="D64" s="330"/>
      <c r="E64" s="330"/>
    </row>
    <row r="65" spans="4:5" x14ac:dyDescent="0.2">
      <c r="D65" s="330"/>
      <c r="E65" s="330"/>
    </row>
    <row r="66" spans="4:5" x14ac:dyDescent="0.2">
      <c r="D66" s="330"/>
      <c r="E66" s="330"/>
    </row>
    <row r="67" spans="4:5" x14ac:dyDescent="0.2">
      <c r="D67" s="330"/>
      <c r="E67" s="330"/>
    </row>
    <row r="68" spans="4:5" x14ac:dyDescent="0.2">
      <c r="D68" s="330"/>
      <c r="E68" s="330"/>
    </row>
    <row r="69" spans="4:5" x14ac:dyDescent="0.2">
      <c r="D69" s="330"/>
      <c r="E69" s="330"/>
    </row>
    <row r="70" spans="4:5" x14ac:dyDescent="0.2">
      <c r="D70" s="330"/>
      <c r="E70" s="330"/>
    </row>
    <row r="71" spans="4:5" x14ac:dyDescent="0.2">
      <c r="D71" s="330"/>
      <c r="E71" s="330"/>
    </row>
    <row r="72" spans="4:5" x14ac:dyDescent="0.2">
      <c r="D72" s="330"/>
      <c r="E72" s="330"/>
    </row>
    <row r="73" spans="4:5" x14ac:dyDescent="0.2">
      <c r="D73" s="330"/>
      <c r="E73" s="330"/>
    </row>
    <row r="74" spans="4:5" x14ac:dyDescent="0.2">
      <c r="D74" s="330"/>
      <c r="E74" s="330"/>
    </row>
    <row r="75" spans="4:5" x14ac:dyDescent="0.2">
      <c r="D75" s="330"/>
      <c r="E75" s="330"/>
    </row>
    <row r="76" spans="4:5" x14ac:dyDescent="0.2">
      <c r="D76" s="330"/>
      <c r="E76" s="330"/>
    </row>
    <row r="77" spans="4:5" x14ac:dyDescent="0.2">
      <c r="D77" s="330"/>
      <c r="E77" s="330"/>
    </row>
    <row r="78" spans="4:5" x14ac:dyDescent="0.2">
      <c r="D78" s="330"/>
      <c r="E78" s="330"/>
    </row>
    <row r="79" spans="4:5" x14ac:dyDescent="0.2">
      <c r="D79" s="330"/>
      <c r="E79" s="330"/>
    </row>
    <row r="80" spans="4:5" x14ac:dyDescent="0.2">
      <c r="D80" s="330"/>
      <c r="E80" s="330"/>
    </row>
    <row r="81" spans="4:5" x14ac:dyDescent="0.2">
      <c r="D81" s="330"/>
      <c r="E81" s="330"/>
    </row>
    <row r="82" spans="4:5" x14ac:dyDescent="0.2">
      <c r="D82" s="330"/>
      <c r="E82" s="330"/>
    </row>
    <row r="83" spans="4:5" x14ac:dyDescent="0.2">
      <c r="D83" s="330"/>
      <c r="E83" s="330"/>
    </row>
    <row r="84" spans="4:5" x14ac:dyDescent="0.2">
      <c r="D84" s="330"/>
      <c r="E84" s="330"/>
    </row>
    <row r="85" spans="4:5" x14ac:dyDescent="0.2">
      <c r="D85" s="330"/>
      <c r="E85" s="330"/>
    </row>
    <row r="86" spans="4:5" x14ac:dyDescent="0.2">
      <c r="D86" s="330"/>
      <c r="E86" s="330"/>
    </row>
    <row r="87" spans="4:5" x14ac:dyDescent="0.2">
      <c r="D87" s="330"/>
      <c r="E87" s="330"/>
    </row>
    <row r="88" spans="4:5" x14ac:dyDescent="0.2">
      <c r="D88" s="330"/>
      <c r="E88" s="330"/>
    </row>
    <row r="89" spans="4:5" x14ac:dyDescent="0.2">
      <c r="D89" s="330"/>
      <c r="E89" s="330"/>
    </row>
    <row r="90" spans="4:5" x14ac:dyDescent="0.2">
      <c r="D90" s="330"/>
      <c r="E90" s="330"/>
    </row>
    <row r="91" spans="4:5" x14ac:dyDescent="0.2">
      <c r="D91" s="330"/>
      <c r="E91" s="330"/>
    </row>
    <row r="92" spans="4:5" x14ac:dyDescent="0.2">
      <c r="D92" s="330"/>
      <c r="E92" s="330"/>
    </row>
    <row r="93" spans="4:5" x14ac:dyDescent="0.2">
      <c r="D93" s="330"/>
      <c r="E93" s="330"/>
    </row>
    <row r="94" spans="4:5" x14ac:dyDescent="0.2">
      <c r="D94" s="330"/>
      <c r="E94" s="330"/>
    </row>
    <row r="95" spans="4:5" x14ac:dyDescent="0.2">
      <c r="D95" s="330"/>
      <c r="E95" s="330"/>
    </row>
    <row r="96" spans="4:5" x14ac:dyDescent="0.2">
      <c r="D96" s="330"/>
      <c r="E96" s="330"/>
    </row>
    <row r="97" spans="4:5" x14ac:dyDescent="0.2">
      <c r="D97" s="330"/>
      <c r="E97" s="330"/>
    </row>
    <row r="98" spans="4:5" x14ac:dyDescent="0.2">
      <c r="D98" s="330"/>
      <c r="E98" s="330"/>
    </row>
    <row r="99" spans="4:5" x14ac:dyDescent="0.2">
      <c r="D99" s="330"/>
      <c r="E99" s="330"/>
    </row>
    <row r="100" spans="4:5" x14ac:dyDescent="0.2">
      <c r="D100" s="330"/>
      <c r="E100" s="330"/>
    </row>
    <row r="101" spans="4:5" x14ac:dyDescent="0.2">
      <c r="D101" s="330"/>
      <c r="E101" s="330"/>
    </row>
    <row r="102" spans="4:5" x14ac:dyDescent="0.2">
      <c r="D102" s="330"/>
      <c r="E102" s="330"/>
    </row>
    <row r="103" spans="4:5" x14ac:dyDescent="0.2">
      <c r="D103" s="330"/>
      <c r="E103" s="330"/>
    </row>
    <row r="104" spans="4:5" x14ac:dyDescent="0.2">
      <c r="D104" s="330"/>
      <c r="E104" s="330"/>
    </row>
    <row r="105" spans="4:5" x14ac:dyDescent="0.2">
      <c r="D105" s="330"/>
      <c r="E105" s="330"/>
    </row>
    <row r="106" spans="4:5" x14ac:dyDescent="0.2">
      <c r="D106" s="330"/>
      <c r="E106" s="330"/>
    </row>
    <row r="107" spans="4:5" x14ac:dyDescent="0.2">
      <c r="D107" s="330"/>
      <c r="E107" s="330"/>
    </row>
    <row r="108" spans="4:5" x14ac:dyDescent="0.2">
      <c r="D108" s="330"/>
      <c r="E108" s="330"/>
    </row>
    <row r="109" spans="4:5" x14ac:dyDescent="0.2">
      <c r="D109" s="330"/>
      <c r="E109" s="330"/>
    </row>
    <row r="110" spans="4:5" x14ac:dyDescent="0.2">
      <c r="D110" s="330"/>
      <c r="E110" s="330"/>
    </row>
    <row r="111" spans="4:5" x14ac:dyDescent="0.2">
      <c r="D111" s="330"/>
      <c r="E111" s="330"/>
    </row>
    <row r="112" spans="4:5" x14ac:dyDescent="0.2">
      <c r="D112" s="330"/>
      <c r="E112" s="330"/>
    </row>
    <row r="113" spans="4:5" x14ac:dyDescent="0.2">
      <c r="D113" s="330"/>
      <c r="E113" s="330"/>
    </row>
    <row r="114" spans="4:5" x14ac:dyDescent="0.2">
      <c r="D114" s="330"/>
      <c r="E114" s="330"/>
    </row>
    <row r="115" spans="4:5" x14ac:dyDescent="0.2">
      <c r="D115" s="330"/>
      <c r="E115" s="330"/>
    </row>
    <row r="116" spans="4:5" x14ac:dyDescent="0.2">
      <c r="D116" s="330"/>
      <c r="E116" s="330"/>
    </row>
    <row r="117" spans="4:5" x14ac:dyDescent="0.2">
      <c r="D117" s="330"/>
      <c r="E117" s="330"/>
    </row>
    <row r="118" spans="4:5" x14ac:dyDescent="0.2">
      <c r="D118" s="330"/>
      <c r="E118" s="330"/>
    </row>
    <row r="119" spans="4:5" x14ac:dyDescent="0.2">
      <c r="D119" s="330"/>
      <c r="E119" s="330"/>
    </row>
    <row r="120" spans="4:5" x14ac:dyDescent="0.2">
      <c r="D120" s="330"/>
      <c r="E120" s="330"/>
    </row>
    <row r="121" spans="4:5" x14ac:dyDescent="0.2">
      <c r="D121" s="330"/>
      <c r="E121" s="330"/>
    </row>
    <row r="122" spans="4:5" x14ac:dyDescent="0.2">
      <c r="D122" s="330"/>
      <c r="E122" s="330"/>
    </row>
    <row r="123" spans="4:5" x14ac:dyDescent="0.2">
      <c r="D123" s="330"/>
      <c r="E123" s="330"/>
    </row>
    <row r="124" spans="4:5" x14ac:dyDescent="0.2">
      <c r="D124" s="330"/>
      <c r="E124" s="330"/>
    </row>
    <row r="125" spans="4:5" x14ac:dyDescent="0.2">
      <c r="D125" s="330"/>
      <c r="E125" s="330"/>
    </row>
    <row r="126" spans="4:5" x14ac:dyDescent="0.2">
      <c r="D126" s="330"/>
      <c r="E126" s="330"/>
    </row>
    <row r="127" spans="4:5" x14ac:dyDescent="0.2">
      <c r="D127" s="330"/>
      <c r="E127" s="330"/>
    </row>
    <row r="128" spans="4:5" x14ac:dyDescent="0.2">
      <c r="D128" s="330"/>
      <c r="E128" s="330"/>
    </row>
    <row r="129" spans="4:5" x14ac:dyDescent="0.2">
      <c r="D129" s="330"/>
      <c r="E129" s="330"/>
    </row>
    <row r="130" spans="4:5" x14ac:dyDescent="0.2">
      <c r="D130" s="330"/>
      <c r="E130" s="330"/>
    </row>
    <row r="131" spans="4:5" x14ac:dyDescent="0.2">
      <c r="D131" s="330"/>
      <c r="E131" s="330"/>
    </row>
    <row r="132" spans="4:5" x14ac:dyDescent="0.2">
      <c r="D132" s="330"/>
      <c r="E132" s="330"/>
    </row>
    <row r="133" spans="4:5" x14ac:dyDescent="0.2">
      <c r="D133" s="330"/>
      <c r="E133" s="330"/>
    </row>
    <row r="134" spans="4:5" x14ac:dyDescent="0.2">
      <c r="D134" s="330"/>
      <c r="E134" s="330"/>
    </row>
    <row r="135" spans="4:5" x14ac:dyDescent="0.2">
      <c r="D135" s="330"/>
      <c r="E135" s="330"/>
    </row>
    <row r="136" spans="4:5" x14ac:dyDescent="0.2">
      <c r="D136" s="330"/>
      <c r="E136" s="330"/>
    </row>
    <row r="137" spans="4:5" x14ac:dyDescent="0.2">
      <c r="D137" s="330"/>
      <c r="E137" s="330"/>
    </row>
    <row r="138" spans="4:5" x14ac:dyDescent="0.2">
      <c r="D138" s="330"/>
      <c r="E138" s="330"/>
    </row>
    <row r="139" spans="4:5" x14ac:dyDescent="0.2">
      <c r="D139" s="330"/>
      <c r="E139" s="330"/>
    </row>
    <row r="140" spans="4:5" x14ac:dyDescent="0.2">
      <c r="D140" s="330"/>
      <c r="E140" s="330"/>
    </row>
    <row r="141" spans="4:5" x14ac:dyDescent="0.2">
      <c r="D141" s="330"/>
      <c r="E141" s="330"/>
    </row>
    <row r="142" spans="4:5" x14ac:dyDescent="0.2">
      <c r="D142" s="330"/>
      <c r="E142" s="330"/>
    </row>
    <row r="143" spans="4:5" x14ac:dyDescent="0.2">
      <c r="D143" s="330"/>
      <c r="E143" s="330"/>
    </row>
    <row r="144" spans="4:5" x14ac:dyDescent="0.2">
      <c r="D144" s="460"/>
      <c r="E144" s="460"/>
    </row>
    <row r="145" spans="4:5" x14ac:dyDescent="0.2">
      <c r="D145" s="460"/>
      <c r="E145" s="460"/>
    </row>
    <row r="146" spans="4:5" x14ac:dyDescent="0.2">
      <c r="D146" s="460"/>
      <c r="E146" s="460"/>
    </row>
    <row r="147" spans="4:5" x14ac:dyDescent="0.2">
      <c r="D147" s="460"/>
      <c r="E147" s="460"/>
    </row>
    <row r="148" spans="4:5" x14ac:dyDescent="0.2">
      <c r="D148" s="460"/>
      <c r="E148" s="460"/>
    </row>
    <row r="149" spans="4:5" x14ac:dyDescent="0.2">
      <c r="D149" s="460"/>
      <c r="E149" s="460"/>
    </row>
    <row r="150" spans="4:5" x14ac:dyDescent="0.2">
      <c r="D150" s="460"/>
      <c r="E150" s="460"/>
    </row>
  </sheetData>
  <mergeCells count="1">
    <mergeCell ref="A2:C2"/>
  </mergeCells>
  <phoneticPr fontId="2" type="noConversion"/>
  <hyperlinks>
    <hyperlink ref="A2" location="Index!A1" display="Back to Index" xr:uid="{0768DDB7-9EDE-4348-9B4D-9E060D888DC2}"/>
  </hyperlinks>
  <pageMargins left="0.18" right="0.17" top="1" bottom="1" header="0.5" footer="0.5"/>
  <pageSetup scale="93"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E855-27F6-45D0-9981-76A5D59ACDCD}">
  <sheetPr>
    <tabColor rgb="FF132EF9"/>
    <pageSetUpPr fitToPage="1"/>
  </sheetPr>
  <dimension ref="A1:L151"/>
  <sheetViews>
    <sheetView showGridLines="0" zoomScale="90" zoomScaleNormal="90" workbookViewId="0">
      <pane xSplit="3" ySplit="3" topLeftCell="D7" activePane="bottomRight" state="frozen"/>
      <selection pane="topRight" activeCell="L13" sqref="L13"/>
      <selection pane="bottomLeft" activeCell="L13" sqref="L13"/>
      <selection pane="bottomRight"/>
    </sheetView>
  </sheetViews>
  <sheetFormatPr defaultColWidth="9.42578125" defaultRowHeight="14.25" x14ac:dyDescent="0.2"/>
  <cols>
    <col min="1" max="1" width="4" style="323" customWidth="1"/>
    <col min="2" max="2" width="4.42578125" style="323" customWidth="1"/>
    <col min="3" max="3" width="42.5703125" style="357" customWidth="1"/>
    <col min="4" max="5" width="11.42578125" style="8" customWidth="1"/>
    <col min="6" max="8" width="11.42578125" style="323" customWidth="1"/>
    <col min="9" max="9" width="2.5703125" style="323" customWidth="1"/>
    <col min="10" max="12" width="11.42578125" style="323" customWidth="1"/>
    <col min="13" max="16384" width="9.42578125" style="323"/>
  </cols>
  <sheetData>
    <row r="1" spans="1:12" s="4" customFormat="1" ht="20.25" x14ac:dyDescent="0.3">
      <c r="A1" s="3" t="s">
        <v>21</v>
      </c>
      <c r="D1" s="366"/>
      <c r="E1" s="366"/>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7.5" customHeight="1" x14ac:dyDescent="0.25">
      <c r="A3" s="328"/>
      <c r="D3" s="237"/>
      <c r="E3" s="511"/>
      <c r="J3" s="237"/>
      <c r="K3" s="511"/>
    </row>
    <row r="4" spans="1:12" s="376" customFormat="1" ht="14.25" customHeight="1" x14ac:dyDescent="0.25">
      <c r="A4" s="352" t="s">
        <v>68</v>
      </c>
      <c r="D4" s="238"/>
      <c r="E4" s="332"/>
      <c r="G4" s="390"/>
      <c r="H4" s="390"/>
      <c r="I4" s="390"/>
      <c r="J4" s="168"/>
      <c r="K4" s="24"/>
    </row>
    <row r="5" spans="1:12" x14ac:dyDescent="0.2">
      <c r="B5" s="513" t="s">
        <v>37</v>
      </c>
      <c r="C5" s="323"/>
      <c r="D5" s="133">
        <v>3113</v>
      </c>
      <c r="E5" s="204">
        <v>3155</v>
      </c>
      <c r="F5" s="204">
        <v>3307</v>
      </c>
      <c r="G5" s="333">
        <v>-5.8663441185364373</v>
      </c>
      <c r="H5" s="333">
        <v>-1.3312202852614918</v>
      </c>
      <c r="I5" s="408"/>
      <c r="J5" s="199">
        <v>6268</v>
      </c>
      <c r="K5" s="539">
        <v>6730</v>
      </c>
      <c r="L5" s="333">
        <v>-6.864784546805347</v>
      </c>
    </row>
    <row r="6" spans="1:12" x14ac:dyDescent="0.2">
      <c r="B6" s="538" t="s">
        <v>38</v>
      </c>
      <c r="C6" s="408"/>
      <c r="D6" s="133">
        <v>823</v>
      </c>
      <c r="E6" s="204">
        <v>852</v>
      </c>
      <c r="F6" s="204">
        <v>726</v>
      </c>
      <c r="G6" s="333">
        <v>13.360881542699721</v>
      </c>
      <c r="H6" s="333">
        <v>-3.4037558685446001</v>
      </c>
      <c r="I6" s="408"/>
      <c r="J6" s="199">
        <v>1675</v>
      </c>
      <c r="K6" s="539">
        <v>1513</v>
      </c>
      <c r="L6" s="333">
        <v>10.707204230006617</v>
      </c>
    </row>
    <row r="7" spans="1:12" x14ac:dyDescent="0.2">
      <c r="B7" s="538" t="s">
        <v>85</v>
      </c>
      <c r="C7" s="408"/>
      <c r="D7" s="133">
        <v>464</v>
      </c>
      <c r="E7" s="204">
        <v>499</v>
      </c>
      <c r="F7" s="204">
        <v>439</v>
      </c>
      <c r="G7" s="333">
        <v>5.6947608200455635</v>
      </c>
      <c r="H7" s="333">
        <v>-7.0140280561122204</v>
      </c>
      <c r="I7" s="408"/>
      <c r="J7" s="199">
        <v>963</v>
      </c>
      <c r="K7" s="539">
        <v>916</v>
      </c>
      <c r="L7" s="333">
        <v>5.1310043668122196</v>
      </c>
    </row>
    <row r="8" spans="1:12" s="331" customFormat="1" ht="15" x14ac:dyDescent="0.25">
      <c r="B8" s="540" t="s">
        <v>40</v>
      </c>
      <c r="D8" s="107">
        <v>4400</v>
      </c>
      <c r="E8" s="254">
        <v>4506</v>
      </c>
      <c r="F8" s="254">
        <v>4472</v>
      </c>
      <c r="G8" s="333">
        <v>-1.610017889087656</v>
      </c>
      <c r="H8" s="333">
        <v>-2.3524189968930354</v>
      </c>
      <c r="I8" s="402"/>
      <c r="J8" s="198">
        <v>8906</v>
      </c>
      <c r="K8" s="541">
        <v>9159</v>
      </c>
      <c r="L8" s="333">
        <v>-2.7623102958838297</v>
      </c>
    </row>
    <row r="9" spans="1:12" x14ac:dyDescent="0.2">
      <c r="B9" s="513" t="s">
        <v>7</v>
      </c>
      <c r="C9" s="323"/>
      <c r="D9" s="133">
        <v>1527</v>
      </c>
      <c r="E9" s="204">
        <v>1421</v>
      </c>
      <c r="F9" s="204">
        <v>1477</v>
      </c>
      <c r="G9" s="333">
        <v>3.3852403520649998</v>
      </c>
      <c r="H9" s="333">
        <v>7.4595355383532791</v>
      </c>
      <c r="I9" s="408"/>
      <c r="J9" s="199">
        <v>2948</v>
      </c>
      <c r="K9" s="539">
        <v>2820</v>
      </c>
      <c r="L9" s="333">
        <v>4.5390070921985881</v>
      </c>
    </row>
    <row r="10" spans="1:12" x14ac:dyDescent="0.2">
      <c r="B10" s="513" t="s">
        <v>42</v>
      </c>
      <c r="C10" s="323"/>
      <c r="D10" s="133">
        <v>0</v>
      </c>
      <c r="E10" s="204">
        <v>0</v>
      </c>
      <c r="F10" s="204">
        <v>0</v>
      </c>
      <c r="G10" s="333">
        <v>0</v>
      </c>
      <c r="H10" s="333">
        <v>0</v>
      </c>
      <c r="I10" s="408"/>
      <c r="J10" s="206">
        <v>0</v>
      </c>
      <c r="K10" s="256">
        <v>0</v>
      </c>
      <c r="L10" s="333">
        <v>0</v>
      </c>
    </row>
    <row r="11" spans="1:12" x14ac:dyDescent="0.2">
      <c r="B11" s="513" t="s">
        <v>8</v>
      </c>
      <c r="C11" s="323"/>
      <c r="D11" s="133">
        <v>239</v>
      </c>
      <c r="E11" s="204">
        <v>2</v>
      </c>
      <c r="F11" s="204">
        <v>-12</v>
      </c>
      <c r="G11" s="333" t="s">
        <v>117</v>
      </c>
      <c r="H11" s="333" t="s">
        <v>500</v>
      </c>
      <c r="I11" s="408"/>
      <c r="J11" s="199">
        <v>241</v>
      </c>
      <c r="K11" s="539">
        <v>9</v>
      </c>
      <c r="L11" s="333" t="s">
        <v>500</v>
      </c>
    </row>
    <row r="12" spans="1:12" x14ac:dyDescent="0.2">
      <c r="B12" s="513" t="s">
        <v>43</v>
      </c>
      <c r="C12" s="323"/>
      <c r="D12" s="133">
        <v>7</v>
      </c>
      <c r="E12" s="204">
        <v>6</v>
      </c>
      <c r="F12" s="204">
        <v>13</v>
      </c>
      <c r="G12" s="333">
        <v>-46.153846153846153</v>
      </c>
      <c r="H12" s="333">
        <v>16.666666666666675</v>
      </c>
      <c r="I12" s="408"/>
      <c r="J12" s="206">
        <v>13</v>
      </c>
      <c r="K12" s="256">
        <v>20</v>
      </c>
      <c r="L12" s="333">
        <v>-35</v>
      </c>
    </row>
    <row r="13" spans="1:12" s="331" customFormat="1" ht="15" x14ac:dyDescent="0.25">
      <c r="B13" s="376" t="s">
        <v>44</v>
      </c>
      <c r="D13" s="107">
        <v>2641</v>
      </c>
      <c r="E13" s="403">
        <v>3089</v>
      </c>
      <c r="F13" s="254">
        <v>3020</v>
      </c>
      <c r="G13" s="333">
        <v>-12.549668874172182</v>
      </c>
      <c r="H13" s="333">
        <v>-14.503075428941404</v>
      </c>
      <c r="I13" s="402"/>
      <c r="J13" s="198">
        <v>5730</v>
      </c>
      <c r="K13" s="541">
        <v>6350</v>
      </c>
      <c r="L13" s="333">
        <v>-9.7637795275590573</v>
      </c>
    </row>
    <row r="14" spans="1:12" x14ac:dyDescent="0.2">
      <c r="C14" s="323"/>
      <c r="D14" s="133"/>
      <c r="E14" s="333"/>
      <c r="F14" s="218"/>
      <c r="G14" s="436"/>
      <c r="H14" s="436"/>
      <c r="I14" s="408"/>
      <c r="J14" s="199"/>
      <c r="K14" s="543"/>
    </row>
    <row r="15" spans="1:12" s="376" customFormat="1" ht="14.25" customHeight="1" x14ac:dyDescent="0.25">
      <c r="A15" s="328" t="s">
        <v>234</v>
      </c>
      <c r="D15" s="133"/>
      <c r="E15" s="333"/>
      <c r="F15" s="255"/>
      <c r="G15" s="544"/>
      <c r="H15" s="544"/>
      <c r="I15" s="390"/>
      <c r="J15" s="199"/>
      <c r="K15" s="543"/>
    </row>
    <row r="16" spans="1:12" x14ac:dyDescent="0.2">
      <c r="B16" s="513" t="s">
        <v>341</v>
      </c>
      <c r="C16" s="323"/>
      <c r="D16" s="133">
        <v>347241</v>
      </c>
      <c r="E16" s="333">
        <v>337405</v>
      </c>
      <c r="F16" s="204">
        <v>337392</v>
      </c>
      <c r="G16" s="333">
        <v>2.919156352254948</v>
      </c>
      <c r="H16" s="333">
        <v>2.9151909426357037</v>
      </c>
      <c r="I16" s="408"/>
      <c r="J16" s="199">
        <v>347241</v>
      </c>
      <c r="K16" s="539">
        <v>337392</v>
      </c>
      <c r="L16" s="333">
        <v>2.919156352254948</v>
      </c>
    </row>
    <row r="17" spans="2:12" x14ac:dyDescent="0.2">
      <c r="B17" s="513" t="s">
        <v>51</v>
      </c>
      <c r="C17" s="323"/>
      <c r="D17" s="133">
        <v>250252</v>
      </c>
      <c r="E17" s="333">
        <v>227373</v>
      </c>
      <c r="F17" s="204">
        <v>223665</v>
      </c>
      <c r="G17" s="333">
        <v>11.886973822457691</v>
      </c>
      <c r="H17" s="333">
        <v>10.062320504193556</v>
      </c>
      <c r="I17" s="408"/>
      <c r="J17" s="199">
        <v>250252</v>
      </c>
      <c r="K17" s="539">
        <v>223665</v>
      </c>
      <c r="L17" s="333">
        <v>11.886973822457691</v>
      </c>
    </row>
    <row r="18" spans="2:12" x14ac:dyDescent="0.2">
      <c r="B18" s="513" t="s">
        <v>235</v>
      </c>
      <c r="C18" s="323"/>
      <c r="D18" s="133">
        <v>25</v>
      </c>
      <c r="E18" s="333">
        <v>10</v>
      </c>
      <c r="F18" s="204">
        <v>30</v>
      </c>
      <c r="G18" s="333">
        <v>-16.666666666666664</v>
      </c>
      <c r="H18" s="333" t="s">
        <v>500</v>
      </c>
      <c r="I18" s="408"/>
      <c r="J18" s="199">
        <v>35</v>
      </c>
      <c r="K18" s="539">
        <v>41</v>
      </c>
      <c r="L18" s="333">
        <v>-14.634146341463417</v>
      </c>
    </row>
    <row r="19" spans="2:12" x14ac:dyDescent="0.2">
      <c r="B19" s="513" t="s">
        <v>236</v>
      </c>
      <c r="C19" s="323"/>
      <c r="D19" s="133">
        <v>3</v>
      </c>
      <c r="E19" s="333">
        <v>4</v>
      </c>
      <c r="F19" s="204">
        <v>5</v>
      </c>
      <c r="G19" s="333">
        <v>-40</v>
      </c>
      <c r="H19" s="333">
        <v>-25</v>
      </c>
      <c r="I19" s="408"/>
      <c r="J19" s="199">
        <v>7</v>
      </c>
      <c r="K19" s="539">
        <v>8</v>
      </c>
      <c r="L19" s="333">
        <v>-12.5</v>
      </c>
    </row>
    <row r="20" spans="2:12" x14ac:dyDescent="0.2">
      <c r="C20" s="323"/>
      <c r="E20" s="329"/>
      <c r="F20" s="547"/>
      <c r="G20" s="548"/>
      <c r="H20" s="351"/>
      <c r="I20" s="408"/>
    </row>
    <row r="21" spans="2:12" x14ac:dyDescent="0.2">
      <c r="C21" s="323"/>
      <c r="E21" s="329"/>
      <c r="F21" s="547"/>
      <c r="G21" s="548"/>
      <c r="H21" s="351"/>
      <c r="I21" s="408"/>
    </row>
    <row r="22" spans="2:12" ht="15" x14ac:dyDescent="0.25">
      <c r="B22" s="70" t="s">
        <v>156</v>
      </c>
      <c r="C22" s="70" t="s">
        <v>118</v>
      </c>
      <c r="D22" s="428"/>
      <c r="E22" s="332"/>
    </row>
    <row r="23" spans="2:12" x14ac:dyDescent="0.2">
      <c r="B23" s="545"/>
      <c r="C23" s="546"/>
      <c r="D23" s="330"/>
      <c r="E23" s="330"/>
      <c r="F23" s="549"/>
    </row>
    <row r="24" spans="2:12" x14ac:dyDescent="0.2">
      <c r="D24" s="329"/>
      <c r="E24" s="330"/>
    </row>
    <row r="25" spans="2:12" x14ac:dyDescent="0.2">
      <c r="D25" s="329"/>
      <c r="E25" s="330"/>
    </row>
    <row r="26" spans="2:12" x14ac:dyDescent="0.2">
      <c r="D26" s="329"/>
      <c r="E26" s="330"/>
    </row>
    <row r="27" spans="2:12" x14ac:dyDescent="0.2">
      <c r="D27" s="329"/>
      <c r="E27" s="330"/>
    </row>
    <row r="28" spans="2:12" x14ac:dyDescent="0.2">
      <c r="D28" s="329"/>
      <c r="E28" s="330"/>
    </row>
    <row r="29" spans="2:12" x14ac:dyDescent="0.2">
      <c r="D29" s="329"/>
      <c r="E29" s="330"/>
    </row>
    <row r="30" spans="2:12" x14ac:dyDescent="0.2">
      <c r="D30" s="329"/>
      <c r="E30" s="330"/>
    </row>
    <row r="31" spans="2:12" x14ac:dyDescent="0.2">
      <c r="D31" s="330"/>
      <c r="E31" s="330"/>
    </row>
    <row r="32" spans="2:12" x14ac:dyDescent="0.2">
      <c r="B32" s="550"/>
      <c r="D32" s="330"/>
      <c r="E32" s="330"/>
    </row>
    <row r="33" spans="2:5" x14ac:dyDescent="0.2">
      <c r="B33" s="550"/>
      <c r="D33" s="330"/>
      <c r="E33" s="330"/>
    </row>
    <row r="34" spans="2:5" x14ac:dyDescent="0.2">
      <c r="D34" s="330"/>
      <c r="E34" s="330"/>
    </row>
    <row r="35" spans="2:5" x14ac:dyDescent="0.2">
      <c r="D35" s="330"/>
      <c r="E35" s="330"/>
    </row>
    <row r="36" spans="2:5" x14ac:dyDescent="0.2">
      <c r="D36" s="330"/>
      <c r="E36" s="330"/>
    </row>
    <row r="37" spans="2:5" x14ac:dyDescent="0.2">
      <c r="D37" s="330"/>
      <c r="E37" s="330"/>
    </row>
    <row r="38" spans="2:5" x14ac:dyDescent="0.2">
      <c r="D38" s="330"/>
      <c r="E38" s="330"/>
    </row>
    <row r="39" spans="2:5" x14ac:dyDescent="0.2">
      <c r="D39" s="330"/>
      <c r="E39" s="330"/>
    </row>
    <row r="40" spans="2:5" x14ac:dyDescent="0.2">
      <c r="D40" s="330"/>
      <c r="E40" s="330"/>
    </row>
    <row r="41" spans="2:5" x14ac:dyDescent="0.2">
      <c r="D41" s="330"/>
      <c r="E41" s="330"/>
    </row>
    <row r="42" spans="2:5" x14ac:dyDescent="0.2">
      <c r="D42" s="330"/>
      <c r="E42" s="330"/>
    </row>
    <row r="43" spans="2:5" x14ac:dyDescent="0.2">
      <c r="D43" s="330"/>
      <c r="E43" s="330"/>
    </row>
    <row r="44" spans="2:5" x14ac:dyDescent="0.2">
      <c r="D44" s="330"/>
      <c r="E44" s="330"/>
    </row>
    <row r="45" spans="2:5" x14ac:dyDescent="0.2">
      <c r="D45" s="330"/>
      <c r="E45" s="330"/>
    </row>
    <row r="46" spans="2:5" x14ac:dyDescent="0.2">
      <c r="D46" s="330"/>
      <c r="E46" s="330"/>
    </row>
    <row r="47" spans="2:5" x14ac:dyDescent="0.2">
      <c r="D47" s="330"/>
      <c r="E47" s="330"/>
    </row>
    <row r="48" spans="2:5" x14ac:dyDescent="0.2">
      <c r="D48" s="330"/>
      <c r="E48" s="330"/>
    </row>
    <row r="49" spans="4:5" x14ac:dyDescent="0.2">
      <c r="D49" s="330"/>
      <c r="E49" s="330"/>
    </row>
    <row r="50" spans="4:5" x14ac:dyDescent="0.2">
      <c r="D50" s="330"/>
      <c r="E50" s="330"/>
    </row>
    <row r="51" spans="4:5" x14ac:dyDescent="0.2">
      <c r="D51" s="330"/>
      <c r="E51" s="330"/>
    </row>
    <row r="52" spans="4:5" x14ac:dyDescent="0.2">
      <c r="D52" s="330"/>
      <c r="E52" s="330"/>
    </row>
    <row r="53" spans="4:5" x14ac:dyDescent="0.2">
      <c r="D53" s="330"/>
      <c r="E53" s="330"/>
    </row>
    <row r="54" spans="4:5" x14ac:dyDescent="0.2">
      <c r="D54" s="330"/>
      <c r="E54" s="330"/>
    </row>
    <row r="55" spans="4:5" x14ac:dyDescent="0.2">
      <c r="D55" s="330"/>
      <c r="E55" s="330"/>
    </row>
    <row r="56" spans="4:5" x14ac:dyDescent="0.2">
      <c r="D56" s="330"/>
      <c r="E56" s="330"/>
    </row>
    <row r="57" spans="4:5" x14ac:dyDescent="0.2">
      <c r="D57" s="330"/>
      <c r="E57" s="330"/>
    </row>
    <row r="58" spans="4:5" x14ac:dyDescent="0.2">
      <c r="D58" s="330"/>
      <c r="E58" s="330"/>
    </row>
    <row r="59" spans="4:5" x14ac:dyDescent="0.2">
      <c r="D59" s="330"/>
      <c r="E59" s="330"/>
    </row>
    <row r="60" spans="4:5" x14ac:dyDescent="0.2">
      <c r="D60" s="330"/>
      <c r="E60" s="330"/>
    </row>
    <row r="61" spans="4:5" x14ac:dyDescent="0.2">
      <c r="D61" s="330"/>
      <c r="E61" s="330"/>
    </row>
    <row r="62" spans="4:5" x14ac:dyDescent="0.2">
      <c r="D62" s="330"/>
      <c r="E62" s="330"/>
    </row>
    <row r="63" spans="4:5" x14ac:dyDescent="0.2">
      <c r="D63" s="330"/>
      <c r="E63" s="330"/>
    </row>
    <row r="64" spans="4:5" x14ac:dyDescent="0.2">
      <c r="D64" s="330"/>
      <c r="E64" s="330"/>
    </row>
    <row r="65" spans="4:5" x14ac:dyDescent="0.2">
      <c r="D65" s="330"/>
      <c r="E65" s="330"/>
    </row>
    <row r="66" spans="4:5" x14ac:dyDescent="0.2">
      <c r="D66" s="330"/>
      <c r="E66" s="330"/>
    </row>
    <row r="67" spans="4:5" x14ac:dyDescent="0.2">
      <c r="D67" s="330"/>
      <c r="E67" s="330"/>
    </row>
    <row r="68" spans="4:5" x14ac:dyDescent="0.2">
      <c r="D68" s="330"/>
      <c r="E68" s="330"/>
    </row>
    <row r="69" spans="4:5" x14ac:dyDescent="0.2">
      <c r="D69" s="330"/>
      <c r="E69" s="330"/>
    </row>
    <row r="70" spans="4:5" x14ac:dyDescent="0.2">
      <c r="D70" s="330"/>
      <c r="E70" s="330"/>
    </row>
    <row r="71" spans="4:5" x14ac:dyDescent="0.2">
      <c r="D71" s="330"/>
      <c r="E71" s="330"/>
    </row>
    <row r="72" spans="4:5" x14ac:dyDescent="0.2">
      <c r="D72" s="330"/>
      <c r="E72" s="330"/>
    </row>
    <row r="73" spans="4:5" x14ac:dyDescent="0.2">
      <c r="D73" s="330"/>
      <c r="E73" s="330"/>
    </row>
    <row r="74" spans="4:5" x14ac:dyDescent="0.2">
      <c r="D74" s="330"/>
      <c r="E74" s="330"/>
    </row>
    <row r="75" spans="4:5" x14ac:dyDescent="0.2">
      <c r="D75" s="330"/>
      <c r="E75" s="330"/>
    </row>
    <row r="76" spans="4:5" x14ac:dyDescent="0.2">
      <c r="D76" s="330"/>
      <c r="E76" s="330"/>
    </row>
    <row r="77" spans="4:5" x14ac:dyDescent="0.2">
      <c r="D77" s="330"/>
      <c r="E77" s="330"/>
    </row>
    <row r="78" spans="4:5" x14ac:dyDescent="0.2">
      <c r="D78" s="330"/>
      <c r="E78" s="330"/>
    </row>
    <row r="79" spans="4:5" x14ac:dyDescent="0.2">
      <c r="D79" s="330"/>
      <c r="E79" s="330"/>
    </row>
    <row r="80" spans="4:5" x14ac:dyDescent="0.2">
      <c r="D80" s="330"/>
      <c r="E80" s="330"/>
    </row>
    <row r="81" spans="4:5" x14ac:dyDescent="0.2">
      <c r="D81" s="330"/>
      <c r="E81" s="330"/>
    </row>
    <row r="82" spans="4:5" x14ac:dyDescent="0.2">
      <c r="D82" s="330"/>
      <c r="E82" s="330"/>
    </row>
    <row r="83" spans="4:5" x14ac:dyDescent="0.2">
      <c r="D83" s="330"/>
      <c r="E83" s="330"/>
    </row>
    <row r="84" spans="4:5" x14ac:dyDescent="0.2">
      <c r="D84" s="330"/>
      <c r="E84" s="330"/>
    </row>
    <row r="85" spans="4:5" x14ac:dyDescent="0.2">
      <c r="D85" s="330"/>
      <c r="E85" s="330"/>
    </row>
    <row r="86" spans="4:5" x14ac:dyDescent="0.2">
      <c r="D86" s="330"/>
      <c r="E86" s="330"/>
    </row>
    <row r="87" spans="4:5" x14ac:dyDescent="0.2">
      <c r="D87" s="330"/>
      <c r="E87" s="330"/>
    </row>
    <row r="88" spans="4:5" x14ac:dyDescent="0.2">
      <c r="D88" s="330"/>
      <c r="E88" s="330"/>
    </row>
    <row r="89" spans="4:5" x14ac:dyDescent="0.2">
      <c r="D89" s="330"/>
      <c r="E89" s="330"/>
    </row>
    <row r="90" spans="4:5" x14ac:dyDescent="0.2">
      <c r="D90" s="330"/>
      <c r="E90" s="330"/>
    </row>
    <row r="91" spans="4:5" x14ac:dyDescent="0.2">
      <c r="D91" s="330"/>
      <c r="E91" s="330"/>
    </row>
    <row r="92" spans="4:5" x14ac:dyDescent="0.2">
      <c r="D92" s="330"/>
      <c r="E92" s="330"/>
    </row>
    <row r="93" spans="4:5" x14ac:dyDescent="0.2">
      <c r="D93" s="330"/>
      <c r="E93" s="330"/>
    </row>
    <row r="94" spans="4:5" x14ac:dyDescent="0.2">
      <c r="D94" s="330"/>
      <c r="E94" s="330"/>
    </row>
    <row r="95" spans="4:5" x14ac:dyDescent="0.2">
      <c r="D95" s="330"/>
      <c r="E95" s="330"/>
    </row>
    <row r="96" spans="4:5" x14ac:dyDescent="0.2">
      <c r="D96" s="330"/>
      <c r="E96" s="330"/>
    </row>
    <row r="97" spans="4:5" x14ac:dyDescent="0.2">
      <c r="D97" s="330"/>
      <c r="E97" s="330"/>
    </row>
    <row r="98" spans="4:5" x14ac:dyDescent="0.2">
      <c r="D98" s="330"/>
      <c r="E98" s="330"/>
    </row>
    <row r="99" spans="4:5" x14ac:dyDescent="0.2">
      <c r="D99" s="330"/>
      <c r="E99" s="330"/>
    </row>
    <row r="100" spans="4:5" x14ac:dyDescent="0.2">
      <c r="D100" s="330"/>
      <c r="E100" s="330"/>
    </row>
    <row r="101" spans="4:5" x14ac:dyDescent="0.2">
      <c r="D101" s="330"/>
      <c r="E101" s="330"/>
    </row>
    <row r="102" spans="4:5" x14ac:dyDescent="0.2">
      <c r="D102" s="330"/>
      <c r="E102" s="330"/>
    </row>
    <row r="103" spans="4:5" x14ac:dyDescent="0.2">
      <c r="D103" s="330"/>
      <c r="E103" s="330"/>
    </row>
    <row r="104" spans="4:5" x14ac:dyDescent="0.2">
      <c r="D104" s="330"/>
      <c r="E104" s="330"/>
    </row>
    <row r="105" spans="4:5" x14ac:dyDescent="0.2">
      <c r="D105" s="330"/>
      <c r="E105" s="330"/>
    </row>
    <row r="106" spans="4:5" x14ac:dyDescent="0.2">
      <c r="D106" s="330"/>
      <c r="E106" s="330"/>
    </row>
    <row r="107" spans="4:5" x14ac:dyDescent="0.2">
      <c r="D107" s="330"/>
      <c r="E107" s="330"/>
    </row>
    <row r="108" spans="4:5" x14ac:dyDescent="0.2">
      <c r="D108" s="330"/>
      <c r="E108" s="330"/>
    </row>
    <row r="109" spans="4:5" x14ac:dyDescent="0.2">
      <c r="D109" s="330"/>
      <c r="E109" s="330"/>
    </row>
    <row r="110" spans="4:5" x14ac:dyDescent="0.2">
      <c r="D110" s="330"/>
      <c r="E110" s="330"/>
    </row>
    <row r="111" spans="4:5" x14ac:dyDescent="0.2">
      <c r="D111" s="330"/>
      <c r="E111" s="330"/>
    </row>
    <row r="112" spans="4:5" x14ac:dyDescent="0.2">
      <c r="D112" s="330"/>
      <c r="E112" s="330"/>
    </row>
    <row r="113" spans="4:5" x14ac:dyDescent="0.2">
      <c r="D113" s="330"/>
      <c r="E113" s="330"/>
    </row>
    <row r="114" spans="4:5" x14ac:dyDescent="0.2">
      <c r="D114" s="330"/>
      <c r="E114" s="330"/>
    </row>
    <row r="115" spans="4:5" x14ac:dyDescent="0.2">
      <c r="D115" s="330"/>
      <c r="E115" s="330"/>
    </row>
    <row r="116" spans="4:5" x14ac:dyDescent="0.2">
      <c r="D116" s="330"/>
      <c r="E116" s="330"/>
    </row>
    <row r="117" spans="4:5" x14ac:dyDescent="0.2">
      <c r="D117" s="330"/>
      <c r="E117" s="330"/>
    </row>
    <row r="118" spans="4:5" x14ac:dyDescent="0.2">
      <c r="D118" s="330"/>
      <c r="E118" s="330"/>
    </row>
    <row r="119" spans="4:5" x14ac:dyDescent="0.2">
      <c r="D119" s="330"/>
      <c r="E119" s="330"/>
    </row>
    <row r="120" spans="4:5" x14ac:dyDescent="0.2">
      <c r="D120" s="330"/>
      <c r="E120" s="330"/>
    </row>
    <row r="121" spans="4:5" x14ac:dyDescent="0.2">
      <c r="D121" s="330"/>
      <c r="E121" s="330"/>
    </row>
    <row r="122" spans="4:5" x14ac:dyDescent="0.2">
      <c r="D122" s="330"/>
      <c r="E122" s="330"/>
    </row>
    <row r="123" spans="4:5" x14ac:dyDescent="0.2">
      <c r="D123" s="330"/>
      <c r="E123" s="330"/>
    </row>
    <row r="124" spans="4:5" x14ac:dyDescent="0.2">
      <c r="D124" s="330"/>
      <c r="E124" s="330"/>
    </row>
    <row r="125" spans="4:5" x14ac:dyDescent="0.2">
      <c r="D125" s="330"/>
      <c r="E125" s="330"/>
    </row>
    <row r="126" spans="4:5" x14ac:dyDescent="0.2">
      <c r="D126" s="330"/>
      <c r="E126" s="330"/>
    </row>
    <row r="127" spans="4:5" x14ac:dyDescent="0.2">
      <c r="D127" s="330"/>
      <c r="E127" s="330"/>
    </row>
    <row r="128" spans="4:5" x14ac:dyDescent="0.2">
      <c r="D128" s="330"/>
      <c r="E128" s="330"/>
    </row>
    <row r="129" spans="4:5" x14ac:dyDescent="0.2">
      <c r="D129" s="330"/>
      <c r="E129" s="330"/>
    </row>
    <row r="130" spans="4:5" x14ac:dyDescent="0.2">
      <c r="D130" s="330"/>
      <c r="E130" s="330"/>
    </row>
    <row r="131" spans="4:5" x14ac:dyDescent="0.2">
      <c r="D131" s="330"/>
      <c r="E131" s="330"/>
    </row>
    <row r="132" spans="4:5" x14ac:dyDescent="0.2">
      <c r="D132" s="330"/>
      <c r="E132" s="330"/>
    </row>
    <row r="133" spans="4:5" x14ac:dyDescent="0.2">
      <c r="D133" s="330"/>
      <c r="E133" s="330"/>
    </row>
    <row r="134" spans="4:5" x14ac:dyDescent="0.2">
      <c r="D134" s="330"/>
      <c r="E134" s="330"/>
    </row>
    <row r="135" spans="4:5" x14ac:dyDescent="0.2">
      <c r="D135" s="330"/>
      <c r="E135" s="330"/>
    </row>
    <row r="136" spans="4:5" x14ac:dyDescent="0.2">
      <c r="D136" s="330"/>
      <c r="E136" s="330"/>
    </row>
    <row r="137" spans="4:5" x14ac:dyDescent="0.2">
      <c r="D137" s="330"/>
      <c r="E137" s="330"/>
    </row>
    <row r="138" spans="4:5" x14ac:dyDescent="0.2">
      <c r="D138" s="330"/>
      <c r="E138" s="330"/>
    </row>
    <row r="139" spans="4:5" x14ac:dyDescent="0.2">
      <c r="D139" s="330"/>
      <c r="E139" s="330"/>
    </row>
    <row r="140" spans="4:5" x14ac:dyDescent="0.2">
      <c r="D140" s="330"/>
      <c r="E140" s="330"/>
    </row>
    <row r="141" spans="4:5" x14ac:dyDescent="0.2">
      <c r="D141" s="330"/>
      <c r="E141" s="330"/>
    </row>
    <row r="142" spans="4:5" x14ac:dyDescent="0.2">
      <c r="D142" s="330"/>
      <c r="E142" s="330"/>
    </row>
    <row r="143" spans="4:5" x14ac:dyDescent="0.2">
      <c r="D143" s="330"/>
      <c r="E143" s="330"/>
    </row>
    <row r="144" spans="4:5" x14ac:dyDescent="0.2">
      <c r="D144" s="330"/>
      <c r="E144" s="330"/>
    </row>
    <row r="145" spans="4:5" x14ac:dyDescent="0.2">
      <c r="D145" s="460"/>
      <c r="E145" s="460"/>
    </row>
    <row r="146" spans="4:5" x14ac:dyDescent="0.2">
      <c r="D146" s="460"/>
      <c r="E146" s="460"/>
    </row>
    <row r="147" spans="4:5" x14ac:dyDescent="0.2">
      <c r="D147" s="460"/>
      <c r="E147" s="460"/>
    </row>
    <row r="148" spans="4:5" x14ac:dyDescent="0.2">
      <c r="D148" s="460"/>
      <c r="E148" s="460"/>
    </row>
    <row r="149" spans="4:5" x14ac:dyDescent="0.2">
      <c r="D149" s="460"/>
      <c r="E149" s="460"/>
    </row>
    <row r="150" spans="4:5" x14ac:dyDescent="0.2">
      <c r="D150" s="460"/>
      <c r="E150" s="460"/>
    </row>
    <row r="151" spans="4:5" x14ac:dyDescent="0.2">
      <c r="D151" s="460"/>
      <c r="E151" s="460"/>
    </row>
  </sheetData>
  <mergeCells count="1">
    <mergeCell ref="A2:C2"/>
  </mergeCells>
  <phoneticPr fontId="2" type="noConversion"/>
  <hyperlinks>
    <hyperlink ref="A2" location="Index!A1" display="Back to Index" xr:uid="{A1122E2B-B945-4DDF-9C31-E1F920304AC0}"/>
  </hyperlinks>
  <pageMargins left="0.17" right="0.17" top="1" bottom="1" header="0.5" footer="0.5"/>
  <pageSetup scale="95"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BAFC-A0DC-4458-AD94-74F1B90BB778}">
  <sheetPr>
    <tabColor rgb="FF132EF9"/>
    <pageSetUpPr fitToPage="1"/>
  </sheetPr>
  <dimension ref="A1:L150"/>
  <sheetViews>
    <sheetView showGridLines="0" zoomScale="90" zoomScaleNormal="90" zoomScaleSheetLayoutView="85" workbookViewId="0">
      <pane ySplit="2" topLeftCell="A3" activePane="bottomLeft" state="frozen"/>
      <selection pane="bottomLeft"/>
    </sheetView>
  </sheetViews>
  <sheetFormatPr defaultColWidth="9.42578125" defaultRowHeight="14.25" x14ac:dyDescent="0.2"/>
  <cols>
    <col min="1" max="1" width="4" style="323" customWidth="1"/>
    <col min="2" max="2" width="4.42578125" style="323" customWidth="1"/>
    <col min="3" max="3" width="43" style="357" customWidth="1"/>
    <col min="4" max="5" width="11.42578125" style="8" customWidth="1"/>
    <col min="6" max="8" width="11.42578125" style="323" customWidth="1"/>
    <col min="9" max="9" width="2.5703125" style="323" customWidth="1"/>
    <col min="10" max="12" width="11.42578125" style="323" customWidth="1"/>
    <col min="13" max="16384" width="9.42578125" style="323"/>
  </cols>
  <sheetData>
    <row r="1" spans="1:12" s="4" customFormat="1" ht="20.25" x14ac:dyDescent="0.3">
      <c r="A1" s="3" t="s">
        <v>22</v>
      </c>
      <c r="D1" s="366"/>
      <c r="E1" s="366"/>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6.75" customHeight="1" x14ac:dyDescent="0.25">
      <c r="A3" s="328"/>
      <c r="D3" s="237"/>
      <c r="E3" s="511"/>
      <c r="J3" s="237"/>
      <c r="K3" s="511"/>
    </row>
    <row r="4" spans="1:12" s="376" customFormat="1" ht="14.25" customHeight="1" x14ac:dyDescent="0.25">
      <c r="A4" s="352" t="s">
        <v>68</v>
      </c>
      <c r="D4" s="168"/>
      <c r="E4" s="332"/>
      <c r="G4" s="390"/>
      <c r="H4" s="390"/>
      <c r="J4" s="168"/>
      <c r="K4" s="24"/>
    </row>
    <row r="5" spans="1:12" x14ac:dyDescent="0.2">
      <c r="B5" s="513" t="s">
        <v>37</v>
      </c>
      <c r="C5" s="323"/>
      <c r="D5" s="133">
        <v>21</v>
      </c>
      <c r="E5" s="189">
        <v>-15</v>
      </c>
      <c r="F5" s="204">
        <v>-302</v>
      </c>
      <c r="G5" s="333" t="s">
        <v>117</v>
      </c>
      <c r="H5" s="333" t="s">
        <v>117</v>
      </c>
      <c r="J5" s="199">
        <v>6</v>
      </c>
      <c r="K5" s="539">
        <v>-619</v>
      </c>
      <c r="L5" s="333" t="s">
        <v>117</v>
      </c>
    </row>
    <row r="6" spans="1:12" x14ac:dyDescent="0.2">
      <c r="B6" s="538" t="s">
        <v>38</v>
      </c>
      <c r="C6" s="408"/>
      <c r="D6" s="133">
        <v>0</v>
      </c>
      <c r="E6" s="144">
        <v>0</v>
      </c>
      <c r="F6" s="204">
        <v>0</v>
      </c>
      <c r="G6" s="333">
        <v>0</v>
      </c>
      <c r="H6" s="333">
        <v>0</v>
      </c>
      <c r="J6" s="199">
        <v>0</v>
      </c>
      <c r="K6" s="539">
        <v>0</v>
      </c>
      <c r="L6" s="333">
        <v>0</v>
      </c>
    </row>
    <row r="7" spans="1:12" x14ac:dyDescent="0.2">
      <c r="B7" s="538" t="s">
        <v>85</v>
      </c>
      <c r="C7" s="408"/>
      <c r="D7" s="133">
        <v>572</v>
      </c>
      <c r="E7" s="189">
        <v>796</v>
      </c>
      <c r="F7" s="204">
        <v>791</v>
      </c>
      <c r="G7" s="333">
        <v>-27.686472819216178</v>
      </c>
      <c r="H7" s="333">
        <v>-28.140703517587941</v>
      </c>
      <c r="J7" s="199">
        <v>1368</v>
      </c>
      <c r="K7" s="539">
        <v>1541</v>
      </c>
      <c r="L7" s="333">
        <v>-11.226476314081768</v>
      </c>
    </row>
    <row r="8" spans="1:12" s="331" customFormat="1" ht="15" x14ac:dyDescent="0.25">
      <c r="B8" s="551" t="s">
        <v>40</v>
      </c>
      <c r="D8" s="107">
        <v>593</v>
      </c>
      <c r="E8" s="149">
        <v>781</v>
      </c>
      <c r="F8" s="254">
        <v>489</v>
      </c>
      <c r="G8" s="333">
        <v>21.267893660531701</v>
      </c>
      <c r="H8" s="333">
        <v>-24.071702944942388</v>
      </c>
      <c r="J8" s="198">
        <v>1374</v>
      </c>
      <c r="K8" s="541">
        <v>922</v>
      </c>
      <c r="L8" s="333">
        <v>49.02386117136659</v>
      </c>
    </row>
    <row r="9" spans="1:12" x14ac:dyDescent="0.2">
      <c r="B9" s="513" t="s">
        <v>7</v>
      </c>
      <c r="C9" s="323"/>
      <c r="D9" s="133">
        <v>422</v>
      </c>
      <c r="E9" s="189">
        <v>388</v>
      </c>
      <c r="F9" s="204">
        <v>384</v>
      </c>
      <c r="G9" s="333">
        <v>9.895833333333325</v>
      </c>
      <c r="H9" s="333">
        <v>8.7628865979381345</v>
      </c>
      <c r="J9" s="199">
        <v>810</v>
      </c>
      <c r="K9" s="539">
        <v>737</v>
      </c>
      <c r="L9" s="333">
        <v>9.9050203527815572</v>
      </c>
    </row>
    <row r="10" spans="1:12" x14ac:dyDescent="0.2">
      <c r="B10" s="513" t="s">
        <v>42</v>
      </c>
      <c r="C10" s="323"/>
      <c r="D10" s="133">
        <v>0</v>
      </c>
      <c r="E10" s="189">
        <v>0</v>
      </c>
      <c r="F10" s="204">
        <v>0</v>
      </c>
      <c r="G10" s="333">
        <v>0</v>
      </c>
      <c r="H10" s="333">
        <v>0</v>
      </c>
      <c r="J10" s="206">
        <v>0</v>
      </c>
      <c r="K10" s="256">
        <v>0</v>
      </c>
      <c r="L10" s="333">
        <v>0</v>
      </c>
    </row>
    <row r="11" spans="1:12" x14ac:dyDescent="0.2">
      <c r="B11" s="513" t="s">
        <v>8</v>
      </c>
      <c r="C11" s="323"/>
      <c r="D11" s="133">
        <v>-1</v>
      </c>
      <c r="E11" s="189">
        <v>0</v>
      </c>
      <c r="F11" s="204">
        <v>0</v>
      </c>
      <c r="G11" s="333" t="s">
        <v>117</v>
      </c>
      <c r="H11" s="333" t="s">
        <v>117</v>
      </c>
      <c r="J11" s="199">
        <v>-1</v>
      </c>
      <c r="K11" s="539">
        <v>2</v>
      </c>
      <c r="L11" s="333" t="s">
        <v>117</v>
      </c>
    </row>
    <row r="12" spans="1:12" x14ac:dyDescent="0.2">
      <c r="B12" s="513" t="s">
        <v>43</v>
      </c>
      <c r="C12" s="323"/>
      <c r="D12" s="133">
        <v>3</v>
      </c>
      <c r="E12" s="189">
        <v>0</v>
      </c>
      <c r="F12" s="204">
        <v>4</v>
      </c>
      <c r="G12" s="333">
        <v>-25</v>
      </c>
      <c r="H12" s="333" t="s">
        <v>117</v>
      </c>
      <c r="J12" s="206">
        <v>3</v>
      </c>
      <c r="K12" s="256">
        <v>2</v>
      </c>
      <c r="L12" s="333">
        <v>50</v>
      </c>
    </row>
    <row r="13" spans="1:12" s="331" customFormat="1" ht="15" x14ac:dyDescent="0.25">
      <c r="B13" s="376" t="s">
        <v>44</v>
      </c>
      <c r="D13" s="107">
        <v>175</v>
      </c>
      <c r="E13" s="149">
        <v>393</v>
      </c>
      <c r="F13" s="254">
        <v>109</v>
      </c>
      <c r="G13" s="333">
        <v>60.550458715596321</v>
      </c>
      <c r="H13" s="333">
        <v>-55.470737913486005</v>
      </c>
      <c r="J13" s="198">
        <v>568</v>
      </c>
      <c r="K13" s="541">
        <v>185</v>
      </c>
      <c r="L13" s="333" t="s">
        <v>500</v>
      </c>
    </row>
    <row r="14" spans="1:12" x14ac:dyDescent="0.2">
      <c r="C14" s="323"/>
      <c r="D14" s="133"/>
      <c r="E14" s="189"/>
      <c r="F14" s="218"/>
      <c r="G14" s="542"/>
      <c r="H14" s="542"/>
      <c r="J14" s="199"/>
      <c r="K14" s="543"/>
    </row>
    <row r="15" spans="1:12" s="376" customFormat="1" ht="14.25" customHeight="1" x14ac:dyDescent="0.25">
      <c r="A15" s="328" t="s">
        <v>234</v>
      </c>
      <c r="D15" s="133"/>
      <c r="E15" s="189"/>
      <c r="F15" s="255"/>
      <c r="G15" s="544"/>
      <c r="H15" s="544"/>
      <c r="J15" s="199"/>
      <c r="K15" s="543"/>
    </row>
    <row r="16" spans="1:12" x14ac:dyDescent="0.2">
      <c r="B16" s="513" t="s">
        <v>341</v>
      </c>
      <c r="C16" s="323"/>
      <c r="D16" s="133">
        <v>243592</v>
      </c>
      <c r="E16" s="189">
        <v>230709</v>
      </c>
      <c r="F16" s="204">
        <v>234398</v>
      </c>
      <c r="G16" s="333">
        <v>3.9223884162834066</v>
      </c>
      <c r="H16" s="333">
        <v>5.5840907810271734</v>
      </c>
      <c r="J16" s="199">
        <v>243592</v>
      </c>
      <c r="K16" s="539">
        <v>234398</v>
      </c>
      <c r="L16" s="333">
        <v>3.9223884162834066</v>
      </c>
    </row>
    <row r="17" spans="2:12" x14ac:dyDescent="0.2">
      <c r="B17" s="513" t="s">
        <v>51</v>
      </c>
      <c r="C17" s="323"/>
      <c r="D17" s="133">
        <v>155123</v>
      </c>
      <c r="E17" s="189">
        <v>148728</v>
      </c>
      <c r="F17" s="204">
        <v>150756</v>
      </c>
      <c r="G17" s="333">
        <v>2.8967337950065009</v>
      </c>
      <c r="H17" s="333">
        <v>4.2997956000215165</v>
      </c>
      <c r="J17" s="199">
        <v>155123</v>
      </c>
      <c r="K17" s="539">
        <v>150756</v>
      </c>
      <c r="L17" s="333">
        <v>2.8967337950065009</v>
      </c>
    </row>
    <row r="18" spans="2:12" x14ac:dyDescent="0.2">
      <c r="B18" s="513" t="s">
        <v>235</v>
      </c>
      <c r="C18" s="323"/>
      <c r="D18" s="133">
        <v>18</v>
      </c>
      <c r="E18" s="189">
        <v>11</v>
      </c>
      <c r="F18" s="204">
        <v>17</v>
      </c>
      <c r="G18" s="333">
        <v>5.8823529411764719</v>
      </c>
      <c r="H18" s="333">
        <v>63.636363636363647</v>
      </c>
      <c r="J18" s="199">
        <v>29</v>
      </c>
      <c r="K18" s="539">
        <v>23</v>
      </c>
      <c r="L18" s="333">
        <v>26.086956521739136</v>
      </c>
    </row>
    <row r="19" spans="2:12" x14ac:dyDescent="0.2">
      <c r="B19" s="513" t="s">
        <v>236</v>
      </c>
      <c r="C19" s="323"/>
      <c r="D19" s="133">
        <v>3</v>
      </c>
      <c r="E19" s="189">
        <v>2</v>
      </c>
      <c r="F19" s="204">
        <v>2</v>
      </c>
      <c r="G19" s="333">
        <v>50</v>
      </c>
      <c r="H19" s="333">
        <v>50</v>
      </c>
      <c r="J19" s="199">
        <v>5</v>
      </c>
      <c r="K19" s="539">
        <v>3</v>
      </c>
      <c r="L19" s="333">
        <v>66.666666666666671</v>
      </c>
    </row>
    <row r="20" spans="2:12" x14ac:dyDescent="0.2">
      <c r="C20" s="323"/>
      <c r="D20" s="329"/>
      <c r="F20" s="547"/>
      <c r="G20" s="552"/>
      <c r="H20" s="408"/>
    </row>
    <row r="21" spans="2:12" x14ac:dyDescent="0.2">
      <c r="C21" s="323"/>
      <c r="D21" s="329"/>
      <c r="F21" s="547"/>
      <c r="G21" s="552"/>
      <c r="H21" s="408"/>
    </row>
    <row r="22" spans="2:12" x14ac:dyDescent="0.2">
      <c r="B22" s="70" t="s">
        <v>156</v>
      </c>
      <c r="C22" s="70" t="s">
        <v>118</v>
      </c>
      <c r="D22" s="329"/>
      <c r="E22" s="330"/>
      <c r="G22" s="408"/>
      <c r="H22" s="408"/>
    </row>
    <row r="23" spans="2:12" x14ac:dyDescent="0.2">
      <c r="B23" s="545"/>
      <c r="C23" s="546"/>
      <c r="D23" s="330"/>
      <c r="E23" s="330"/>
      <c r="F23" s="549"/>
    </row>
    <row r="24" spans="2:12" x14ac:dyDescent="0.2">
      <c r="D24" s="329"/>
      <c r="E24" s="330"/>
      <c r="G24" s="408"/>
      <c r="H24" s="408"/>
    </row>
    <row r="25" spans="2:12" x14ac:dyDescent="0.2">
      <c r="D25" s="329"/>
      <c r="E25" s="330"/>
      <c r="G25" s="408"/>
      <c r="H25" s="408"/>
    </row>
    <row r="26" spans="2:12" x14ac:dyDescent="0.2">
      <c r="D26" s="329"/>
      <c r="E26" s="330"/>
      <c r="G26" s="408"/>
      <c r="H26" s="408"/>
    </row>
    <row r="27" spans="2:12" x14ac:dyDescent="0.2">
      <c r="D27" s="329"/>
      <c r="E27" s="330"/>
      <c r="G27" s="408"/>
      <c r="H27" s="408"/>
    </row>
    <row r="28" spans="2:12" x14ac:dyDescent="0.2">
      <c r="D28" s="329"/>
      <c r="E28" s="330"/>
      <c r="G28" s="408"/>
      <c r="H28" s="408"/>
    </row>
    <row r="29" spans="2:12" x14ac:dyDescent="0.2">
      <c r="D29" s="329"/>
      <c r="E29" s="330"/>
      <c r="G29" s="408"/>
      <c r="H29" s="408"/>
    </row>
    <row r="30" spans="2:12" x14ac:dyDescent="0.2">
      <c r="D30" s="329"/>
      <c r="E30" s="330"/>
      <c r="G30" s="408"/>
      <c r="H30" s="408"/>
    </row>
    <row r="31" spans="2:12" x14ac:dyDescent="0.2">
      <c r="D31" s="329"/>
      <c r="E31" s="330"/>
      <c r="G31" s="408"/>
      <c r="H31" s="408"/>
    </row>
    <row r="32" spans="2:12" x14ac:dyDescent="0.2">
      <c r="D32" s="329"/>
      <c r="E32" s="330"/>
      <c r="G32" s="408"/>
      <c r="H32" s="408"/>
    </row>
    <row r="33" spans="4:8" x14ac:dyDescent="0.2">
      <c r="D33" s="329"/>
      <c r="E33" s="330"/>
      <c r="G33" s="408"/>
      <c r="H33" s="408"/>
    </row>
    <row r="34" spans="4:8" x14ac:dyDescent="0.2">
      <c r="D34" s="329"/>
      <c r="E34" s="330"/>
      <c r="G34" s="408"/>
      <c r="H34" s="408"/>
    </row>
    <row r="35" spans="4:8" x14ac:dyDescent="0.2">
      <c r="D35" s="329"/>
      <c r="E35" s="330"/>
    </row>
    <row r="36" spans="4:8" x14ac:dyDescent="0.2">
      <c r="D36" s="329"/>
      <c r="E36" s="330"/>
    </row>
    <row r="37" spans="4:8" x14ac:dyDescent="0.2">
      <c r="D37" s="329"/>
      <c r="E37" s="330"/>
    </row>
    <row r="38" spans="4:8" x14ac:dyDescent="0.2">
      <c r="D38" s="329"/>
      <c r="E38" s="330"/>
    </row>
    <row r="39" spans="4:8" x14ac:dyDescent="0.2">
      <c r="D39" s="329"/>
      <c r="E39" s="330"/>
    </row>
    <row r="40" spans="4:8" x14ac:dyDescent="0.2">
      <c r="D40" s="329"/>
      <c r="E40" s="330"/>
    </row>
    <row r="41" spans="4:8" x14ac:dyDescent="0.2">
      <c r="D41" s="330"/>
      <c r="E41" s="330"/>
    </row>
    <row r="42" spans="4:8" x14ac:dyDescent="0.2">
      <c r="D42" s="330"/>
      <c r="E42" s="330"/>
    </row>
    <row r="43" spans="4:8" x14ac:dyDescent="0.2">
      <c r="D43" s="330"/>
      <c r="E43" s="330"/>
    </row>
    <row r="44" spans="4:8" x14ac:dyDescent="0.2">
      <c r="D44" s="330"/>
      <c r="E44" s="330"/>
    </row>
    <row r="45" spans="4:8" x14ac:dyDescent="0.2">
      <c r="D45" s="330"/>
      <c r="E45" s="330"/>
    </row>
    <row r="46" spans="4:8" x14ac:dyDescent="0.2">
      <c r="D46" s="330"/>
      <c r="E46" s="330"/>
    </row>
    <row r="47" spans="4:8" x14ac:dyDescent="0.2">
      <c r="D47" s="330"/>
      <c r="E47" s="330"/>
    </row>
    <row r="48" spans="4:8" x14ac:dyDescent="0.2">
      <c r="D48" s="330"/>
      <c r="E48" s="330"/>
    </row>
    <row r="49" spans="4:5" x14ac:dyDescent="0.2">
      <c r="D49" s="330"/>
      <c r="E49" s="330"/>
    </row>
    <row r="50" spans="4:5" x14ac:dyDescent="0.2">
      <c r="D50" s="330"/>
      <c r="E50" s="330"/>
    </row>
    <row r="51" spans="4:5" x14ac:dyDescent="0.2">
      <c r="D51" s="330"/>
      <c r="E51" s="330"/>
    </row>
    <row r="52" spans="4:5" x14ac:dyDescent="0.2">
      <c r="D52" s="330"/>
      <c r="E52" s="330"/>
    </row>
    <row r="53" spans="4:5" x14ac:dyDescent="0.2">
      <c r="D53" s="330"/>
      <c r="E53" s="330"/>
    </row>
    <row r="54" spans="4:5" x14ac:dyDescent="0.2">
      <c r="D54" s="330"/>
      <c r="E54" s="330"/>
    </row>
    <row r="55" spans="4:5" x14ac:dyDescent="0.2">
      <c r="D55" s="330"/>
      <c r="E55" s="330"/>
    </row>
    <row r="56" spans="4:5" x14ac:dyDescent="0.2">
      <c r="D56" s="330"/>
      <c r="E56" s="330"/>
    </row>
    <row r="57" spans="4:5" x14ac:dyDescent="0.2">
      <c r="D57" s="330"/>
      <c r="E57" s="330"/>
    </row>
    <row r="58" spans="4:5" x14ac:dyDescent="0.2">
      <c r="D58" s="330"/>
      <c r="E58" s="330"/>
    </row>
    <row r="59" spans="4:5" x14ac:dyDescent="0.2">
      <c r="D59" s="330"/>
      <c r="E59" s="330"/>
    </row>
    <row r="60" spans="4:5" x14ac:dyDescent="0.2">
      <c r="D60" s="330"/>
      <c r="E60" s="330"/>
    </row>
    <row r="61" spans="4:5" x14ac:dyDescent="0.2">
      <c r="D61" s="330"/>
      <c r="E61" s="330"/>
    </row>
    <row r="62" spans="4:5" x14ac:dyDescent="0.2">
      <c r="D62" s="330"/>
      <c r="E62" s="330"/>
    </row>
    <row r="63" spans="4:5" x14ac:dyDescent="0.2">
      <c r="D63" s="330"/>
      <c r="E63" s="330"/>
    </row>
    <row r="64" spans="4:5" x14ac:dyDescent="0.2">
      <c r="D64" s="330"/>
      <c r="E64" s="330"/>
    </row>
    <row r="65" spans="4:5" x14ac:dyDescent="0.2">
      <c r="D65" s="330"/>
      <c r="E65" s="330"/>
    </row>
    <row r="66" spans="4:5" x14ac:dyDescent="0.2">
      <c r="D66" s="330"/>
      <c r="E66" s="330"/>
    </row>
    <row r="67" spans="4:5" x14ac:dyDescent="0.2">
      <c r="D67" s="330"/>
      <c r="E67" s="330"/>
    </row>
    <row r="68" spans="4:5" x14ac:dyDescent="0.2">
      <c r="D68" s="330"/>
      <c r="E68" s="330"/>
    </row>
    <row r="69" spans="4:5" x14ac:dyDescent="0.2">
      <c r="D69" s="330"/>
      <c r="E69" s="330"/>
    </row>
    <row r="70" spans="4:5" x14ac:dyDescent="0.2">
      <c r="D70" s="330"/>
      <c r="E70" s="330"/>
    </row>
    <row r="71" spans="4:5" x14ac:dyDescent="0.2">
      <c r="D71" s="330"/>
      <c r="E71" s="330"/>
    </row>
    <row r="72" spans="4:5" x14ac:dyDescent="0.2">
      <c r="D72" s="330"/>
      <c r="E72" s="330"/>
    </row>
    <row r="73" spans="4:5" x14ac:dyDescent="0.2">
      <c r="D73" s="330"/>
      <c r="E73" s="330"/>
    </row>
    <row r="74" spans="4:5" x14ac:dyDescent="0.2">
      <c r="D74" s="330"/>
      <c r="E74" s="330"/>
    </row>
    <row r="75" spans="4:5" x14ac:dyDescent="0.2">
      <c r="D75" s="330"/>
      <c r="E75" s="330"/>
    </row>
    <row r="76" spans="4:5" x14ac:dyDescent="0.2">
      <c r="D76" s="330"/>
      <c r="E76" s="330"/>
    </row>
    <row r="77" spans="4:5" x14ac:dyDescent="0.2">
      <c r="D77" s="330"/>
      <c r="E77" s="330"/>
    </row>
    <row r="78" spans="4:5" x14ac:dyDescent="0.2">
      <c r="D78" s="330"/>
      <c r="E78" s="330"/>
    </row>
    <row r="79" spans="4:5" x14ac:dyDescent="0.2">
      <c r="D79" s="330"/>
      <c r="E79" s="330"/>
    </row>
    <row r="80" spans="4:5" x14ac:dyDescent="0.2">
      <c r="D80" s="330"/>
      <c r="E80" s="330"/>
    </row>
    <row r="81" spans="4:5" x14ac:dyDescent="0.2">
      <c r="D81" s="330"/>
      <c r="E81" s="330"/>
    </row>
    <row r="82" spans="4:5" x14ac:dyDescent="0.2">
      <c r="D82" s="330"/>
      <c r="E82" s="330"/>
    </row>
    <row r="83" spans="4:5" x14ac:dyDescent="0.2">
      <c r="D83" s="330"/>
      <c r="E83" s="330"/>
    </row>
    <row r="84" spans="4:5" x14ac:dyDescent="0.2">
      <c r="D84" s="330"/>
      <c r="E84" s="330"/>
    </row>
    <row r="85" spans="4:5" x14ac:dyDescent="0.2">
      <c r="D85" s="330"/>
      <c r="E85" s="330"/>
    </row>
    <row r="86" spans="4:5" x14ac:dyDescent="0.2">
      <c r="D86" s="330"/>
      <c r="E86" s="330"/>
    </row>
    <row r="87" spans="4:5" x14ac:dyDescent="0.2">
      <c r="D87" s="330"/>
      <c r="E87" s="330"/>
    </row>
    <row r="88" spans="4:5" x14ac:dyDescent="0.2">
      <c r="D88" s="330"/>
      <c r="E88" s="330"/>
    </row>
    <row r="89" spans="4:5" x14ac:dyDescent="0.2">
      <c r="D89" s="330"/>
      <c r="E89" s="330"/>
    </row>
    <row r="90" spans="4:5" x14ac:dyDescent="0.2">
      <c r="D90" s="330"/>
      <c r="E90" s="330"/>
    </row>
    <row r="91" spans="4:5" x14ac:dyDescent="0.2">
      <c r="D91" s="330"/>
      <c r="E91" s="330"/>
    </row>
    <row r="92" spans="4:5" x14ac:dyDescent="0.2">
      <c r="D92" s="330"/>
      <c r="E92" s="330"/>
    </row>
    <row r="93" spans="4:5" x14ac:dyDescent="0.2">
      <c r="D93" s="330"/>
      <c r="E93" s="330"/>
    </row>
    <row r="94" spans="4:5" x14ac:dyDescent="0.2">
      <c r="D94" s="330"/>
      <c r="E94" s="330"/>
    </row>
    <row r="95" spans="4:5" x14ac:dyDescent="0.2">
      <c r="D95" s="330"/>
      <c r="E95" s="330"/>
    </row>
    <row r="96" spans="4:5" x14ac:dyDescent="0.2">
      <c r="D96" s="330"/>
      <c r="E96" s="330"/>
    </row>
    <row r="97" spans="4:5" x14ac:dyDescent="0.2">
      <c r="D97" s="330"/>
      <c r="E97" s="330"/>
    </row>
    <row r="98" spans="4:5" x14ac:dyDescent="0.2">
      <c r="D98" s="330"/>
      <c r="E98" s="330"/>
    </row>
    <row r="99" spans="4:5" x14ac:dyDescent="0.2">
      <c r="D99" s="330"/>
      <c r="E99" s="330"/>
    </row>
    <row r="100" spans="4:5" x14ac:dyDescent="0.2">
      <c r="D100" s="330"/>
      <c r="E100" s="330"/>
    </row>
    <row r="101" spans="4:5" x14ac:dyDescent="0.2">
      <c r="D101" s="330"/>
      <c r="E101" s="330"/>
    </row>
    <row r="102" spans="4:5" x14ac:dyDescent="0.2">
      <c r="D102" s="330"/>
      <c r="E102" s="330"/>
    </row>
    <row r="103" spans="4:5" x14ac:dyDescent="0.2">
      <c r="D103" s="330"/>
      <c r="E103" s="330"/>
    </row>
    <row r="104" spans="4:5" x14ac:dyDescent="0.2">
      <c r="D104" s="330"/>
      <c r="E104" s="330"/>
    </row>
    <row r="105" spans="4:5" x14ac:dyDescent="0.2">
      <c r="D105" s="330"/>
      <c r="E105" s="330"/>
    </row>
    <row r="106" spans="4:5" x14ac:dyDescent="0.2">
      <c r="D106" s="330"/>
      <c r="E106" s="330"/>
    </row>
    <row r="107" spans="4:5" x14ac:dyDescent="0.2">
      <c r="D107" s="330"/>
      <c r="E107" s="330"/>
    </row>
    <row r="108" spans="4:5" x14ac:dyDescent="0.2">
      <c r="D108" s="330"/>
      <c r="E108" s="330"/>
    </row>
    <row r="109" spans="4:5" x14ac:dyDescent="0.2">
      <c r="D109" s="330"/>
      <c r="E109" s="330"/>
    </row>
    <row r="110" spans="4:5" x14ac:dyDescent="0.2">
      <c r="D110" s="330"/>
      <c r="E110" s="330"/>
    </row>
    <row r="111" spans="4:5" x14ac:dyDescent="0.2">
      <c r="D111" s="330"/>
      <c r="E111" s="330"/>
    </row>
    <row r="112" spans="4:5" x14ac:dyDescent="0.2">
      <c r="D112" s="330"/>
      <c r="E112" s="330"/>
    </row>
    <row r="113" spans="4:5" x14ac:dyDescent="0.2">
      <c r="D113" s="330"/>
      <c r="E113" s="330"/>
    </row>
    <row r="114" spans="4:5" x14ac:dyDescent="0.2">
      <c r="D114" s="330"/>
      <c r="E114" s="330"/>
    </row>
    <row r="115" spans="4:5" x14ac:dyDescent="0.2">
      <c r="D115" s="330"/>
      <c r="E115" s="330"/>
    </row>
    <row r="116" spans="4:5" x14ac:dyDescent="0.2">
      <c r="D116" s="330"/>
      <c r="E116" s="330"/>
    </row>
    <row r="117" spans="4:5" x14ac:dyDescent="0.2">
      <c r="D117" s="330"/>
      <c r="E117" s="330"/>
    </row>
    <row r="118" spans="4:5" x14ac:dyDescent="0.2">
      <c r="D118" s="330"/>
      <c r="E118" s="330"/>
    </row>
    <row r="119" spans="4:5" x14ac:dyDescent="0.2">
      <c r="D119" s="330"/>
      <c r="E119" s="330"/>
    </row>
    <row r="120" spans="4:5" x14ac:dyDescent="0.2">
      <c r="D120" s="330"/>
      <c r="E120" s="330"/>
    </row>
    <row r="121" spans="4:5" x14ac:dyDescent="0.2">
      <c r="D121" s="330"/>
      <c r="E121" s="330"/>
    </row>
    <row r="122" spans="4:5" x14ac:dyDescent="0.2">
      <c r="D122" s="330"/>
      <c r="E122" s="330"/>
    </row>
    <row r="123" spans="4:5" x14ac:dyDescent="0.2">
      <c r="D123" s="330"/>
      <c r="E123" s="330"/>
    </row>
    <row r="124" spans="4:5" x14ac:dyDescent="0.2">
      <c r="D124" s="330"/>
      <c r="E124" s="330"/>
    </row>
    <row r="125" spans="4:5" x14ac:dyDescent="0.2">
      <c r="D125" s="330"/>
      <c r="E125" s="330"/>
    </row>
    <row r="126" spans="4:5" x14ac:dyDescent="0.2">
      <c r="D126" s="330"/>
      <c r="E126" s="330"/>
    </row>
    <row r="127" spans="4:5" x14ac:dyDescent="0.2">
      <c r="D127" s="330"/>
      <c r="E127" s="330"/>
    </row>
    <row r="128" spans="4:5" x14ac:dyDescent="0.2">
      <c r="D128" s="330"/>
      <c r="E128" s="330"/>
    </row>
    <row r="129" spans="4:5" x14ac:dyDescent="0.2">
      <c r="D129" s="330"/>
      <c r="E129" s="330"/>
    </row>
    <row r="130" spans="4:5" x14ac:dyDescent="0.2">
      <c r="D130" s="330"/>
      <c r="E130" s="330"/>
    </row>
    <row r="131" spans="4:5" x14ac:dyDescent="0.2">
      <c r="D131" s="330"/>
      <c r="E131" s="330"/>
    </row>
    <row r="132" spans="4:5" x14ac:dyDescent="0.2">
      <c r="D132" s="330"/>
      <c r="E132" s="330"/>
    </row>
    <row r="133" spans="4:5" x14ac:dyDescent="0.2">
      <c r="D133" s="330"/>
      <c r="E133" s="330"/>
    </row>
    <row r="134" spans="4:5" x14ac:dyDescent="0.2">
      <c r="D134" s="330"/>
      <c r="E134" s="330"/>
    </row>
    <row r="135" spans="4:5" x14ac:dyDescent="0.2">
      <c r="D135" s="330"/>
      <c r="E135" s="330"/>
    </row>
    <row r="136" spans="4:5" x14ac:dyDescent="0.2">
      <c r="D136" s="330"/>
      <c r="E136" s="330"/>
    </row>
    <row r="137" spans="4:5" x14ac:dyDescent="0.2">
      <c r="D137" s="330"/>
      <c r="E137" s="330"/>
    </row>
    <row r="138" spans="4:5" x14ac:dyDescent="0.2">
      <c r="D138" s="330"/>
      <c r="E138" s="330"/>
    </row>
    <row r="139" spans="4:5" x14ac:dyDescent="0.2">
      <c r="D139" s="330"/>
      <c r="E139" s="330"/>
    </row>
    <row r="140" spans="4:5" x14ac:dyDescent="0.2">
      <c r="D140" s="330"/>
      <c r="E140" s="330"/>
    </row>
    <row r="141" spans="4:5" x14ac:dyDescent="0.2">
      <c r="D141" s="330"/>
      <c r="E141" s="330"/>
    </row>
    <row r="142" spans="4:5" x14ac:dyDescent="0.2">
      <c r="D142" s="330"/>
      <c r="E142" s="330"/>
    </row>
    <row r="143" spans="4:5" x14ac:dyDescent="0.2">
      <c r="D143" s="330"/>
      <c r="E143" s="330"/>
    </row>
    <row r="144" spans="4:5" x14ac:dyDescent="0.2">
      <c r="D144" s="460"/>
      <c r="E144" s="460"/>
    </row>
    <row r="145" spans="4:5" x14ac:dyDescent="0.2">
      <c r="D145" s="460"/>
      <c r="E145" s="460"/>
    </row>
    <row r="146" spans="4:5" x14ac:dyDescent="0.2">
      <c r="D146" s="460"/>
      <c r="E146" s="460"/>
    </row>
    <row r="147" spans="4:5" x14ac:dyDescent="0.2">
      <c r="D147" s="460"/>
      <c r="E147" s="460"/>
    </row>
    <row r="148" spans="4:5" x14ac:dyDescent="0.2">
      <c r="D148" s="460"/>
      <c r="E148" s="460"/>
    </row>
    <row r="149" spans="4:5" x14ac:dyDescent="0.2">
      <c r="D149" s="460"/>
      <c r="E149" s="460"/>
    </row>
    <row r="150" spans="4:5" x14ac:dyDescent="0.2">
      <c r="D150" s="460"/>
      <c r="E150" s="460"/>
    </row>
  </sheetData>
  <mergeCells count="1">
    <mergeCell ref="A2:C2"/>
  </mergeCells>
  <phoneticPr fontId="2" type="noConversion"/>
  <hyperlinks>
    <hyperlink ref="A2" location="Index!A1" display="Back to Index" xr:uid="{0A108795-F9A6-43DB-8AF6-4A760FED68B8}"/>
  </hyperlinks>
  <pageMargins left="0.17" right="0.17" top="1" bottom="1" header="0.5" footer="0.5"/>
  <pageSetup scale="95"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D510D-9EFA-48D8-A767-EDF156C1DD87}">
  <sheetPr>
    <tabColor indexed="12"/>
    <pageSetUpPr fitToPage="1"/>
  </sheetPr>
  <dimension ref="A1:L149"/>
  <sheetViews>
    <sheetView showGridLines="0" zoomScale="90" zoomScaleNormal="90" workbookViewId="0">
      <pane xSplit="3" ySplit="3" topLeftCell="D6" activePane="bottomRight" state="frozen"/>
      <selection pane="topRight" activeCell="L13" sqref="L13"/>
      <selection pane="bottomLeft" activeCell="L13" sqref="L13"/>
      <selection pane="bottomRight"/>
    </sheetView>
  </sheetViews>
  <sheetFormatPr defaultColWidth="9.42578125" defaultRowHeight="14.25" x14ac:dyDescent="0.2"/>
  <cols>
    <col min="1" max="1" width="4" style="323" customWidth="1"/>
    <col min="2" max="2" width="4.42578125" style="323" customWidth="1"/>
    <col min="3" max="3" width="42.42578125" style="357" customWidth="1"/>
    <col min="4" max="5" width="11.42578125" style="8" customWidth="1"/>
    <col min="6" max="8" width="11.42578125" style="323" customWidth="1"/>
    <col min="9" max="9" width="2.5703125" style="323" customWidth="1"/>
    <col min="10" max="12" width="11.42578125" style="323" customWidth="1"/>
    <col min="13" max="16384" width="9.42578125" style="323"/>
  </cols>
  <sheetData>
    <row r="1" spans="1:12" s="4" customFormat="1" ht="20.25" x14ac:dyDescent="0.3">
      <c r="A1" s="3" t="s">
        <v>23</v>
      </c>
      <c r="D1" s="366"/>
      <c r="E1" s="366"/>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6.75" customHeight="1" x14ac:dyDescent="0.25">
      <c r="A3" s="352"/>
      <c r="D3" s="237"/>
      <c r="E3" s="511"/>
      <c r="J3" s="237"/>
      <c r="K3" s="511"/>
    </row>
    <row r="4" spans="1:12" s="376" customFormat="1" ht="14.25" customHeight="1" x14ac:dyDescent="0.25">
      <c r="A4" s="352" t="s">
        <v>79</v>
      </c>
      <c r="D4" s="168"/>
      <c r="E4" s="332"/>
      <c r="J4" s="168"/>
      <c r="K4" s="24"/>
    </row>
    <row r="5" spans="1:12" x14ac:dyDescent="0.2">
      <c r="B5" s="497" t="s">
        <v>37</v>
      </c>
      <c r="D5" s="133">
        <v>1030</v>
      </c>
      <c r="E5" s="333">
        <v>1090</v>
      </c>
      <c r="F5" s="204">
        <v>1083</v>
      </c>
      <c r="G5" s="333">
        <v>-4.8938134810710965</v>
      </c>
      <c r="H5" s="333">
        <v>-5.5045871559633035</v>
      </c>
      <c r="J5" s="199">
        <v>2120</v>
      </c>
      <c r="K5" s="539">
        <v>1844</v>
      </c>
      <c r="L5" s="333">
        <v>14.967462039045554</v>
      </c>
    </row>
    <row r="6" spans="1:12" x14ac:dyDescent="0.2">
      <c r="B6" s="538" t="s">
        <v>38</v>
      </c>
      <c r="C6" s="408"/>
      <c r="D6" s="133">
        <v>-11</v>
      </c>
      <c r="E6" s="333">
        <v>-12</v>
      </c>
      <c r="F6" s="204">
        <v>-13</v>
      </c>
      <c r="G6" s="333">
        <v>15.384615384615385</v>
      </c>
      <c r="H6" s="333">
        <v>8.3333333333333375</v>
      </c>
      <c r="J6" s="199">
        <v>-23</v>
      </c>
      <c r="K6" s="539">
        <v>-22</v>
      </c>
      <c r="L6" s="333">
        <v>-4.5454545454545414</v>
      </c>
    </row>
    <row r="7" spans="1:12" x14ac:dyDescent="0.2">
      <c r="B7" s="538" t="s">
        <v>85</v>
      </c>
      <c r="C7" s="408"/>
      <c r="D7" s="133">
        <v>-6</v>
      </c>
      <c r="E7" s="333">
        <v>-12</v>
      </c>
      <c r="F7" s="204">
        <v>131</v>
      </c>
      <c r="G7" s="333" t="s">
        <v>117</v>
      </c>
      <c r="H7" s="333">
        <v>50</v>
      </c>
      <c r="J7" s="199">
        <v>-18</v>
      </c>
      <c r="K7" s="539">
        <v>239</v>
      </c>
      <c r="L7" s="333" t="s">
        <v>117</v>
      </c>
    </row>
    <row r="8" spans="1:12" s="331" customFormat="1" ht="15" x14ac:dyDescent="0.25">
      <c r="B8" s="553" t="s">
        <v>40</v>
      </c>
      <c r="C8" s="381"/>
      <c r="D8" s="107">
        <v>1013</v>
      </c>
      <c r="E8" s="403">
        <v>1066</v>
      </c>
      <c r="F8" s="254">
        <v>1201</v>
      </c>
      <c r="G8" s="333">
        <v>-15.653621981681932</v>
      </c>
      <c r="H8" s="333">
        <v>-4.971857410881797</v>
      </c>
      <c r="J8" s="198">
        <v>2079</v>
      </c>
      <c r="K8" s="541">
        <v>2061</v>
      </c>
      <c r="L8" s="333">
        <v>0.8733624454148492</v>
      </c>
    </row>
    <row r="9" spans="1:12" x14ac:dyDescent="0.2">
      <c r="B9" s="497" t="s">
        <v>7</v>
      </c>
      <c r="D9" s="133">
        <v>-26</v>
      </c>
      <c r="E9" s="333">
        <v>17</v>
      </c>
      <c r="F9" s="204">
        <v>1</v>
      </c>
      <c r="G9" s="333" t="s">
        <v>117</v>
      </c>
      <c r="H9" s="333" t="s">
        <v>117</v>
      </c>
      <c r="J9" s="199">
        <v>-9</v>
      </c>
      <c r="K9" s="539">
        <v>65</v>
      </c>
      <c r="L9" s="333" t="s">
        <v>117</v>
      </c>
    </row>
    <row r="10" spans="1:12" x14ac:dyDescent="0.2">
      <c r="B10" s="497" t="s">
        <v>42</v>
      </c>
      <c r="D10" s="133">
        <v>11</v>
      </c>
      <c r="E10" s="333">
        <v>12</v>
      </c>
      <c r="F10" s="204">
        <v>11</v>
      </c>
      <c r="G10" s="333">
        <v>0</v>
      </c>
      <c r="H10" s="333">
        <v>-8.3333333333333375</v>
      </c>
      <c r="J10" s="206">
        <v>23</v>
      </c>
      <c r="K10" s="256">
        <v>23</v>
      </c>
      <c r="L10" s="333">
        <v>0</v>
      </c>
    </row>
    <row r="11" spans="1:12" x14ac:dyDescent="0.2">
      <c r="B11" s="497" t="s">
        <v>8</v>
      </c>
      <c r="D11" s="133">
        <v>-175</v>
      </c>
      <c r="E11" s="333">
        <v>227</v>
      </c>
      <c r="F11" s="204">
        <v>128</v>
      </c>
      <c r="G11" s="333" t="s">
        <v>117</v>
      </c>
      <c r="H11" s="333" t="s">
        <v>117</v>
      </c>
      <c r="J11" s="199">
        <v>52</v>
      </c>
      <c r="K11" s="539">
        <v>166</v>
      </c>
      <c r="L11" s="333">
        <v>-68.674698795180717</v>
      </c>
    </row>
    <row r="12" spans="1:12" x14ac:dyDescent="0.2">
      <c r="B12" s="497" t="s">
        <v>43</v>
      </c>
      <c r="D12" s="133">
        <v>110</v>
      </c>
      <c r="E12" s="333">
        <v>136</v>
      </c>
      <c r="F12" s="204">
        <v>119</v>
      </c>
      <c r="G12" s="333">
        <v>-7.5630252100840289</v>
      </c>
      <c r="H12" s="333">
        <v>-19.117647058823529</v>
      </c>
      <c r="J12" s="206">
        <v>246</v>
      </c>
      <c r="K12" s="256">
        <v>228</v>
      </c>
      <c r="L12" s="333">
        <v>7.8947368421052655</v>
      </c>
    </row>
    <row r="13" spans="1:12" s="331" customFormat="1" ht="15" x14ac:dyDescent="0.25">
      <c r="B13" s="1" t="s">
        <v>44</v>
      </c>
      <c r="C13" s="381"/>
      <c r="D13" s="107">
        <v>1313</v>
      </c>
      <c r="E13" s="403">
        <v>946</v>
      </c>
      <c r="F13" s="254">
        <v>1180</v>
      </c>
      <c r="G13" s="333">
        <v>11.271186440677972</v>
      </c>
      <c r="H13" s="333">
        <v>38.794926004228337</v>
      </c>
      <c r="J13" s="198">
        <v>2259</v>
      </c>
      <c r="K13" s="541">
        <v>2035</v>
      </c>
      <c r="L13" s="333">
        <v>11.007371007371013</v>
      </c>
    </row>
    <row r="14" spans="1:12" x14ac:dyDescent="0.2">
      <c r="D14" s="133"/>
      <c r="E14" s="333"/>
      <c r="F14" s="218"/>
      <c r="G14" s="542"/>
      <c r="H14" s="542"/>
      <c r="J14" s="199"/>
      <c r="K14" s="543"/>
    </row>
    <row r="15" spans="1:12" s="376" customFormat="1" ht="14.25" customHeight="1" x14ac:dyDescent="0.25">
      <c r="A15" s="352" t="s">
        <v>234</v>
      </c>
      <c r="D15" s="133"/>
      <c r="E15" s="333"/>
      <c r="F15" s="255"/>
      <c r="G15" s="554"/>
      <c r="H15" s="554"/>
      <c r="J15" s="199"/>
      <c r="K15" s="543"/>
    </row>
    <row r="16" spans="1:12" x14ac:dyDescent="0.2">
      <c r="B16" s="513" t="s">
        <v>341</v>
      </c>
      <c r="D16" s="133">
        <v>164475</v>
      </c>
      <c r="E16" s="333">
        <v>133768</v>
      </c>
      <c r="F16" s="204">
        <v>115431</v>
      </c>
      <c r="G16" s="333">
        <v>42.487719936585492</v>
      </c>
      <c r="H16" s="333">
        <v>22.955415345972142</v>
      </c>
      <c r="J16" s="199">
        <v>164475</v>
      </c>
      <c r="K16" s="539">
        <v>115431</v>
      </c>
      <c r="L16" s="333">
        <v>42.487719936585492</v>
      </c>
    </row>
    <row r="17" spans="2:12" x14ac:dyDescent="0.2">
      <c r="B17" s="497" t="s">
        <v>51</v>
      </c>
      <c r="D17" s="133">
        <v>66120</v>
      </c>
      <c r="E17" s="333">
        <v>62732</v>
      </c>
      <c r="F17" s="204">
        <v>59331</v>
      </c>
      <c r="G17" s="333">
        <v>11.442584820751378</v>
      </c>
      <c r="H17" s="333">
        <v>5.4007524070649682</v>
      </c>
      <c r="J17" s="199">
        <v>66120</v>
      </c>
      <c r="K17" s="539">
        <v>59331</v>
      </c>
      <c r="L17" s="333">
        <v>11.442584820751378</v>
      </c>
    </row>
    <row r="18" spans="2:12" x14ac:dyDescent="0.2">
      <c r="B18" s="497" t="s">
        <v>235</v>
      </c>
      <c r="D18" s="133">
        <v>157</v>
      </c>
      <c r="E18" s="333">
        <v>133</v>
      </c>
      <c r="F18" s="204">
        <v>512</v>
      </c>
      <c r="G18" s="333">
        <v>-69.3359375</v>
      </c>
      <c r="H18" s="333">
        <v>18.045112781954884</v>
      </c>
      <c r="J18" s="199">
        <v>290</v>
      </c>
      <c r="K18" s="539">
        <v>689</v>
      </c>
      <c r="L18" s="333">
        <v>-57.910014513788099</v>
      </c>
    </row>
    <row r="19" spans="2:12" x14ac:dyDescent="0.2">
      <c r="B19" s="497" t="s">
        <v>236</v>
      </c>
      <c r="D19" s="133">
        <v>386</v>
      </c>
      <c r="E19" s="333">
        <v>392</v>
      </c>
      <c r="F19" s="204">
        <v>372</v>
      </c>
      <c r="G19" s="333">
        <v>3.7634408602150504</v>
      </c>
      <c r="H19" s="333">
        <v>-1.5306122448979553</v>
      </c>
      <c r="J19" s="199">
        <v>778</v>
      </c>
      <c r="K19" s="539">
        <v>761</v>
      </c>
      <c r="L19" s="333">
        <v>2.233902759526929</v>
      </c>
    </row>
    <row r="20" spans="2:12" x14ac:dyDescent="0.2">
      <c r="D20" s="329"/>
      <c r="F20" s="555"/>
      <c r="G20" s="408"/>
      <c r="H20" s="408"/>
    </row>
    <row r="21" spans="2:12" x14ac:dyDescent="0.2">
      <c r="D21" s="329"/>
      <c r="F21" s="555"/>
      <c r="G21" s="408"/>
      <c r="H21" s="408"/>
    </row>
    <row r="22" spans="2:12" x14ac:dyDescent="0.2">
      <c r="B22" s="70" t="s">
        <v>156</v>
      </c>
      <c r="C22" s="70" t="s">
        <v>118</v>
      </c>
      <c r="D22" s="329"/>
      <c r="E22" s="330"/>
    </row>
    <row r="23" spans="2:12" x14ac:dyDescent="0.2">
      <c r="B23" s="545" t="s">
        <v>89</v>
      </c>
      <c r="C23" s="546" t="s">
        <v>511</v>
      </c>
      <c r="D23" s="330"/>
      <c r="E23" s="330"/>
      <c r="F23" s="549"/>
    </row>
    <row r="24" spans="2:12" x14ac:dyDescent="0.2">
      <c r="D24" s="330"/>
      <c r="E24" s="330"/>
    </row>
    <row r="25" spans="2:12" x14ac:dyDescent="0.2">
      <c r="D25" s="330"/>
      <c r="E25" s="330"/>
    </row>
    <row r="26" spans="2:12" x14ac:dyDescent="0.2">
      <c r="D26" s="330"/>
      <c r="E26" s="330"/>
    </row>
    <row r="27" spans="2:12" x14ac:dyDescent="0.2">
      <c r="D27" s="330"/>
      <c r="E27" s="330"/>
    </row>
    <row r="28" spans="2:12" x14ac:dyDescent="0.2">
      <c r="D28" s="330"/>
      <c r="E28" s="330"/>
    </row>
    <row r="29" spans="2:12" x14ac:dyDescent="0.2">
      <c r="D29" s="330"/>
      <c r="E29" s="330"/>
    </row>
    <row r="30" spans="2:12" x14ac:dyDescent="0.2">
      <c r="D30" s="330"/>
      <c r="E30" s="330"/>
    </row>
    <row r="31" spans="2:12" x14ac:dyDescent="0.2">
      <c r="D31" s="330"/>
      <c r="E31" s="330"/>
    </row>
    <row r="32" spans="2:12" x14ac:dyDescent="0.2">
      <c r="D32" s="330"/>
      <c r="E32" s="330"/>
    </row>
    <row r="33" spans="4:5" x14ac:dyDescent="0.2">
      <c r="D33" s="330"/>
      <c r="E33" s="330"/>
    </row>
    <row r="34" spans="4:5" x14ac:dyDescent="0.2">
      <c r="D34" s="330"/>
      <c r="E34" s="330"/>
    </row>
    <row r="35" spans="4:5" x14ac:dyDescent="0.2">
      <c r="D35" s="330"/>
      <c r="E35" s="330"/>
    </row>
    <row r="36" spans="4:5" x14ac:dyDescent="0.2">
      <c r="D36" s="330"/>
      <c r="E36" s="330"/>
    </row>
    <row r="37" spans="4:5" x14ac:dyDescent="0.2">
      <c r="D37" s="330"/>
      <c r="E37" s="330"/>
    </row>
    <row r="38" spans="4:5" x14ac:dyDescent="0.2">
      <c r="D38" s="330"/>
      <c r="E38" s="330"/>
    </row>
    <row r="39" spans="4:5" x14ac:dyDescent="0.2">
      <c r="D39" s="330"/>
      <c r="E39" s="330"/>
    </row>
    <row r="40" spans="4:5" x14ac:dyDescent="0.2">
      <c r="D40" s="330"/>
      <c r="E40" s="330"/>
    </row>
    <row r="41" spans="4:5" x14ac:dyDescent="0.2">
      <c r="D41" s="330"/>
      <c r="E41" s="330"/>
    </row>
    <row r="42" spans="4:5" x14ac:dyDescent="0.2">
      <c r="D42" s="330"/>
      <c r="E42" s="330"/>
    </row>
    <row r="43" spans="4:5" x14ac:dyDescent="0.2">
      <c r="D43" s="330"/>
      <c r="E43" s="330"/>
    </row>
    <row r="44" spans="4:5" x14ac:dyDescent="0.2">
      <c r="D44" s="330"/>
      <c r="E44" s="330"/>
    </row>
    <row r="45" spans="4:5" x14ac:dyDescent="0.2">
      <c r="D45" s="330"/>
      <c r="E45" s="330"/>
    </row>
    <row r="46" spans="4:5" x14ac:dyDescent="0.2">
      <c r="D46" s="330"/>
      <c r="E46" s="330"/>
    </row>
    <row r="47" spans="4:5" x14ac:dyDescent="0.2">
      <c r="D47" s="330"/>
      <c r="E47" s="330"/>
    </row>
    <row r="48" spans="4:5" x14ac:dyDescent="0.2">
      <c r="D48" s="330"/>
      <c r="E48" s="330"/>
    </row>
    <row r="49" spans="4:5" x14ac:dyDescent="0.2">
      <c r="D49" s="330"/>
      <c r="E49" s="330"/>
    </row>
    <row r="50" spans="4:5" x14ac:dyDescent="0.2">
      <c r="D50" s="330"/>
      <c r="E50" s="330"/>
    </row>
    <row r="51" spans="4:5" x14ac:dyDescent="0.2">
      <c r="D51" s="330"/>
      <c r="E51" s="330"/>
    </row>
    <row r="52" spans="4:5" x14ac:dyDescent="0.2">
      <c r="D52" s="330"/>
      <c r="E52" s="330"/>
    </row>
    <row r="53" spans="4:5" x14ac:dyDescent="0.2">
      <c r="D53" s="330"/>
      <c r="E53" s="330"/>
    </row>
    <row r="54" spans="4:5" x14ac:dyDescent="0.2">
      <c r="D54" s="330"/>
      <c r="E54" s="330"/>
    </row>
    <row r="55" spans="4:5" x14ac:dyDescent="0.2">
      <c r="D55" s="330"/>
      <c r="E55" s="330"/>
    </row>
    <row r="56" spans="4:5" x14ac:dyDescent="0.2">
      <c r="D56" s="330"/>
      <c r="E56" s="330"/>
    </row>
    <row r="57" spans="4:5" x14ac:dyDescent="0.2">
      <c r="D57" s="330"/>
      <c r="E57" s="330"/>
    </row>
    <row r="58" spans="4:5" x14ac:dyDescent="0.2">
      <c r="D58" s="330"/>
      <c r="E58" s="330"/>
    </row>
    <row r="59" spans="4:5" x14ac:dyDescent="0.2">
      <c r="D59" s="330"/>
      <c r="E59" s="330"/>
    </row>
    <row r="60" spans="4:5" x14ac:dyDescent="0.2">
      <c r="D60" s="330"/>
      <c r="E60" s="330"/>
    </row>
    <row r="61" spans="4:5" x14ac:dyDescent="0.2">
      <c r="D61" s="330"/>
      <c r="E61" s="330"/>
    </row>
    <row r="62" spans="4:5" x14ac:dyDescent="0.2">
      <c r="D62" s="330"/>
      <c r="E62" s="330"/>
    </row>
    <row r="63" spans="4:5" x14ac:dyDescent="0.2">
      <c r="D63" s="330"/>
      <c r="E63" s="330"/>
    </row>
    <row r="64" spans="4:5" x14ac:dyDescent="0.2">
      <c r="D64" s="330"/>
      <c r="E64" s="330"/>
    </row>
    <row r="65" spans="4:5" x14ac:dyDescent="0.2">
      <c r="D65" s="330"/>
      <c r="E65" s="330"/>
    </row>
    <row r="66" spans="4:5" x14ac:dyDescent="0.2">
      <c r="D66" s="330"/>
      <c r="E66" s="330"/>
    </row>
    <row r="67" spans="4:5" x14ac:dyDescent="0.2">
      <c r="D67" s="330"/>
      <c r="E67" s="330"/>
    </row>
    <row r="68" spans="4:5" x14ac:dyDescent="0.2">
      <c r="D68" s="330"/>
      <c r="E68" s="330"/>
    </row>
    <row r="69" spans="4:5" x14ac:dyDescent="0.2">
      <c r="D69" s="330"/>
      <c r="E69" s="330"/>
    </row>
    <row r="70" spans="4:5" x14ac:dyDescent="0.2">
      <c r="D70" s="330"/>
      <c r="E70" s="330"/>
    </row>
    <row r="71" spans="4:5" x14ac:dyDescent="0.2">
      <c r="D71" s="330"/>
      <c r="E71" s="330"/>
    </row>
    <row r="72" spans="4:5" x14ac:dyDescent="0.2">
      <c r="D72" s="330"/>
      <c r="E72" s="330"/>
    </row>
    <row r="73" spans="4:5" x14ac:dyDescent="0.2">
      <c r="D73" s="330"/>
      <c r="E73" s="330"/>
    </row>
    <row r="74" spans="4:5" x14ac:dyDescent="0.2">
      <c r="D74" s="330"/>
      <c r="E74" s="330"/>
    </row>
    <row r="75" spans="4:5" x14ac:dyDescent="0.2">
      <c r="D75" s="330"/>
      <c r="E75" s="330"/>
    </row>
    <row r="76" spans="4:5" x14ac:dyDescent="0.2">
      <c r="D76" s="330"/>
      <c r="E76" s="330"/>
    </row>
    <row r="77" spans="4:5" x14ac:dyDescent="0.2">
      <c r="D77" s="330"/>
      <c r="E77" s="330"/>
    </row>
    <row r="78" spans="4:5" x14ac:dyDescent="0.2">
      <c r="D78" s="330"/>
      <c r="E78" s="330"/>
    </row>
    <row r="79" spans="4:5" x14ac:dyDescent="0.2">
      <c r="D79" s="330"/>
      <c r="E79" s="330"/>
    </row>
    <row r="80" spans="4:5" x14ac:dyDescent="0.2">
      <c r="D80" s="330"/>
      <c r="E80" s="330"/>
    </row>
    <row r="81" spans="4:5" x14ac:dyDescent="0.2">
      <c r="D81" s="330"/>
      <c r="E81" s="330"/>
    </row>
    <row r="82" spans="4:5" x14ac:dyDescent="0.2">
      <c r="D82" s="330"/>
      <c r="E82" s="330"/>
    </row>
    <row r="83" spans="4:5" x14ac:dyDescent="0.2">
      <c r="D83" s="330"/>
      <c r="E83" s="330"/>
    </row>
    <row r="84" spans="4:5" x14ac:dyDescent="0.2">
      <c r="D84" s="330"/>
      <c r="E84" s="330"/>
    </row>
    <row r="85" spans="4:5" x14ac:dyDescent="0.2">
      <c r="D85" s="330"/>
      <c r="E85" s="330"/>
    </row>
    <row r="86" spans="4:5" x14ac:dyDescent="0.2">
      <c r="D86" s="330"/>
      <c r="E86" s="330"/>
    </row>
    <row r="87" spans="4:5" x14ac:dyDescent="0.2">
      <c r="D87" s="330"/>
      <c r="E87" s="330"/>
    </row>
    <row r="88" spans="4:5" x14ac:dyDescent="0.2">
      <c r="D88" s="330"/>
      <c r="E88" s="330"/>
    </row>
    <row r="89" spans="4:5" x14ac:dyDescent="0.2">
      <c r="D89" s="330"/>
      <c r="E89" s="330"/>
    </row>
    <row r="90" spans="4:5" x14ac:dyDescent="0.2">
      <c r="D90" s="330"/>
      <c r="E90" s="330"/>
    </row>
    <row r="91" spans="4:5" x14ac:dyDescent="0.2">
      <c r="D91" s="330"/>
      <c r="E91" s="330"/>
    </row>
    <row r="92" spans="4:5" x14ac:dyDescent="0.2">
      <c r="D92" s="330"/>
      <c r="E92" s="330"/>
    </row>
    <row r="93" spans="4:5" x14ac:dyDescent="0.2">
      <c r="D93" s="330"/>
      <c r="E93" s="330"/>
    </row>
    <row r="94" spans="4:5" x14ac:dyDescent="0.2">
      <c r="D94" s="330"/>
      <c r="E94" s="330"/>
    </row>
    <row r="95" spans="4:5" x14ac:dyDescent="0.2">
      <c r="D95" s="330"/>
      <c r="E95" s="330"/>
    </row>
    <row r="96" spans="4:5" x14ac:dyDescent="0.2">
      <c r="D96" s="330"/>
      <c r="E96" s="330"/>
    </row>
    <row r="97" spans="4:5" x14ac:dyDescent="0.2">
      <c r="D97" s="330"/>
      <c r="E97" s="330"/>
    </row>
    <row r="98" spans="4:5" x14ac:dyDescent="0.2">
      <c r="D98" s="330"/>
      <c r="E98" s="330"/>
    </row>
    <row r="99" spans="4:5" x14ac:dyDescent="0.2">
      <c r="D99" s="330"/>
      <c r="E99" s="330"/>
    </row>
    <row r="100" spans="4:5" x14ac:dyDescent="0.2">
      <c r="D100" s="330"/>
      <c r="E100" s="330"/>
    </row>
    <row r="101" spans="4:5" x14ac:dyDescent="0.2">
      <c r="D101" s="330"/>
      <c r="E101" s="330"/>
    </row>
    <row r="102" spans="4:5" x14ac:dyDescent="0.2">
      <c r="D102" s="330"/>
      <c r="E102" s="330"/>
    </row>
    <row r="103" spans="4:5" x14ac:dyDescent="0.2">
      <c r="D103" s="330"/>
      <c r="E103" s="330"/>
    </row>
    <row r="104" spans="4:5" x14ac:dyDescent="0.2">
      <c r="D104" s="330"/>
      <c r="E104" s="330"/>
    </row>
    <row r="105" spans="4:5" x14ac:dyDescent="0.2">
      <c r="D105" s="330"/>
      <c r="E105" s="330"/>
    </row>
    <row r="106" spans="4:5" x14ac:dyDescent="0.2">
      <c r="D106" s="330"/>
      <c r="E106" s="330"/>
    </row>
    <row r="107" spans="4:5" x14ac:dyDescent="0.2">
      <c r="D107" s="330"/>
      <c r="E107" s="330"/>
    </row>
    <row r="108" spans="4:5" x14ac:dyDescent="0.2">
      <c r="D108" s="330"/>
      <c r="E108" s="330"/>
    </row>
    <row r="109" spans="4:5" x14ac:dyDescent="0.2">
      <c r="D109" s="330"/>
      <c r="E109" s="330"/>
    </row>
    <row r="110" spans="4:5" x14ac:dyDescent="0.2">
      <c r="D110" s="330"/>
      <c r="E110" s="330"/>
    </row>
    <row r="111" spans="4:5" x14ac:dyDescent="0.2">
      <c r="D111" s="330"/>
      <c r="E111" s="330"/>
    </row>
    <row r="112" spans="4:5" x14ac:dyDescent="0.2">
      <c r="D112" s="330"/>
      <c r="E112" s="330"/>
    </row>
    <row r="113" spans="4:5" x14ac:dyDescent="0.2">
      <c r="D113" s="330"/>
      <c r="E113" s="330"/>
    </row>
    <row r="114" spans="4:5" x14ac:dyDescent="0.2">
      <c r="D114" s="330"/>
      <c r="E114" s="330"/>
    </row>
    <row r="115" spans="4:5" x14ac:dyDescent="0.2">
      <c r="D115" s="330"/>
      <c r="E115" s="330"/>
    </row>
    <row r="116" spans="4:5" x14ac:dyDescent="0.2">
      <c r="D116" s="330"/>
      <c r="E116" s="330"/>
    </row>
    <row r="117" spans="4:5" x14ac:dyDescent="0.2">
      <c r="D117" s="330"/>
      <c r="E117" s="330"/>
    </row>
    <row r="118" spans="4:5" x14ac:dyDescent="0.2">
      <c r="D118" s="330"/>
      <c r="E118" s="330"/>
    </row>
    <row r="119" spans="4:5" x14ac:dyDescent="0.2">
      <c r="D119" s="330"/>
      <c r="E119" s="330"/>
    </row>
    <row r="120" spans="4:5" x14ac:dyDescent="0.2">
      <c r="D120" s="330"/>
      <c r="E120" s="330"/>
    </row>
    <row r="121" spans="4:5" x14ac:dyDescent="0.2">
      <c r="D121" s="330"/>
      <c r="E121" s="330"/>
    </row>
    <row r="122" spans="4:5" x14ac:dyDescent="0.2">
      <c r="D122" s="330"/>
      <c r="E122" s="330"/>
    </row>
    <row r="123" spans="4:5" x14ac:dyDescent="0.2">
      <c r="D123" s="330"/>
      <c r="E123" s="330"/>
    </row>
    <row r="124" spans="4:5" x14ac:dyDescent="0.2">
      <c r="D124" s="330"/>
      <c r="E124" s="330"/>
    </row>
    <row r="125" spans="4:5" x14ac:dyDescent="0.2">
      <c r="D125" s="330"/>
      <c r="E125" s="330"/>
    </row>
    <row r="126" spans="4:5" x14ac:dyDescent="0.2">
      <c r="D126" s="330"/>
      <c r="E126" s="330"/>
    </row>
    <row r="127" spans="4:5" x14ac:dyDescent="0.2">
      <c r="D127" s="330"/>
      <c r="E127" s="330"/>
    </row>
    <row r="128" spans="4:5" x14ac:dyDescent="0.2">
      <c r="D128" s="330"/>
      <c r="E128" s="330"/>
    </row>
    <row r="129" spans="4:5" x14ac:dyDescent="0.2">
      <c r="D129" s="330"/>
      <c r="E129" s="330"/>
    </row>
    <row r="130" spans="4:5" x14ac:dyDescent="0.2">
      <c r="D130" s="330"/>
      <c r="E130" s="330"/>
    </row>
    <row r="131" spans="4:5" x14ac:dyDescent="0.2">
      <c r="D131" s="330"/>
      <c r="E131" s="330"/>
    </row>
    <row r="132" spans="4:5" x14ac:dyDescent="0.2">
      <c r="D132" s="330"/>
      <c r="E132" s="330"/>
    </row>
    <row r="133" spans="4:5" x14ac:dyDescent="0.2">
      <c r="D133" s="330"/>
      <c r="E133" s="330"/>
    </row>
    <row r="134" spans="4:5" x14ac:dyDescent="0.2">
      <c r="D134" s="330"/>
      <c r="E134" s="330"/>
    </row>
    <row r="135" spans="4:5" x14ac:dyDescent="0.2">
      <c r="D135" s="330"/>
      <c r="E135" s="330"/>
    </row>
    <row r="136" spans="4:5" x14ac:dyDescent="0.2">
      <c r="D136" s="330"/>
      <c r="E136" s="330"/>
    </row>
    <row r="137" spans="4:5" x14ac:dyDescent="0.2">
      <c r="D137" s="330"/>
      <c r="E137" s="330"/>
    </row>
    <row r="138" spans="4:5" x14ac:dyDescent="0.2">
      <c r="D138" s="330"/>
      <c r="E138" s="330"/>
    </row>
    <row r="139" spans="4:5" x14ac:dyDescent="0.2">
      <c r="D139" s="330"/>
      <c r="E139" s="330"/>
    </row>
    <row r="140" spans="4:5" x14ac:dyDescent="0.2">
      <c r="D140" s="330"/>
      <c r="E140" s="330"/>
    </row>
    <row r="141" spans="4:5" x14ac:dyDescent="0.2">
      <c r="D141" s="330"/>
      <c r="E141" s="330"/>
    </row>
    <row r="142" spans="4:5" x14ac:dyDescent="0.2">
      <c r="D142" s="330"/>
      <c r="E142" s="330"/>
    </row>
    <row r="143" spans="4:5" x14ac:dyDescent="0.2">
      <c r="D143" s="460"/>
      <c r="E143" s="460"/>
    </row>
    <row r="144" spans="4:5" x14ac:dyDescent="0.2">
      <c r="D144" s="460"/>
      <c r="E144" s="460"/>
    </row>
    <row r="145" spans="4:5" x14ac:dyDescent="0.2">
      <c r="D145" s="460"/>
      <c r="E145" s="460"/>
    </row>
    <row r="146" spans="4:5" x14ac:dyDescent="0.2">
      <c r="D146" s="460"/>
      <c r="E146" s="460"/>
    </row>
    <row r="147" spans="4:5" x14ac:dyDescent="0.2">
      <c r="D147" s="460"/>
      <c r="E147" s="460"/>
    </row>
    <row r="148" spans="4:5" x14ac:dyDescent="0.2">
      <c r="D148" s="460"/>
      <c r="E148" s="460"/>
    </row>
    <row r="149" spans="4:5" x14ac:dyDescent="0.2">
      <c r="D149" s="460"/>
      <c r="E149" s="460"/>
    </row>
  </sheetData>
  <mergeCells count="1">
    <mergeCell ref="A2:C2"/>
  </mergeCells>
  <phoneticPr fontId="2" type="noConversion"/>
  <hyperlinks>
    <hyperlink ref="A2" location="Index!A1" display="Back to Index" xr:uid="{DA2A62FA-8702-4FE4-B688-AEBF5173DAEB}"/>
  </hyperlinks>
  <pageMargins left="0.17" right="0.17" top="1" bottom="1" header="0.5" footer="0.5"/>
  <pageSetup scale="95"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DA63-EDD5-4CB6-AE74-7759E40E4EAE}">
  <sheetPr>
    <tabColor indexed="18"/>
    <pageSetUpPr fitToPage="1"/>
  </sheetPr>
  <dimension ref="A1:L26"/>
  <sheetViews>
    <sheetView showGridLines="0" zoomScale="85" zoomScaleNormal="85" workbookViewId="0">
      <pane xSplit="3" ySplit="3" topLeftCell="D4" activePane="bottomRight" state="frozen"/>
      <selection pane="topRight" activeCell="L13" sqref="L13"/>
      <selection pane="bottomLeft" activeCell="L13" sqref="L13"/>
      <selection pane="bottomRight"/>
    </sheetView>
  </sheetViews>
  <sheetFormatPr defaultColWidth="9.42578125" defaultRowHeight="14.25" x14ac:dyDescent="0.2"/>
  <cols>
    <col min="1" max="1" width="4" style="323" customWidth="1"/>
    <col min="2" max="2" width="4.42578125" style="323" customWidth="1"/>
    <col min="3" max="3" width="42.42578125" style="357" customWidth="1"/>
    <col min="4" max="5" width="11.42578125" style="8" customWidth="1"/>
    <col min="6" max="8" width="11.42578125" style="323" customWidth="1"/>
    <col min="9" max="9" width="2.5703125" style="323" customWidth="1"/>
    <col min="10" max="12" width="11.42578125" style="323" customWidth="1"/>
    <col min="13" max="16384" width="9.42578125" style="323"/>
  </cols>
  <sheetData>
    <row r="1" spans="1:12" s="4" customFormat="1" ht="20.25" x14ac:dyDescent="0.3">
      <c r="A1" s="3" t="s">
        <v>25</v>
      </c>
      <c r="D1" s="366"/>
      <c r="E1" s="366"/>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5.0999999999999996" customHeight="1" x14ac:dyDescent="0.25">
      <c r="A3" s="328"/>
      <c r="D3" s="101"/>
      <c r="E3" s="8"/>
      <c r="J3" s="103"/>
    </row>
    <row r="4" spans="1:12" s="376" customFormat="1" ht="14.25" customHeight="1" x14ac:dyDescent="0.25">
      <c r="A4" s="328" t="s">
        <v>343</v>
      </c>
      <c r="D4" s="103"/>
      <c r="E4" s="8"/>
      <c r="G4" s="390"/>
      <c r="H4" s="390"/>
      <c r="I4" s="390"/>
      <c r="J4" s="178"/>
    </row>
    <row r="5" spans="1:12" x14ac:dyDescent="0.2">
      <c r="B5" s="513" t="s">
        <v>37</v>
      </c>
      <c r="C5" s="323"/>
      <c r="D5" s="178">
        <v>4596</v>
      </c>
      <c r="E5" s="333">
        <v>4875</v>
      </c>
      <c r="F5" s="204">
        <v>4807</v>
      </c>
      <c r="G5" s="333">
        <v>-4.3894320782192686</v>
      </c>
      <c r="H5" s="333">
        <v>-5.7230769230769196</v>
      </c>
      <c r="I5" s="408"/>
      <c r="J5" s="178">
        <v>9471</v>
      </c>
      <c r="K5" s="204">
        <v>9428</v>
      </c>
      <c r="L5" s="333">
        <v>0.45608824777259027</v>
      </c>
    </row>
    <row r="6" spans="1:12" x14ac:dyDescent="0.2">
      <c r="B6" s="513" t="s">
        <v>38</v>
      </c>
      <c r="C6" s="323"/>
      <c r="D6" s="178">
        <v>1501</v>
      </c>
      <c r="E6" s="333">
        <v>1445</v>
      </c>
      <c r="F6" s="204">
        <v>1255</v>
      </c>
      <c r="G6" s="333">
        <v>19.601593625498005</v>
      </c>
      <c r="H6" s="333">
        <v>3.8754325259515499</v>
      </c>
      <c r="I6" s="408"/>
      <c r="J6" s="178">
        <v>2946</v>
      </c>
      <c r="K6" s="204">
        <v>2499</v>
      </c>
      <c r="L6" s="333">
        <v>17.887154861944786</v>
      </c>
    </row>
    <row r="7" spans="1:12" x14ac:dyDescent="0.2">
      <c r="B7" s="513" t="s">
        <v>85</v>
      </c>
      <c r="C7" s="323"/>
      <c r="D7" s="178">
        <v>1133</v>
      </c>
      <c r="E7" s="333">
        <v>1105</v>
      </c>
      <c r="F7" s="204">
        <v>1295</v>
      </c>
      <c r="G7" s="333">
        <v>-12.509652509652513</v>
      </c>
      <c r="H7" s="333">
        <v>2.5339366515837014</v>
      </c>
      <c r="I7" s="408"/>
      <c r="J7" s="178">
        <v>2238</v>
      </c>
      <c r="K7" s="204">
        <v>2584</v>
      </c>
      <c r="L7" s="333">
        <v>-13.390092879256965</v>
      </c>
    </row>
    <row r="8" spans="1:12" s="331" customFormat="1" ht="15" x14ac:dyDescent="0.25">
      <c r="B8" s="551" t="s">
        <v>40</v>
      </c>
      <c r="D8" s="119">
        <v>7230</v>
      </c>
      <c r="E8" s="403">
        <v>7425</v>
      </c>
      <c r="F8" s="254">
        <v>7357</v>
      </c>
      <c r="G8" s="333">
        <v>-1.7262471115944034</v>
      </c>
      <c r="H8" s="333">
        <v>-2.626262626262621</v>
      </c>
      <c r="I8" s="402"/>
      <c r="J8" s="119">
        <v>14655</v>
      </c>
      <c r="K8" s="254">
        <v>14511</v>
      </c>
      <c r="L8" s="333">
        <v>0.99235063055613804</v>
      </c>
    </row>
    <row r="9" spans="1:12" x14ac:dyDescent="0.2">
      <c r="B9" s="513" t="s">
        <v>7</v>
      </c>
      <c r="C9" s="323"/>
      <c r="D9" s="178">
        <v>2802</v>
      </c>
      <c r="E9" s="333">
        <v>2639</v>
      </c>
      <c r="F9" s="204">
        <v>2695</v>
      </c>
      <c r="G9" s="333">
        <v>3.9703153988868367</v>
      </c>
      <c r="H9" s="333">
        <v>6.1765820386510129</v>
      </c>
      <c r="I9" s="408"/>
      <c r="J9" s="178">
        <v>5441</v>
      </c>
      <c r="K9" s="204">
        <v>5150</v>
      </c>
      <c r="L9" s="333">
        <v>5.6504854368931934</v>
      </c>
    </row>
    <row r="10" spans="1:12" x14ac:dyDescent="0.2">
      <c r="B10" s="513" t="s">
        <v>42</v>
      </c>
      <c r="C10" s="323"/>
      <c r="D10" s="178">
        <v>0</v>
      </c>
      <c r="E10" s="333">
        <v>0</v>
      </c>
      <c r="F10" s="204">
        <v>0</v>
      </c>
      <c r="G10" s="333">
        <v>0</v>
      </c>
      <c r="H10" s="333">
        <v>0</v>
      </c>
      <c r="I10" s="408"/>
      <c r="J10" s="178">
        <v>0</v>
      </c>
      <c r="K10" s="204">
        <v>0</v>
      </c>
      <c r="L10" s="333">
        <v>0</v>
      </c>
    </row>
    <row r="11" spans="1:12" x14ac:dyDescent="0.2">
      <c r="B11" s="513" t="s">
        <v>8</v>
      </c>
      <c r="C11" s="323"/>
      <c r="D11" s="178">
        <v>-35</v>
      </c>
      <c r="E11" s="333">
        <v>80</v>
      </c>
      <c r="F11" s="204">
        <v>36</v>
      </c>
      <c r="G11" s="333" t="s">
        <v>117</v>
      </c>
      <c r="H11" s="333" t="s">
        <v>117</v>
      </c>
      <c r="I11" s="408"/>
      <c r="J11" s="178">
        <v>45</v>
      </c>
      <c r="K11" s="204">
        <v>12</v>
      </c>
      <c r="L11" s="333" t="s">
        <v>500</v>
      </c>
    </row>
    <row r="12" spans="1:12" x14ac:dyDescent="0.2">
      <c r="B12" s="513" t="s">
        <v>355</v>
      </c>
      <c r="C12" s="323"/>
      <c r="D12" s="178">
        <v>21</v>
      </c>
      <c r="E12" s="333">
        <v>15</v>
      </c>
      <c r="F12" s="204">
        <v>28</v>
      </c>
      <c r="G12" s="333">
        <v>-25</v>
      </c>
      <c r="H12" s="333">
        <v>39.999999999999993</v>
      </c>
      <c r="I12" s="408"/>
      <c r="J12" s="178">
        <v>36</v>
      </c>
      <c r="K12" s="204">
        <v>43</v>
      </c>
      <c r="L12" s="333">
        <v>-16.279069767441857</v>
      </c>
    </row>
    <row r="13" spans="1:12" s="331" customFormat="1" ht="15" x14ac:dyDescent="0.25">
      <c r="B13" s="376" t="s">
        <v>44</v>
      </c>
      <c r="D13" s="119">
        <v>4484</v>
      </c>
      <c r="E13" s="403">
        <v>4721</v>
      </c>
      <c r="F13" s="254">
        <v>4654</v>
      </c>
      <c r="G13" s="333">
        <v>-3.6527718091963868</v>
      </c>
      <c r="H13" s="333">
        <v>-5.0201228553272585</v>
      </c>
      <c r="I13" s="402"/>
      <c r="J13" s="119">
        <v>9205</v>
      </c>
      <c r="K13" s="254">
        <v>9392</v>
      </c>
      <c r="L13" s="333">
        <v>-1.9910562180579183</v>
      </c>
    </row>
    <row r="14" spans="1:12" x14ac:dyDescent="0.2">
      <c r="B14" s="324" t="s">
        <v>237</v>
      </c>
      <c r="C14" s="323"/>
      <c r="D14" s="178">
        <v>668</v>
      </c>
      <c r="E14" s="333">
        <v>697</v>
      </c>
      <c r="F14" s="204">
        <v>421</v>
      </c>
      <c r="G14" s="333">
        <v>58.669833729216151</v>
      </c>
      <c r="H14" s="333">
        <v>-4.1606886657101878</v>
      </c>
      <c r="I14" s="408"/>
      <c r="J14" s="178">
        <v>1365</v>
      </c>
      <c r="K14" s="204">
        <v>923</v>
      </c>
      <c r="L14" s="333">
        <v>47.887323943661976</v>
      </c>
    </row>
    <row r="15" spans="1:12" s="331" customFormat="1" ht="15" x14ac:dyDescent="0.25">
      <c r="B15" s="376" t="s">
        <v>238</v>
      </c>
      <c r="D15" s="119">
        <v>3816</v>
      </c>
      <c r="E15" s="403">
        <v>4024</v>
      </c>
      <c r="F15" s="254">
        <v>4233</v>
      </c>
      <c r="G15" s="333">
        <v>-9.8511693834160141</v>
      </c>
      <c r="H15" s="333">
        <v>-5.1689860834990053</v>
      </c>
      <c r="I15" s="402"/>
      <c r="J15" s="119">
        <v>7840</v>
      </c>
      <c r="K15" s="254">
        <v>8469</v>
      </c>
      <c r="L15" s="333">
        <v>-7.4270870232613024</v>
      </c>
    </row>
    <row r="16" spans="1:12" x14ac:dyDescent="0.2">
      <c r="C16" s="323"/>
      <c r="D16" s="178"/>
      <c r="E16" s="338"/>
      <c r="F16" s="204"/>
      <c r="G16" s="374"/>
      <c r="H16" s="374"/>
      <c r="I16" s="408"/>
      <c r="J16" s="178"/>
      <c r="K16" s="204"/>
    </row>
    <row r="17" spans="1:12" s="376" customFormat="1" ht="14.25" customHeight="1" x14ac:dyDescent="0.25">
      <c r="A17" s="328" t="s">
        <v>234</v>
      </c>
      <c r="D17" s="178"/>
      <c r="E17" s="338"/>
      <c r="F17" s="204"/>
      <c r="G17" s="374"/>
      <c r="H17" s="374"/>
      <c r="I17" s="390"/>
      <c r="J17" s="178"/>
      <c r="K17" s="204"/>
    </row>
    <row r="18" spans="1:12" x14ac:dyDescent="0.2">
      <c r="B18" s="513" t="s">
        <v>239</v>
      </c>
      <c r="C18" s="323"/>
      <c r="D18" s="178">
        <v>271652</v>
      </c>
      <c r="E18" s="333">
        <v>263476</v>
      </c>
      <c r="F18" s="204">
        <v>261375</v>
      </c>
      <c r="G18" s="333">
        <v>3.9318986131037681</v>
      </c>
      <c r="H18" s="333">
        <v>3.1031289377400517</v>
      </c>
      <c r="I18" s="408"/>
      <c r="J18" s="178">
        <v>271652</v>
      </c>
      <c r="K18" s="204">
        <v>261375</v>
      </c>
      <c r="L18" s="333">
        <v>3.9318986131037681</v>
      </c>
    </row>
    <row r="19" spans="1:12" x14ac:dyDescent="0.2">
      <c r="B19" s="513" t="s">
        <v>341</v>
      </c>
      <c r="C19" s="323"/>
      <c r="D19" s="178">
        <v>596150</v>
      </c>
      <c r="E19" s="333">
        <v>552635</v>
      </c>
      <c r="F19" s="204">
        <v>538730</v>
      </c>
      <c r="G19" s="333">
        <v>10.658400311844529</v>
      </c>
      <c r="H19" s="333">
        <v>7.8740941127507291</v>
      </c>
      <c r="I19" s="408"/>
      <c r="J19" s="178">
        <v>596150</v>
      </c>
      <c r="K19" s="204">
        <v>538730</v>
      </c>
      <c r="L19" s="333">
        <v>10.658400311844529</v>
      </c>
    </row>
    <row r="20" spans="1:12" x14ac:dyDescent="0.2">
      <c r="B20" s="513" t="s">
        <v>50</v>
      </c>
      <c r="C20" s="323"/>
      <c r="D20" s="178">
        <v>601265</v>
      </c>
      <c r="E20" s="333">
        <v>557750</v>
      </c>
      <c r="F20" s="204">
        <v>543845</v>
      </c>
      <c r="G20" s="333">
        <v>10.558155356765253</v>
      </c>
      <c r="H20" s="333">
        <v>7.8018825638727085</v>
      </c>
      <c r="I20" s="408"/>
      <c r="J20" s="103">
        <v>601265</v>
      </c>
      <c r="K20" s="204">
        <v>543845</v>
      </c>
      <c r="L20" s="333">
        <v>10.558155356765253</v>
      </c>
    </row>
    <row r="21" spans="1:12" x14ac:dyDescent="0.2">
      <c r="D21" s="330"/>
      <c r="G21" s="408"/>
      <c r="H21" s="408"/>
      <c r="I21" s="408"/>
      <c r="J21" s="408"/>
    </row>
    <row r="22" spans="1:12" x14ac:dyDescent="0.2">
      <c r="B22" s="359"/>
      <c r="C22" s="363"/>
      <c r="D22" s="556"/>
      <c r="E22" s="557"/>
      <c r="G22" s="408"/>
      <c r="H22" s="408"/>
      <c r="I22" s="408"/>
      <c r="J22" s="408"/>
    </row>
    <row r="23" spans="1:12" x14ac:dyDescent="0.2">
      <c r="B23" s="70" t="s">
        <v>156</v>
      </c>
      <c r="C23" s="70" t="s">
        <v>118</v>
      </c>
      <c r="D23" s="558"/>
      <c r="E23" s="558"/>
    </row>
    <row r="24" spans="1:12" x14ac:dyDescent="0.2">
      <c r="B24" s="545" t="s">
        <v>89</v>
      </c>
      <c r="C24" s="546" t="s">
        <v>511</v>
      </c>
      <c r="D24" s="557"/>
      <c r="E24" s="557"/>
    </row>
    <row r="25" spans="1:12" x14ac:dyDescent="0.2">
      <c r="D25" s="557"/>
      <c r="E25" s="557"/>
    </row>
    <row r="26" spans="1:12" x14ac:dyDescent="0.2">
      <c r="D26" s="557"/>
      <c r="E26" s="557"/>
    </row>
  </sheetData>
  <mergeCells count="1">
    <mergeCell ref="A2:C2"/>
  </mergeCells>
  <phoneticPr fontId="2" type="noConversion"/>
  <hyperlinks>
    <hyperlink ref="A2" location="Index!A1" display="Back to Index" xr:uid="{8DD4C671-C481-475F-9375-EDE17C79CE22}"/>
  </hyperlinks>
  <pageMargins left="0.23622047244094499" right="0.23622047244094499" top="0.98425196850393704" bottom="0.98425196850393704" header="0.511811023622047" footer="0.511811023622047"/>
  <pageSetup paperSize="9" orientation="landscape" r:id="rId1"/>
  <headerFooter alignWithMargins="0">
    <oddFooter>&amp;L&amp;8&amp;Z&amp;F&amp;A&amp;R&amp;8&amp;D&amp;T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938C-B06C-44D4-8815-B39D6A39D19B}">
  <sheetPr>
    <tabColor indexed="18"/>
    <pageSetUpPr fitToPage="1"/>
  </sheetPr>
  <dimension ref="A1:L24"/>
  <sheetViews>
    <sheetView showGridLines="0" zoomScale="85" zoomScaleNormal="85" workbookViewId="0">
      <pane xSplit="3" ySplit="3" topLeftCell="D4" activePane="bottomRight" state="frozen"/>
      <selection pane="topRight" activeCell="D1" sqref="D1"/>
      <selection pane="bottomLeft" activeCell="A4" sqref="A4"/>
      <selection pane="bottomRight"/>
    </sheetView>
  </sheetViews>
  <sheetFormatPr defaultColWidth="9.42578125" defaultRowHeight="14.25" x14ac:dyDescent="0.2"/>
  <cols>
    <col min="1" max="1" width="4" style="323" customWidth="1"/>
    <col min="2" max="2" width="4.42578125" style="323" customWidth="1"/>
    <col min="3" max="3" width="42.5703125" style="357" customWidth="1"/>
    <col min="4" max="8" width="11.42578125" style="323" customWidth="1"/>
    <col min="9" max="9" width="2.5703125" style="323" customWidth="1"/>
    <col min="10" max="12" width="11.42578125" style="323" customWidth="1"/>
    <col min="13" max="16384" width="9.42578125" style="323"/>
  </cols>
  <sheetData>
    <row r="1" spans="1:12" s="4" customFormat="1" ht="20.25" x14ac:dyDescent="0.3">
      <c r="A1" s="3" t="s">
        <v>26</v>
      </c>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6.75" customHeight="1" x14ac:dyDescent="0.25">
      <c r="A3" s="328"/>
      <c r="D3" s="197"/>
      <c r="J3" s="103"/>
    </row>
    <row r="4" spans="1:12" s="376" customFormat="1" ht="14.25" customHeight="1" x14ac:dyDescent="0.25">
      <c r="A4" s="328" t="s">
        <v>68</v>
      </c>
      <c r="D4" s="257"/>
      <c r="G4" s="390"/>
      <c r="H4" s="390"/>
      <c r="J4" s="178"/>
    </row>
    <row r="5" spans="1:12" x14ac:dyDescent="0.2">
      <c r="B5" s="513" t="s">
        <v>37</v>
      </c>
      <c r="C5" s="323"/>
      <c r="D5" s="178">
        <v>1083</v>
      </c>
      <c r="E5" s="204">
        <v>1007</v>
      </c>
      <c r="F5" s="204">
        <v>1042</v>
      </c>
      <c r="G5" s="333">
        <v>3.9347408829174757</v>
      </c>
      <c r="H5" s="333">
        <v>7.547169811320753</v>
      </c>
      <c r="J5" s="178">
        <v>2090</v>
      </c>
      <c r="K5" s="204">
        <v>2076</v>
      </c>
      <c r="L5" s="333">
        <v>0.67437379576107404</v>
      </c>
    </row>
    <row r="6" spans="1:12" x14ac:dyDescent="0.2">
      <c r="B6" s="513" t="s">
        <v>38</v>
      </c>
      <c r="C6" s="408"/>
      <c r="D6" s="178">
        <v>488</v>
      </c>
      <c r="E6" s="204">
        <v>505</v>
      </c>
      <c r="F6" s="204">
        <v>420</v>
      </c>
      <c r="G6" s="333">
        <v>16.1904761904762</v>
      </c>
      <c r="H6" s="333">
        <v>-3.3663366336633693</v>
      </c>
      <c r="J6" s="178">
        <v>993</v>
      </c>
      <c r="K6" s="204">
        <v>831</v>
      </c>
      <c r="L6" s="333">
        <v>19.494584837545137</v>
      </c>
    </row>
    <row r="7" spans="1:12" x14ac:dyDescent="0.2">
      <c r="B7" s="513" t="s">
        <v>85</v>
      </c>
      <c r="C7" s="408"/>
      <c r="D7" s="178">
        <v>173</v>
      </c>
      <c r="E7" s="204">
        <v>268</v>
      </c>
      <c r="F7" s="204">
        <v>247</v>
      </c>
      <c r="G7" s="333">
        <v>-29.959514170040492</v>
      </c>
      <c r="H7" s="333">
        <v>-35.447761194029844</v>
      </c>
      <c r="J7" s="178">
        <v>441</v>
      </c>
      <c r="K7" s="204">
        <v>481</v>
      </c>
      <c r="L7" s="333">
        <v>-8.3160083160083165</v>
      </c>
    </row>
    <row r="8" spans="1:12" s="331" customFormat="1" ht="15" x14ac:dyDescent="0.25">
      <c r="B8" s="551" t="s">
        <v>40</v>
      </c>
      <c r="D8" s="119">
        <v>1744</v>
      </c>
      <c r="E8" s="254">
        <v>1780</v>
      </c>
      <c r="F8" s="254">
        <v>1709</v>
      </c>
      <c r="G8" s="333">
        <v>2.0479812755997751</v>
      </c>
      <c r="H8" s="333">
        <v>-2.0224719101123556</v>
      </c>
      <c r="I8" s="323"/>
      <c r="J8" s="119">
        <v>3524</v>
      </c>
      <c r="K8" s="254">
        <v>3388</v>
      </c>
      <c r="L8" s="333">
        <v>4.0141676505312862</v>
      </c>
    </row>
    <row r="9" spans="1:12" x14ac:dyDescent="0.2">
      <c r="B9" s="513" t="s">
        <v>7</v>
      </c>
      <c r="C9" s="323"/>
      <c r="D9" s="178">
        <v>697</v>
      </c>
      <c r="E9" s="204">
        <v>636</v>
      </c>
      <c r="F9" s="204">
        <v>700</v>
      </c>
      <c r="G9" s="333">
        <v>-0.42857142857143371</v>
      </c>
      <c r="H9" s="333">
        <v>9.5911949685534523</v>
      </c>
      <c r="J9" s="178">
        <v>1333</v>
      </c>
      <c r="K9" s="204">
        <v>1326</v>
      </c>
      <c r="L9" s="333">
        <v>0.52790346907993779</v>
      </c>
    </row>
    <row r="10" spans="1:12" x14ac:dyDescent="0.2">
      <c r="B10" s="513" t="s">
        <v>42</v>
      </c>
      <c r="C10" s="323"/>
      <c r="D10" s="178">
        <v>0</v>
      </c>
      <c r="E10" s="204">
        <v>0</v>
      </c>
      <c r="F10" s="204">
        <v>0</v>
      </c>
      <c r="G10" s="333">
        <v>0</v>
      </c>
      <c r="H10" s="333">
        <v>0</v>
      </c>
      <c r="J10" s="178">
        <v>0</v>
      </c>
      <c r="K10" s="204">
        <v>0</v>
      </c>
      <c r="L10" s="333">
        <v>0</v>
      </c>
    </row>
    <row r="11" spans="1:12" x14ac:dyDescent="0.2">
      <c r="B11" s="513" t="s">
        <v>8</v>
      </c>
      <c r="C11" s="323"/>
      <c r="D11" s="178">
        <v>190</v>
      </c>
      <c r="E11" s="204">
        <v>106</v>
      </c>
      <c r="F11" s="204">
        <v>59</v>
      </c>
      <c r="G11" s="333" t="s">
        <v>500</v>
      </c>
      <c r="H11" s="559">
        <v>79.245283018867923</v>
      </c>
      <c r="J11" s="178">
        <v>296</v>
      </c>
      <c r="K11" s="204">
        <v>152</v>
      </c>
      <c r="L11" s="333">
        <v>94.736842105263165</v>
      </c>
    </row>
    <row r="12" spans="1:12" ht="15" x14ac:dyDescent="0.25">
      <c r="B12" s="513" t="s">
        <v>355</v>
      </c>
      <c r="C12" s="323"/>
      <c r="D12" s="178">
        <v>0</v>
      </c>
      <c r="E12" s="204">
        <v>0</v>
      </c>
      <c r="F12" s="204">
        <v>0</v>
      </c>
      <c r="G12" s="333">
        <v>0</v>
      </c>
      <c r="H12" s="333">
        <v>0</v>
      </c>
      <c r="J12" s="119">
        <v>0</v>
      </c>
      <c r="K12" s="204">
        <v>0</v>
      </c>
      <c r="L12" s="333">
        <v>0</v>
      </c>
    </row>
    <row r="13" spans="1:12" s="331" customFormat="1" ht="15" x14ac:dyDescent="0.25">
      <c r="B13" s="376" t="s">
        <v>44</v>
      </c>
      <c r="D13" s="119">
        <v>857</v>
      </c>
      <c r="E13" s="254">
        <v>1038</v>
      </c>
      <c r="F13" s="254">
        <v>950</v>
      </c>
      <c r="G13" s="333">
        <v>-9.7894736842105257</v>
      </c>
      <c r="H13" s="333">
        <v>-17.437379576107904</v>
      </c>
      <c r="I13" s="323"/>
      <c r="J13" s="119">
        <v>1895</v>
      </c>
      <c r="K13" s="254">
        <v>1910</v>
      </c>
      <c r="L13" s="333">
        <v>-0.78534031413612926</v>
      </c>
    </row>
    <row r="14" spans="1:12" x14ac:dyDescent="0.2">
      <c r="B14" s="324" t="s">
        <v>237</v>
      </c>
      <c r="C14" s="323"/>
      <c r="D14" s="178">
        <v>119</v>
      </c>
      <c r="E14" s="204">
        <v>167</v>
      </c>
      <c r="F14" s="204">
        <v>153</v>
      </c>
      <c r="G14" s="333">
        <v>-22.222222222222221</v>
      </c>
      <c r="H14" s="333">
        <v>-28.742514970059887</v>
      </c>
      <c r="J14" s="178">
        <v>286</v>
      </c>
      <c r="K14" s="204">
        <v>313</v>
      </c>
      <c r="L14" s="333">
        <v>-8.6261980830670932</v>
      </c>
    </row>
    <row r="15" spans="1:12" s="331" customFormat="1" ht="15" x14ac:dyDescent="0.25">
      <c r="B15" s="376" t="s">
        <v>238</v>
      </c>
      <c r="D15" s="119">
        <v>738</v>
      </c>
      <c r="E15" s="254">
        <v>871</v>
      </c>
      <c r="F15" s="254">
        <v>797</v>
      </c>
      <c r="G15" s="333">
        <v>-7.4027603513174389</v>
      </c>
      <c r="H15" s="333">
        <v>-15.269804822043632</v>
      </c>
      <c r="I15" s="323"/>
      <c r="J15" s="119">
        <v>1609</v>
      </c>
      <c r="K15" s="254">
        <v>1597</v>
      </c>
      <c r="L15" s="333">
        <v>0.75140889167188973</v>
      </c>
    </row>
    <row r="16" spans="1:12" x14ac:dyDescent="0.2">
      <c r="C16" s="323"/>
      <c r="D16" s="178"/>
      <c r="E16" s="258"/>
      <c r="F16" s="204"/>
      <c r="G16" s="374"/>
      <c r="H16" s="374"/>
      <c r="J16" s="178"/>
      <c r="K16" s="204"/>
    </row>
    <row r="17" spans="1:12" s="376" customFormat="1" ht="14.25" customHeight="1" x14ac:dyDescent="0.25">
      <c r="A17" s="328" t="s">
        <v>234</v>
      </c>
      <c r="D17" s="178"/>
      <c r="E17" s="258"/>
      <c r="F17" s="204"/>
      <c r="G17" s="374"/>
      <c r="H17" s="374"/>
      <c r="J17" s="178"/>
      <c r="K17" s="204"/>
    </row>
    <row r="18" spans="1:12" x14ac:dyDescent="0.2">
      <c r="B18" s="513" t="s">
        <v>239</v>
      </c>
      <c r="C18" s="323"/>
      <c r="D18" s="178">
        <v>62919</v>
      </c>
      <c r="E18" s="204">
        <v>60606</v>
      </c>
      <c r="F18" s="204">
        <v>65910</v>
      </c>
      <c r="G18" s="333">
        <v>-4.5380063723258974</v>
      </c>
      <c r="H18" s="333">
        <v>3.8164538164538131</v>
      </c>
      <c r="J18" s="178">
        <v>62919</v>
      </c>
      <c r="K18" s="204">
        <v>65910</v>
      </c>
      <c r="L18" s="333">
        <v>-4.5380063723258974</v>
      </c>
    </row>
    <row r="19" spans="1:12" x14ac:dyDescent="0.2">
      <c r="B19" s="513" t="s">
        <v>341</v>
      </c>
      <c r="C19" s="323"/>
      <c r="D19" s="178">
        <v>105692</v>
      </c>
      <c r="E19" s="204">
        <v>101545</v>
      </c>
      <c r="F19" s="204">
        <v>105804</v>
      </c>
      <c r="G19" s="333">
        <v>-0.10585611130013994</v>
      </c>
      <c r="H19" s="333">
        <v>4.0839036880200963</v>
      </c>
      <c r="J19" s="178">
        <v>105692</v>
      </c>
      <c r="K19" s="204">
        <v>105804</v>
      </c>
      <c r="L19" s="333">
        <v>-0.10585611130013994</v>
      </c>
    </row>
    <row r="20" spans="1:12" x14ac:dyDescent="0.2">
      <c r="B20" s="513" t="s">
        <v>50</v>
      </c>
      <c r="C20" s="323"/>
      <c r="D20" s="178">
        <v>105720</v>
      </c>
      <c r="E20" s="204">
        <v>101573</v>
      </c>
      <c r="F20" s="204">
        <v>105834</v>
      </c>
      <c r="G20" s="333">
        <v>-0.10771585690798613</v>
      </c>
      <c r="H20" s="333">
        <v>4.0827779035767398</v>
      </c>
      <c r="J20" s="103">
        <v>105720</v>
      </c>
      <c r="K20" s="204">
        <v>105834</v>
      </c>
      <c r="L20" s="333">
        <v>-0.10771585690798613</v>
      </c>
    </row>
    <row r="21" spans="1:12" x14ac:dyDescent="0.2">
      <c r="C21" s="323"/>
      <c r="G21" s="351"/>
      <c r="H21" s="351"/>
    </row>
    <row r="22" spans="1:12" x14ac:dyDescent="0.2">
      <c r="D22" s="408"/>
      <c r="G22" s="351"/>
      <c r="H22" s="351"/>
    </row>
    <row r="23" spans="1:12" x14ac:dyDescent="0.2">
      <c r="B23" s="545"/>
      <c r="C23" s="546"/>
      <c r="D23" s="557"/>
      <c r="E23" s="557"/>
    </row>
    <row r="24" spans="1:12" x14ac:dyDescent="0.2">
      <c r="D24" s="408"/>
    </row>
  </sheetData>
  <mergeCells count="1">
    <mergeCell ref="A2:C2"/>
  </mergeCells>
  <phoneticPr fontId="2" type="noConversion"/>
  <hyperlinks>
    <hyperlink ref="A2" location="Index!A1" display="Back to Index" xr:uid="{62662CD2-A014-47B9-A829-D17BD6235AA6}"/>
  </hyperlinks>
  <pageMargins left="0.23622047244094499" right="0.23622047244094499" top="0.98425196850393704" bottom="0.98425196850393704" header="0.511811023622047" footer="0.511811023622047"/>
  <pageSetup scale="94" orientation="landscape" r:id="rId1"/>
  <headerFooter alignWithMargins="0">
    <oddFooter>&amp;L&amp;Z&amp;F&amp;A&amp;R&amp;D&amp;T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71E11-8F8E-48E1-900C-FD6DE3F6255A}">
  <sheetPr>
    <tabColor indexed="18"/>
    <pageSetUpPr fitToPage="1"/>
  </sheetPr>
  <dimension ref="A1:L147"/>
  <sheetViews>
    <sheetView showGridLines="0" zoomScale="85" zoomScaleNormal="85" zoomScaleSheetLayoutView="90" workbookViewId="0">
      <pane xSplit="3" ySplit="3" topLeftCell="D4" activePane="bottomRight" state="frozen"/>
      <selection pane="topRight" activeCell="L13" sqref="L13"/>
      <selection pane="bottomLeft" activeCell="L13" sqref="L13"/>
      <selection pane="bottomRight"/>
    </sheetView>
  </sheetViews>
  <sheetFormatPr defaultColWidth="9.42578125" defaultRowHeight="14.25" x14ac:dyDescent="0.2"/>
  <cols>
    <col min="1" max="1" width="4" style="323" customWidth="1"/>
    <col min="2" max="2" width="4.42578125" style="323" customWidth="1"/>
    <col min="3" max="3" width="43.42578125" style="357" customWidth="1"/>
    <col min="4" max="5" width="11.42578125" style="8" customWidth="1"/>
    <col min="6" max="8" width="11.42578125" style="323" customWidth="1"/>
    <col min="9" max="9" width="2.5703125" style="323" customWidth="1"/>
    <col min="10" max="12" width="11.42578125" style="323" customWidth="1"/>
    <col min="13" max="16384" width="9.42578125" style="323"/>
  </cols>
  <sheetData>
    <row r="1" spans="1:12" s="4" customFormat="1" ht="20.25" x14ac:dyDescent="0.3">
      <c r="A1" s="3" t="s">
        <v>27</v>
      </c>
      <c r="D1" s="366"/>
      <c r="E1" s="366"/>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6.75" customHeight="1" x14ac:dyDescent="0.25">
      <c r="A3" s="328"/>
      <c r="D3" s="225"/>
      <c r="E3" s="24"/>
      <c r="J3" s="103"/>
    </row>
    <row r="4" spans="1:12" s="376" customFormat="1" ht="14.25" customHeight="1" x14ac:dyDescent="0.25">
      <c r="A4" s="328" t="s">
        <v>343</v>
      </c>
      <c r="D4" s="238"/>
      <c r="E4" s="428"/>
      <c r="F4" s="390"/>
      <c r="G4" s="488"/>
      <c r="H4" s="488"/>
      <c r="I4" s="488"/>
      <c r="J4" s="178"/>
    </row>
    <row r="5" spans="1:12" x14ac:dyDescent="0.2">
      <c r="B5" s="513" t="s">
        <v>37</v>
      </c>
      <c r="C5" s="323"/>
      <c r="D5" s="178">
        <v>616</v>
      </c>
      <c r="E5" s="259">
        <v>566</v>
      </c>
      <c r="F5" s="259">
        <v>550</v>
      </c>
      <c r="G5" s="333">
        <v>12.000000000000011</v>
      </c>
      <c r="H5" s="333">
        <v>8.8339222614840942</v>
      </c>
      <c r="I5" s="351"/>
      <c r="J5" s="178">
        <v>1182</v>
      </c>
      <c r="K5" s="204">
        <v>1107</v>
      </c>
      <c r="L5" s="333">
        <v>6.7750677506775103</v>
      </c>
    </row>
    <row r="6" spans="1:12" x14ac:dyDescent="0.2">
      <c r="B6" s="513" t="s">
        <v>38</v>
      </c>
      <c r="C6" s="408"/>
      <c r="D6" s="178">
        <v>249</v>
      </c>
      <c r="E6" s="259">
        <v>268</v>
      </c>
      <c r="F6" s="259">
        <v>212</v>
      </c>
      <c r="G6" s="333">
        <v>17.452830188679247</v>
      </c>
      <c r="H6" s="333">
        <v>-7.0895522388059735</v>
      </c>
      <c r="I6" s="351"/>
      <c r="J6" s="178">
        <v>517</v>
      </c>
      <c r="K6" s="204">
        <v>444</v>
      </c>
      <c r="L6" s="333">
        <v>16.441441441441441</v>
      </c>
    </row>
    <row r="7" spans="1:12" x14ac:dyDescent="0.2">
      <c r="B7" s="513" t="s">
        <v>85</v>
      </c>
      <c r="C7" s="408"/>
      <c r="D7" s="178">
        <v>207</v>
      </c>
      <c r="E7" s="259">
        <v>281</v>
      </c>
      <c r="F7" s="259">
        <v>197</v>
      </c>
      <c r="G7" s="333">
        <v>5.0761421319796884</v>
      </c>
      <c r="H7" s="333">
        <v>-26.334519572953742</v>
      </c>
      <c r="I7" s="351"/>
      <c r="J7" s="178">
        <v>488</v>
      </c>
      <c r="K7" s="204">
        <v>426</v>
      </c>
      <c r="L7" s="333">
        <v>14.553990610328649</v>
      </c>
    </row>
    <row r="8" spans="1:12" s="331" customFormat="1" ht="15" x14ac:dyDescent="0.25">
      <c r="B8" s="551" t="s">
        <v>40</v>
      </c>
      <c r="D8" s="119">
        <v>1072</v>
      </c>
      <c r="E8" s="260">
        <v>1115</v>
      </c>
      <c r="F8" s="260">
        <v>959</v>
      </c>
      <c r="G8" s="333">
        <v>11.783107403545356</v>
      </c>
      <c r="H8" s="333">
        <v>-3.8565022421524708</v>
      </c>
      <c r="I8" s="489"/>
      <c r="J8" s="119">
        <v>2187</v>
      </c>
      <c r="K8" s="254">
        <v>1977</v>
      </c>
      <c r="L8" s="333">
        <v>10.622154779969662</v>
      </c>
    </row>
    <row r="9" spans="1:12" x14ac:dyDescent="0.2">
      <c r="B9" s="513" t="s">
        <v>7</v>
      </c>
      <c r="C9" s="323"/>
      <c r="D9" s="178">
        <v>687</v>
      </c>
      <c r="E9" s="259">
        <v>652</v>
      </c>
      <c r="F9" s="259">
        <v>671</v>
      </c>
      <c r="G9" s="333">
        <v>2.3845007451564815</v>
      </c>
      <c r="H9" s="333">
        <v>5.3680981595092048</v>
      </c>
      <c r="I9" s="351"/>
      <c r="J9" s="178">
        <v>1339</v>
      </c>
      <c r="K9" s="204">
        <v>1319</v>
      </c>
      <c r="L9" s="333">
        <v>1.5163002274450443</v>
      </c>
    </row>
    <row r="10" spans="1:12" x14ac:dyDescent="0.2">
      <c r="B10" s="513" t="s">
        <v>42</v>
      </c>
      <c r="C10" s="323"/>
      <c r="D10" s="178">
        <v>11</v>
      </c>
      <c r="E10" s="259">
        <v>12</v>
      </c>
      <c r="F10" s="259">
        <v>11</v>
      </c>
      <c r="G10" s="333">
        <v>0</v>
      </c>
      <c r="H10" s="333">
        <v>-8.3333333333333375</v>
      </c>
      <c r="I10" s="351"/>
      <c r="J10" s="178">
        <v>23</v>
      </c>
      <c r="K10" s="204">
        <v>23</v>
      </c>
      <c r="L10" s="333">
        <v>0</v>
      </c>
    </row>
    <row r="11" spans="1:12" x14ac:dyDescent="0.2">
      <c r="B11" s="513" t="s">
        <v>8</v>
      </c>
      <c r="C11" s="323"/>
      <c r="D11" s="178">
        <v>67</v>
      </c>
      <c r="E11" s="259">
        <v>53</v>
      </c>
      <c r="F11" s="259">
        <v>112</v>
      </c>
      <c r="G11" s="333">
        <v>-40.178571428571431</v>
      </c>
      <c r="H11" s="333">
        <v>26.415094339622634</v>
      </c>
      <c r="I11" s="351"/>
      <c r="J11" s="178">
        <v>120</v>
      </c>
      <c r="K11" s="204">
        <v>216</v>
      </c>
      <c r="L11" s="333">
        <v>-44.444444444444443</v>
      </c>
    </row>
    <row r="12" spans="1:12" x14ac:dyDescent="0.2">
      <c r="B12" s="513" t="s">
        <v>355</v>
      </c>
      <c r="C12" s="323"/>
      <c r="D12" s="178">
        <v>96</v>
      </c>
      <c r="E12" s="259">
        <v>127</v>
      </c>
      <c r="F12" s="259">
        <v>105</v>
      </c>
      <c r="G12" s="333">
        <v>-8.5714285714285747</v>
      </c>
      <c r="H12" s="333">
        <v>-24.409448818897637</v>
      </c>
      <c r="I12" s="351"/>
      <c r="J12" s="178">
        <v>223</v>
      </c>
      <c r="K12" s="204">
        <v>205</v>
      </c>
      <c r="L12" s="333">
        <v>8.7804878048780566</v>
      </c>
    </row>
    <row r="13" spans="1:12" s="331" customFormat="1" ht="15" x14ac:dyDescent="0.25">
      <c r="B13" s="376" t="s">
        <v>44</v>
      </c>
      <c r="D13" s="119">
        <v>403</v>
      </c>
      <c r="E13" s="260">
        <v>525</v>
      </c>
      <c r="F13" s="260">
        <v>270</v>
      </c>
      <c r="G13" s="333">
        <v>49.259259259259267</v>
      </c>
      <c r="H13" s="333">
        <v>-23.238095238095234</v>
      </c>
      <c r="I13" s="489"/>
      <c r="J13" s="119">
        <v>928</v>
      </c>
      <c r="K13" s="254">
        <v>624</v>
      </c>
      <c r="L13" s="333">
        <v>48.717948717948723</v>
      </c>
    </row>
    <row r="14" spans="1:12" x14ac:dyDescent="0.2">
      <c r="B14" s="324" t="s">
        <v>237</v>
      </c>
      <c r="C14" s="323"/>
      <c r="D14" s="178">
        <v>50</v>
      </c>
      <c r="E14" s="259">
        <v>87</v>
      </c>
      <c r="F14" s="259">
        <v>33</v>
      </c>
      <c r="G14" s="333">
        <v>51.515151515151516</v>
      </c>
      <c r="H14" s="333">
        <v>-42.52873563218391</v>
      </c>
      <c r="I14" s="351"/>
      <c r="J14" s="178">
        <v>137</v>
      </c>
      <c r="K14" s="204">
        <v>82</v>
      </c>
      <c r="L14" s="333">
        <v>67.073170731707307</v>
      </c>
    </row>
    <row r="15" spans="1:12" s="331" customFormat="1" ht="15" x14ac:dyDescent="0.25">
      <c r="B15" s="376" t="s">
        <v>238</v>
      </c>
      <c r="D15" s="119">
        <v>353</v>
      </c>
      <c r="E15" s="260">
        <v>438</v>
      </c>
      <c r="F15" s="260">
        <v>237</v>
      </c>
      <c r="G15" s="333">
        <v>48.945147679324897</v>
      </c>
      <c r="H15" s="333">
        <v>-19.406392694063925</v>
      </c>
      <c r="I15" s="489"/>
      <c r="J15" s="119">
        <v>791</v>
      </c>
      <c r="K15" s="254">
        <v>542</v>
      </c>
      <c r="L15" s="333">
        <v>45.940959409594107</v>
      </c>
    </row>
    <row r="16" spans="1:12" x14ac:dyDescent="0.2">
      <c r="C16" s="323"/>
      <c r="D16" s="178"/>
      <c r="E16" s="333"/>
      <c r="F16" s="204"/>
      <c r="G16" s="374"/>
      <c r="H16" s="374"/>
      <c r="I16" s="351"/>
      <c r="J16" s="178"/>
      <c r="K16" s="204"/>
    </row>
    <row r="17" spans="1:12" s="376" customFormat="1" ht="14.25" customHeight="1" x14ac:dyDescent="0.25">
      <c r="A17" s="328" t="s">
        <v>234</v>
      </c>
      <c r="D17" s="178"/>
      <c r="E17" s="403"/>
      <c r="F17" s="204"/>
      <c r="G17" s="374"/>
      <c r="H17" s="374"/>
      <c r="I17" s="488"/>
      <c r="J17" s="178"/>
      <c r="K17" s="204"/>
    </row>
    <row r="18" spans="1:12" x14ac:dyDescent="0.2">
      <c r="B18" s="513" t="s">
        <v>239</v>
      </c>
      <c r="C18" s="323"/>
      <c r="D18" s="178">
        <v>48029</v>
      </c>
      <c r="E18" s="333">
        <v>48324</v>
      </c>
      <c r="F18" s="204">
        <v>45113</v>
      </c>
      <c r="G18" s="333">
        <v>6.4637687584510051</v>
      </c>
      <c r="H18" s="333">
        <v>-0.61046271004056019</v>
      </c>
      <c r="I18" s="351"/>
      <c r="J18" s="178">
        <v>48029</v>
      </c>
      <c r="K18" s="204">
        <v>45113</v>
      </c>
      <c r="L18" s="333">
        <v>6.4637687584510051</v>
      </c>
    </row>
    <row r="19" spans="1:12" x14ac:dyDescent="0.2">
      <c r="B19" s="513" t="s">
        <v>341</v>
      </c>
      <c r="C19" s="323"/>
      <c r="D19" s="178">
        <v>81214</v>
      </c>
      <c r="E19" s="333">
        <v>76035</v>
      </c>
      <c r="F19" s="204">
        <v>72219</v>
      </c>
      <c r="G19" s="333">
        <v>12.455171076863426</v>
      </c>
      <c r="H19" s="333">
        <v>6.8113368843295774</v>
      </c>
      <c r="I19" s="351"/>
      <c r="J19" s="178">
        <v>81214</v>
      </c>
      <c r="K19" s="204">
        <v>72219</v>
      </c>
      <c r="L19" s="333">
        <v>12.455171076863426</v>
      </c>
    </row>
    <row r="20" spans="1:12" x14ac:dyDescent="0.2">
      <c r="B20" s="513" t="s">
        <v>50</v>
      </c>
      <c r="C20" s="323"/>
      <c r="D20" s="178">
        <v>82228</v>
      </c>
      <c r="E20" s="333">
        <v>77126</v>
      </c>
      <c r="F20" s="204">
        <v>73272</v>
      </c>
      <c r="G20" s="333">
        <v>12.222950103723118</v>
      </c>
      <c r="H20" s="333">
        <v>6.6151492363146103</v>
      </c>
      <c r="I20" s="351"/>
      <c r="J20" s="103">
        <v>82228</v>
      </c>
      <c r="K20" s="204">
        <v>73272</v>
      </c>
      <c r="L20" s="333">
        <v>12.222950103723118</v>
      </c>
    </row>
    <row r="21" spans="1:12" x14ac:dyDescent="0.2">
      <c r="C21" s="323"/>
      <c r="E21" s="329"/>
      <c r="G21" s="351"/>
      <c r="H21" s="351"/>
      <c r="I21" s="351"/>
    </row>
    <row r="22" spans="1:12" x14ac:dyDescent="0.2">
      <c r="E22" s="330"/>
      <c r="G22" s="351"/>
      <c r="H22" s="351"/>
      <c r="I22" s="351"/>
    </row>
    <row r="23" spans="1:12" x14ac:dyDescent="0.2">
      <c r="B23" s="546" t="s">
        <v>156</v>
      </c>
      <c r="C23" s="546" t="s">
        <v>118</v>
      </c>
      <c r="D23" s="560"/>
      <c r="E23" s="561"/>
    </row>
    <row r="24" spans="1:12" x14ac:dyDescent="0.2">
      <c r="B24" s="545" t="s">
        <v>89</v>
      </c>
      <c r="C24" s="546" t="s">
        <v>512</v>
      </c>
      <c r="D24" s="557"/>
      <c r="E24" s="557"/>
    </row>
    <row r="25" spans="1:12" x14ac:dyDescent="0.2">
      <c r="D25" s="561"/>
      <c r="E25" s="561"/>
    </row>
    <row r="26" spans="1:12" x14ac:dyDescent="0.2">
      <c r="D26" s="562"/>
      <c r="E26" s="562"/>
    </row>
    <row r="27" spans="1:12" x14ac:dyDescent="0.2">
      <c r="D27" s="561"/>
      <c r="E27" s="561"/>
    </row>
    <row r="28" spans="1:12" x14ac:dyDescent="0.2">
      <c r="D28" s="563"/>
      <c r="E28" s="563"/>
    </row>
    <row r="29" spans="1:12" x14ac:dyDescent="0.2">
      <c r="D29" s="564"/>
      <c r="E29" s="564"/>
    </row>
    <row r="30" spans="1:12" x14ac:dyDescent="0.2">
      <c r="D30" s="563"/>
      <c r="E30" s="563"/>
    </row>
    <row r="31" spans="1:12" x14ac:dyDescent="0.2">
      <c r="D31" s="564"/>
      <c r="E31" s="564"/>
    </row>
    <row r="32" spans="1:12" x14ac:dyDescent="0.2">
      <c r="D32" s="563"/>
      <c r="E32" s="563"/>
    </row>
    <row r="33" spans="4:5" x14ac:dyDescent="0.2">
      <c r="D33" s="330"/>
      <c r="E33" s="330"/>
    </row>
    <row r="34" spans="4:5" x14ac:dyDescent="0.2">
      <c r="D34" s="330"/>
      <c r="E34" s="330"/>
    </row>
    <row r="35" spans="4:5" x14ac:dyDescent="0.2">
      <c r="D35" s="330"/>
      <c r="E35" s="330"/>
    </row>
    <row r="36" spans="4:5" x14ac:dyDescent="0.2">
      <c r="D36" s="330"/>
      <c r="E36" s="330"/>
    </row>
    <row r="37" spans="4:5" x14ac:dyDescent="0.2">
      <c r="D37" s="330"/>
      <c r="E37" s="330"/>
    </row>
    <row r="38" spans="4:5" x14ac:dyDescent="0.2">
      <c r="D38" s="330"/>
      <c r="E38" s="330"/>
    </row>
    <row r="39" spans="4:5" x14ac:dyDescent="0.2">
      <c r="D39" s="330"/>
      <c r="E39" s="330"/>
    </row>
    <row r="40" spans="4:5" x14ac:dyDescent="0.2">
      <c r="D40" s="330"/>
      <c r="E40" s="330"/>
    </row>
    <row r="41" spans="4:5" x14ac:dyDescent="0.2">
      <c r="D41" s="330"/>
      <c r="E41" s="330"/>
    </row>
    <row r="42" spans="4:5" x14ac:dyDescent="0.2">
      <c r="D42" s="330"/>
      <c r="E42" s="330"/>
    </row>
    <row r="43" spans="4:5" x14ac:dyDescent="0.2">
      <c r="D43" s="330"/>
      <c r="E43" s="330"/>
    </row>
    <row r="44" spans="4:5" x14ac:dyDescent="0.2">
      <c r="D44" s="330"/>
      <c r="E44" s="330"/>
    </row>
    <row r="45" spans="4:5" x14ac:dyDescent="0.2">
      <c r="D45" s="330"/>
      <c r="E45" s="330"/>
    </row>
    <row r="46" spans="4:5" x14ac:dyDescent="0.2">
      <c r="D46" s="330"/>
      <c r="E46" s="330"/>
    </row>
    <row r="47" spans="4:5" x14ac:dyDescent="0.2">
      <c r="D47" s="330"/>
      <c r="E47" s="330"/>
    </row>
    <row r="48" spans="4:5" x14ac:dyDescent="0.2">
      <c r="D48" s="330"/>
      <c r="E48" s="330"/>
    </row>
    <row r="49" spans="4:5" x14ac:dyDescent="0.2">
      <c r="D49" s="330"/>
      <c r="E49" s="330"/>
    </row>
    <row r="50" spans="4:5" x14ac:dyDescent="0.2">
      <c r="D50" s="330"/>
      <c r="E50" s="330"/>
    </row>
    <row r="51" spans="4:5" x14ac:dyDescent="0.2">
      <c r="D51" s="330"/>
      <c r="E51" s="330"/>
    </row>
    <row r="52" spans="4:5" x14ac:dyDescent="0.2">
      <c r="D52" s="330"/>
      <c r="E52" s="330"/>
    </row>
    <row r="53" spans="4:5" x14ac:dyDescent="0.2">
      <c r="D53" s="330"/>
      <c r="E53" s="330"/>
    </row>
    <row r="54" spans="4:5" x14ac:dyDescent="0.2">
      <c r="D54" s="330"/>
      <c r="E54" s="330"/>
    </row>
    <row r="55" spans="4:5" x14ac:dyDescent="0.2">
      <c r="D55" s="330"/>
      <c r="E55" s="330"/>
    </row>
    <row r="56" spans="4:5" x14ac:dyDescent="0.2">
      <c r="D56" s="330"/>
      <c r="E56" s="330"/>
    </row>
    <row r="57" spans="4:5" x14ac:dyDescent="0.2">
      <c r="D57" s="330"/>
      <c r="E57" s="330"/>
    </row>
    <row r="58" spans="4:5" x14ac:dyDescent="0.2">
      <c r="D58" s="330"/>
      <c r="E58" s="330"/>
    </row>
    <row r="59" spans="4:5" x14ac:dyDescent="0.2">
      <c r="D59" s="330"/>
      <c r="E59" s="330"/>
    </row>
    <row r="60" spans="4:5" x14ac:dyDescent="0.2">
      <c r="D60" s="330"/>
      <c r="E60" s="330"/>
    </row>
    <row r="61" spans="4:5" x14ac:dyDescent="0.2">
      <c r="D61" s="330"/>
      <c r="E61" s="330"/>
    </row>
    <row r="62" spans="4:5" x14ac:dyDescent="0.2">
      <c r="D62" s="330"/>
      <c r="E62" s="330"/>
    </row>
    <row r="63" spans="4:5" x14ac:dyDescent="0.2">
      <c r="D63" s="330"/>
      <c r="E63" s="330"/>
    </row>
    <row r="64" spans="4:5" x14ac:dyDescent="0.2">
      <c r="D64" s="330"/>
      <c r="E64" s="330"/>
    </row>
    <row r="65" spans="4:5" x14ac:dyDescent="0.2">
      <c r="D65" s="330"/>
      <c r="E65" s="330"/>
    </row>
    <row r="66" spans="4:5" x14ac:dyDescent="0.2">
      <c r="D66" s="330"/>
      <c r="E66" s="330"/>
    </row>
    <row r="67" spans="4:5" x14ac:dyDescent="0.2">
      <c r="D67" s="330"/>
      <c r="E67" s="330"/>
    </row>
    <row r="68" spans="4:5" x14ac:dyDescent="0.2">
      <c r="D68" s="330"/>
      <c r="E68" s="330"/>
    </row>
    <row r="69" spans="4:5" x14ac:dyDescent="0.2">
      <c r="D69" s="330"/>
      <c r="E69" s="330"/>
    </row>
    <row r="70" spans="4:5" x14ac:dyDescent="0.2">
      <c r="D70" s="330"/>
      <c r="E70" s="330"/>
    </row>
    <row r="71" spans="4:5" x14ac:dyDescent="0.2">
      <c r="D71" s="330"/>
      <c r="E71" s="330"/>
    </row>
    <row r="72" spans="4:5" x14ac:dyDescent="0.2">
      <c r="D72" s="330"/>
      <c r="E72" s="330"/>
    </row>
    <row r="73" spans="4:5" x14ac:dyDescent="0.2">
      <c r="D73" s="330"/>
      <c r="E73" s="330"/>
    </row>
    <row r="74" spans="4:5" x14ac:dyDescent="0.2">
      <c r="D74" s="330"/>
      <c r="E74" s="330"/>
    </row>
    <row r="75" spans="4:5" x14ac:dyDescent="0.2">
      <c r="D75" s="330"/>
      <c r="E75" s="330"/>
    </row>
    <row r="76" spans="4:5" x14ac:dyDescent="0.2">
      <c r="D76" s="330"/>
      <c r="E76" s="330"/>
    </row>
    <row r="77" spans="4:5" x14ac:dyDescent="0.2">
      <c r="D77" s="330"/>
      <c r="E77" s="330"/>
    </row>
    <row r="78" spans="4:5" x14ac:dyDescent="0.2">
      <c r="D78" s="330"/>
      <c r="E78" s="330"/>
    </row>
    <row r="79" spans="4:5" x14ac:dyDescent="0.2">
      <c r="D79" s="330"/>
      <c r="E79" s="330"/>
    </row>
    <row r="80" spans="4:5" x14ac:dyDescent="0.2">
      <c r="D80" s="330"/>
      <c r="E80" s="330"/>
    </row>
    <row r="81" spans="4:5" x14ac:dyDescent="0.2">
      <c r="D81" s="330"/>
      <c r="E81" s="330"/>
    </row>
    <row r="82" spans="4:5" x14ac:dyDescent="0.2">
      <c r="D82" s="330"/>
      <c r="E82" s="330"/>
    </row>
    <row r="83" spans="4:5" x14ac:dyDescent="0.2">
      <c r="D83" s="330"/>
      <c r="E83" s="330"/>
    </row>
    <row r="84" spans="4:5" x14ac:dyDescent="0.2">
      <c r="D84" s="330"/>
      <c r="E84" s="330"/>
    </row>
    <row r="85" spans="4:5" x14ac:dyDescent="0.2">
      <c r="D85" s="330"/>
      <c r="E85" s="330"/>
    </row>
    <row r="86" spans="4:5" x14ac:dyDescent="0.2">
      <c r="D86" s="330"/>
      <c r="E86" s="330"/>
    </row>
    <row r="87" spans="4:5" x14ac:dyDescent="0.2">
      <c r="D87" s="330"/>
      <c r="E87" s="330"/>
    </row>
    <row r="88" spans="4:5" x14ac:dyDescent="0.2">
      <c r="D88" s="330"/>
      <c r="E88" s="330"/>
    </row>
    <row r="89" spans="4:5" x14ac:dyDescent="0.2">
      <c r="D89" s="330"/>
      <c r="E89" s="330"/>
    </row>
    <row r="90" spans="4:5" x14ac:dyDescent="0.2">
      <c r="D90" s="330"/>
      <c r="E90" s="330"/>
    </row>
    <row r="91" spans="4:5" x14ac:dyDescent="0.2">
      <c r="D91" s="330"/>
      <c r="E91" s="330"/>
    </row>
    <row r="92" spans="4:5" x14ac:dyDescent="0.2">
      <c r="D92" s="330"/>
      <c r="E92" s="330"/>
    </row>
    <row r="93" spans="4:5" x14ac:dyDescent="0.2">
      <c r="D93" s="330"/>
      <c r="E93" s="330"/>
    </row>
    <row r="94" spans="4:5" x14ac:dyDescent="0.2">
      <c r="D94" s="330"/>
      <c r="E94" s="330"/>
    </row>
    <row r="95" spans="4:5" x14ac:dyDescent="0.2">
      <c r="D95" s="330"/>
      <c r="E95" s="330"/>
    </row>
    <row r="96" spans="4:5" x14ac:dyDescent="0.2">
      <c r="D96" s="330"/>
      <c r="E96" s="330"/>
    </row>
    <row r="97" spans="4:5" x14ac:dyDescent="0.2">
      <c r="D97" s="330"/>
      <c r="E97" s="330"/>
    </row>
    <row r="98" spans="4:5" x14ac:dyDescent="0.2">
      <c r="D98" s="330"/>
      <c r="E98" s="330"/>
    </row>
    <row r="99" spans="4:5" x14ac:dyDescent="0.2">
      <c r="D99" s="330"/>
      <c r="E99" s="330"/>
    </row>
    <row r="100" spans="4:5" x14ac:dyDescent="0.2">
      <c r="D100" s="330"/>
      <c r="E100" s="330"/>
    </row>
    <row r="101" spans="4:5" x14ac:dyDescent="0.2">
      <c r="D101" s="330"/>
      <c r="E101" s="330"/>
    </row>
    <row r="102" spans="4:5" x14ac:dyDescent="0.2">
      <c r="D102" s="330"/>
      <c r="E102" s="330"/>
    </row>
    <row r="103" spans="4:5" x14ac:dyDescent="0.2">
      <c r="D103" s="330"/>
      <c r="E103" s="330"/>
    </row>
    <row r="104" spans="4:5" x14ac:dyDescent="0.2">
      <c r="D104" s="330"/>
      <c r="E104" s="330"/>
    </row>
    <row r="105" spans="4:5" x14ac:dyDescent="0.2">
      <c r="D105" s="330"/>
      <c r="E105" s="330"/>
    </row>
    <row r="106" spans="4:5" x14ac:dyDescent="0.2">
      <c r="D106" s="330"/>
      <c r="E106" s="330"/>
    </row>
    <row r="107" spans="4:5" x14ac:dyDescent="0.2">
      <c r="D107" s="330"/>
      <c r="E107" s="330"/>
    </row>
    <row r="108" spans="4:5" x14ac:dyDescent="0.2">
      <c r="D108" s="330"/>
      <c r="E108" s="330"/>
    </row>
    <row r="109" spans="4:5" x14ac:dyDescent="0.2">
      <c r="D109" s="330"/>
      <c r="E109" s="330"/>
    </row>
    <row r="110" spans="4:5" x14ac:dyDescent="0.2">
      <c r="D110" s="330"/>
      <c r="E110" s="330"/>
    </row>
    <row r="111" spans="4:5" x14ac:dyDescent="0.2">
      <c r="D111" s="330"/>
      <c r="E111" s="330"/>
    </row>
    <row r="112" spans="4:5" x14ac:dyDescent="0.2">
      <c r="D112" s="330"/>
      <c r="E112" s="330"/>
    </row>
    <row r="113" spans="4:5" x14ac:dyDescent="0.2">
      <c r="D113" s="330"/>
      <c r="E113" s="330"/>
    </row>
    <row r="114" spans="4:5" x14ac:dyDescent="0.2">
      <c r="D114" s="330"/>
      <c r="E114" s="330"/>
    </row>
    <row r="115" spans="4:5" x14ac:dyDescent="0.2">
      <c r="D115" s="330"/>
      <c r="E115" s="330"/>
    </row>
    <row r="116" spans="4:5" x14ac:dyDescent="0.2">
      <c r="D116" s="330"/>
      <c r="E116" s="330"/>
    </row>
    <row r="117" spans="4:5" x14ac:dyDescent="0.2">
      <c r="D117" s="330"/>
      <c r="E117" s="330"/>
    </row>
    <row r="118" spans="4:5" x14ac:dyDescent="0.2">
      <c r="D118" s="330"/>
      <c r="E118" s="330"/>
    </row>
    <row r="119" spans="4:5" x14ac:dyDescent="0.2">
      <c r="D119" s="330"/>
      <c r="E119" s="330"/>
    </row>
    <row r="120" spans="4:5" x14ac:dyDescent="0.2">
      <c r="D120" s="330"/>
      <c r="E120" s="330"/>
    </row>
    <row r="121" spans="4:5" x14ac:dyDescent="0.2">
      <c r="D121" s="330"/>
      <c r="E121" s="330"/>
    </row>
    <row r="122" spans="4:5" x14ac:dyDescent="0.2">
      <c r="D122" s="330"/>
      <c r="E122" s="330"/>
    </row>
    <row r="123" spans="4:5" x14ac:dyDescent="0.2">
      <c r="D123" s="330"/>
      <c r="E123" s="330"/>
    </row>
    <row r="124" spans="4:5" x14ac:dyDescent="0.2">
      <c r="D124" s="330"/>
      <c r="E124" s="330"/>
    </row>
    <row r="125" spans="4:5" x14ac:dyDescent="0.2">
      <c r="D125" s="330"/>
      <c r="E125" s="330"/>
    </row>
    <row r="126" spans="4:5" x14ac:dyDescent="0.2">
      <c r="D126" s="330"/>
      <c r="E126" s="330"/>
    </row>
    <row r="127" spans="4:5" x14ac:dyDescent="0.2">
      <c r="D127" s="330"/>
      <c r="E127" s="330"/>
    </row>
    <row r="128" spans="4:5" x14ac:dyDescent="0.2">
      <c r="D128" s="330"/>
      <c r="E128" s="330"/>
    </row>
    <row r="129" spans="4:5" x14ac:dyDescent="0.2">
      <c r="D129" s="330"/>
      <c r="E129" s="330"/>
    </row>
    <row r="130" spans="4:5" x14ac:dyDescent="0.2">
      <c r="D130" s="330"/>
      <c r="E130" s="330"/>
    </row>
    <row r="131" spans="4:5" x14ac:dyDescent="0.2">
      <c r="D131" s="330"/>
      <c r="E131" s="330"/>
    </row>
    <row r="132" spans="4:5" x14ac:dyDescent="0.2">
      <c r="D132" s="330"/>
      <c r="E132" s="330"/>
    </row>
    <row r="133" spans="4:5" x14ac:dyDescent="0.2">
      <c r="D133" s="330"/>
      <c r="E133" s="330"/>
    </row>
    <row r="134" spans="4:5" x14ac:dyDescent="0.2">
      <c r="D134" s="330"/>
      <c r="E134" s="330"/>
    </row>
    <row r="135" spans="4:5" x14ac:dyDescent="0.2">
      <c r="D135" s="330"/>
      <c r="E135" s="330"/>
    </row>
    <row r="136" spans="4:5" x14ac:dyDescent="0.2">
      <c r="D136" s="330"/>
      <c r="E136" s="330"/>
    </row>
    <row r="137" spans="4:5" x14ac:dyDescent="0.2">
      <c r="D137" s="330"/>
      <c r="E137" s="330"/>
    </row>
    <row r="138" spans="4:5" x14ac:dyDescent="0.2">
      <c r="D138" s="330"/>
      <c r="E138" s="330"/>
    </row>
    <row r="139" spans="4:5" x14ac:dyDescent="0.2">
      <c r="D139" s="330"/>
      <c r="E139" s="330"/>
    </row>
    <row r="140" spans="4:5" x14ac:dyDescent="0.2">
      <c r="D140" s="330"/>
      <c r="E140" s="330"/>
    </row>
    <row r="141" spans="4:5" x14ac:dyDescent="0.2">
      <c r="D141" s="460"/>
      <c r="E141" s="460"/>
    </row>
    <row r="142" spans="4:5" x14ac:dyDescent="0.2">
      <c r="D142" s="460"/>
      <c r="E142" s="460"/>
    </row>
    <row r="143" spans="4:5" x14ac:dyDescent="0.2">
      <c r="D143" s="460"/>
      <c r="E143" s="460"/>
    </row>
    <row r="144" spans="4:5" x14ac:dyDescent="0.2">
      <c r="D144" s="460"/>
      <c r="E144" s="460"/>
    </row>
    <row r="145" spans="4:5" x14ac:dyDescent="0.2">
      <c r="D145" s="460"/>
      <c r="E145" s="460"/>
    </row>
    <row r="146" spans="4:5" x14ac:dyDescent="0.2">
      <c r="D146" s="460"/>
      <c r="E146" s="460"/>
    </row>
    <row r="147" spans="4:5" x14ac:dyDescent="0.2">
      <c r="D147" s="460"/>
      <c r="E147" s="460"/>
    </row>
  </sheetData>
  <mergeCells count="1">
    <mergeCell ref="A2:C2"/>
  </mergeCells>
  <phoneticPr fontId="2" type="noConversion"/>
  <hyperlinks>
    <hyperlink ref="A2" location="Index!A1" display="Back to Index" xr:uid="{26CA7885-CDD6-46B6-9A33-7A1136452045}"/>
  </hyperlinks>
  <pageMargins left="0.511811023622047" right="0.35433070866141703" top="0.98425196850393704" bottom="0.98425196850393704" header="0.511811023622047" footer="0.511811023622047"/>
  <pageSetup scale="90" orientation="landscape" r:id="rId1"/>
  <headerFooter alignWithMargins="0">
    <oddFooter>&amp;L&amp;Z&amp;F&amp;A&amp;R&amp;D&amp;T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AFE5-F0AF-4E79-A9DA-8109BC825275}">
  <sheetPr>
    <tabColor indexed="18"/>
    <pageSetUpPr fitToPage="1"/>
  </sheetPr>
  <dimension ref="A1:L150"/>
  <sheetViews>
    <sheetView showGridLines="0" zoomScale="90" zoomScaleNormal="90" workbookViewId="0">
      <pane xSplit="3" ySplit="3" topLeftCell="D4" activePane="bottomRight" state="frozen"/>
      <selection pane="topRight" activeCell="L13" sqref="L13"/>
      <selection pane="bottomLeft" activeCell="L13" sqref="L13"/>
      <selection pane="bottomRight"/>
    </sheetView>
  </sheetViews>
  <sheetFormatPr defaultColWidth="9.42578125" defaultRowHeight="14.25" x14ac:dyDescent="0.2"/>
  <cols>
    <col min="1" max="1" width="4" style="323" customWidth="1"/>
    <col min="2" max="2" width="4.42578125" style="323" customWidth="1"/>
    <col min="3" max="3" width="41.42578125" style="357" customWidth="1"/>
    <col min="4" max="5" width="11.42578125" style="8" customWidth="1"/>
    <col min="6" max="8" width="11.42578125" style="323" customWidth="1"/>
    <col min="9" max="9" width="2.5703125" style="323" customWidth="1"/>
    <col min="10" max="12" width="11.42578125" style="323" customWidth="1"/>
    <col min="13" max="16384" width="9.42578125" style="323"/>
  </cols>
  <sheetData>
    <row r="1" spans="1:12" s="4" customFormat="1" ht="20.25" x14ac:dyDescent="0.3">
      <c r="A1" s="3" t="s">
        <v>28</v>
      </c>
      <c r="D1" s="366"/>
      <c r="E1" s="366"/>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5.0999999999999996" customHeight="1" x14ac:dyDescent="0.25">
      <c r="A3" s="328"/>
      <c r="D3" s="225"/>
      <c r="E3" s="24"/>
      <c r="J3" s="326"/>
    </row>
    <row r="4" spans="1:12" s="376" customFormat="1" ht="14.25" customHeight="1" x14ac:dyDescent="0.25">
      <c r="A4" s="328" t="s">
        <v>68</v>
      </c>
      <c r="D4" s="261"/>
      <c r="E4" s="332"/>
      <c r="J4" s="178"/>
    </row>
    <row r="5" spans="1:12" x14ac:dyDescent="0.2">
      <c r="B5" s="513" t="s">
        <v>37</v>
      </c>
      <c r="C5" s="323"/>
      <c r="D5" s="178">
        <v>597</v>
      </c>
      <c r="E5" s="262">
        <v>602</v>
      </c>
      <c r="F5" s="262">
        <v>629</v>
      </c>
      <c r="G5" s="333">
        <v>-5.0874403815580287</v>
      </c>
      <c r="H5" s="333">
        <v>-0.83056478405315604</v>
      </c>
      <c r="I5" s="408"/>
      <c r="J5" s="178">
        <v>1199</v>
      </c>
      <c r="K5" s="204">
        <v>1245</v>
      </c>
      <c r="L5" s="333">
        <v>-3.6947791164658628</v>
      </c>
    </row>
    <row r="6" spans="1:12" x14ac:dyDescent="0.2">
      <c r="B6" s="513" t="s">
        <v>38</v>
      </c>
      <c r="C6" s="323"/>
      <c r="D6" s="178">
        <v>148</v>
      </c>
      <c r="E6" s="262">
        <v>165</v>
      </c>
      <c r="F6" s="262">
        <v>133</v>
      </c>
      <c r="G6" s="333">
        <v>11.278195488721799</v>
      </c>
      <c r="H6" s="333">
        <v>-10.303030303030303</v>
      </c>
      <c r="I6" s="408"/>
      <c r="J6" s="178">
        <v>313</v>
      </c>
      <c r="K6" s="204">
        <v>287</v>
      </c>
      <c r="L6" s="333">
        <v>9.0592334494773432</v>
      </c>
    </row>
    <row r="7" spans="1:12" x14ac:dyDescent="0.2">
      <c r="B7" s="513" t="s">
        <v>85</v>
      </c>
      <c r="C7" s="323"/>
      <c r="D7" s="178">
        <v>56</v>
      </c>
      <c r="E7" s="262">
        <v>130</v>
      </c>
      <c r="F7" s="262">
        <v>27</v>
      </c>
      <c r="G7" s="333" t="s">
        <v>500</v>
      </c>
      <c r="H7" s="333">
        <v>-56.92307692307692</v>
      </c>
      <c r="I7" s="408"/>
      <c r="J7" s="178">
        <v>186</v>
      </c>
      <c r="K7" s="204">
        <v>37</v>
      </c>
      <c r="L7" s="333" t="s">
        <v>500</v>
      </c>
    </row>
    <row r="8" spans="1:12" s="331" customFormat="1" ht="15" x14ac:dyDescent="0.25">
      <c r="B8" s="551" t="s">
        <v>40</v>
      </c>
      <c r="D8" s="119">
        <v>801</v>
      </c>
      <c r="E8" s="263">
        <v>897</v>
      </c>
      <c r="F8" s="263">
        <v>789</v>
      </c>
      <c r="G8" s="333">
        <v>1.5209125475285079</v>
      </c>
      <c r="H8" s="333">
        <v>-10.702341137123749</v>
      </c>
      <c r="I8" s="402"/>
      <c r="J8" s="119">
        <v>1698</v>
      </c>
      <c r="K8" s="254">
        <v>1569</v>
      </c>
      <c r="L8" s="333">
        <v>8.2217973231357497</v>
      </c>
    </row>
    <row r="9" spans="1:12" x14ac:dyDescent="0.2">
      <c r="B9" s="513" t="s">
        <v>7</v>
      </c>
      <c r="C9" s="323"/>
      <c r="D9" s="178">
        <v>482</v>
      </c>
      <c r="E9" s="262">
        <v>474</v>
      </c>
      <c r="F9" s="262">
        <v>491</v>
      </c>
      <c r="G9" s="333">
        <v>-1.8329938900203624</v>
      </c>
      <c r="H9" s="333">
        <v>1.6877637130801704</v>
      </c>
      <c r="I9" s="408"/>
      <c r="J9" s="178">
        <v>956</v>
      </c>
      <c r="K9" s="204">
        <v>941</v>
      </c>
      <c r="L9" s="333">
        <v>1.5940488841657885</v>
      </c>
    </row>
    <row r="10" spans="1:12" x14ac:dyDescent="0.2">
      <c r="B10" s="513" t="s">
        <v>42</v>
      </c>
      <c r="C10" s="323"/>
      <c r="D10" s="178">
        <v>0</v>
      </c>
      <c r="E10" s="262">
        <v>0</v>
      </c>
      <c r="F10" s="262">
        <v>0</v>
      </c>
      <c r="G10" s="333">
        <v>0</v>
      </c>
      <c r="H10" s="333">
        <v>0</v>
      </c>
      <c r="I10" s="408"/>
      <c r="J10" s="178">
        <v>0</v>
      </c>
      <c r="K10" s="204">
        <v>0</v>
      </c>
      <c r="L10" s="333">
        <v>0</v>
      </c>
    </row>
    <row r="11" spans="1:12" x14ac:dyDescent="0.2">
      <c r="B11" s="513" t="s">
        <v>8</v>
      </c>
      <c r="C11" s="323"/>
      <c r="D11" s="178">
        <v>127</v>
      </c>
      <c r="E11" s="262">
        <v>93</v>
      </c>
      <c r="F11" s="262">
        <v>103</v>
      </c>
      <c r="G11" s="333">
        <v>23.300970873786397</v>
      </c>
      <c r="H11" s="333">
        <v>36.559139784946225</v>
      </c>
      <c r="I11" s="408"/>
      <c r="J11" s="178">
        <v>220</v>
      </c>
      <c r="K11" s="204">
        <v>174</v>
      </c>
      <c r="L11" s="333">
        <v>26.436781609195403</v>
      </c>
    </row>
    <row r="12" spans="1:12" ht="15" x14ac:dyDescent="0.25">
      <c r="B12" s="513" t="s">
        <v>355</v>
      </c>
      <c r="C12" s="323"/>
      <c r="D12" s="178">
        <v>0</v>
      </c>
      <c r="E12" s="262">
        <v>0</v>
      </c>
      <c r="F12" s="262">
        <v>0</v>
      </c>
      <c r="G12" s="333">
        <v>0</v>
      </c>
      <c r="H12" s="333">
        <v>0</v>
      </c>
      <c r="I12" s="408"/>
      <c r="J12" s="119">
        <v>0</v>
      </c>
      <c r="K12" s="204">
        <v>0</v>
      </c>
      <c r="L12" s="333">
        <v>0</v>
      </c>
    </row>
    <row r="13" spans="1:12" s="331" customFormat="1" ht="15" x14ac:dyDescent="0.25">
      <c r="B13" s="376" t="s">
        <v>44</v>
      </c>
      <c r="D13" s="119">
        <v>192</v>
      </c>
      <c r="E13" s="263">
        <v>330</v>
      </c>
      <c r="F13" s="263">
        <v>195</v>
      </c>
      <c r="G13" s="333">
        <v>-1.538461538461533</v>
      </c>
      <c r="H13" s="333">
        <v>-41.81818181818182</v>
      </c>
      <c r="I13" s="402"/>
      <c r="J13" s="119">
        <v>522</v>
      </c>
      <c r="K13" s="254">
        <v>454</v>
      </c>
      <c r="L13" s="333">
        <v>14.977973568281943</v>
      </c>
    </row>
    <row r="14" spans="1:12" ht="13.5" customHeight="1" x14ac:dyDescent="0.2">
      <c r="B14" s="324" t="s">
        <v>237</v>
      </c>
      <c r="C14" s="323"/>
      <c r="D14" s="178">
        <v>33</v>
      </c>
      <c r="E14" s="262">
        <v>76</v>
      </c>
      <c r="F14" s="262">
        <v>43</v>
      </c>
      <c r="G14" s="333">
        <v>-23.255813953488371</v>
      </c>
      <c r="H14" s="333">
        <v>-56.578947368421048</v>
      </c>
      <c r="I14" s="408"/>
      <c r="J14" s="178">
        <v>109</v>
      </c>
      <c r="K14" s="204">
        <v>97</v>
      </c>
      <c r="L14" s="333">
        <v>12.371134020618557</v>
      </c>
    </row>
    <row r="15" spans="1:12" s="331" customFormat="1" ht="15" x14ac:dyDescent="0.25">
      <c r="B15" s="376" t="s">
        <v>238</v>
      </c>
      <c r="D15" s="119">
        <v>159</v>
      </c>
      <c r="E15" s="263">
        <v>254</v>
      </c>
      <c r="F15" s="263">
        <v>152</v>
      </c>
      <c r="G15" s="333">
        <v>4.6052631578947345</v>
      </c>
      <c r="H15" s="333">
        <v>-37.401574803149607</v>
      </c>
      <c r="I15" s="402"/>
      <c r="J15" s="119">
        <v>413</v>
      </c>
      <c r="K15" s="254">
        <v>357</v>
      </c>
      <c r="L15" s="333">
        <v>15.686274509803933</v>
      </c>
    </row>
    <row r="16" spans="1:12" x14ac:dyDescent="0.2">
      <c r="C16" s="323"/>
      <c r="D16" s="178"/>
      <c r="E16" s="333"/>
      <c r="F16" s="338"/>
      <c r="G16" s="374"/>
      <c r="H16" s="374"/>
      <c r="I16" s="408"/>
      <c r="J16" s="178"/>
      <c r="K16" s="204"/>
    </row>
    <row r="17" spans="1:12" s="376" customFormat="1" ht="14.25" customHeight="1" x14ac:dyDescent="0.25">
      <c r="A17" s="328" t="s">
        <v>234</v>
      </c>
      <c r="D17" s="178"/>
      <c r="E17" s="403"/>
      <c r="F17" s="565"/>
      <c r="G17" s="374"/>
      <c r="H17" s="374"/>
      <c r="I17" s="390"/>
      <c r="J17" s="178"/>
      <c r="K17" s="204"/>
    </row>
    <row r="18" spans="1:12" x14ac:dyDescent="0.2">
      <c r="B18" s="513" t="s">
        <v>239</v>
      </c>
      <c r="C18" s="323"/>
      <c r="D18" s="178">
        <v>25560</v>
      </c>
      <c r="E18" s="333">
        <v>25260</v>
      </c>
      <c r="F18" s="333">
        <v>25266</v>
      </c>
      <c r="G18" s="333">
        <v>1.1636190928520529</v>
      </c>
      <c r="H18" s="333">
        <v>1.1876484560570111</v>
      </c>
      <c r="I18" s="408"/>
      <c r="J18" s="178">
        <v>25560</v>
      </c>
      <c r="K18" s="204">
        <v>25266</v>
      </c>
      <c r="L18" s="333">
        <v>1.1636190928520529</v>
      </c>
    </row>
    <row r="19" spans="1:12" x14ac:dyDescent="0.2">
      <c r="B19" s="513" t="s">
        <v>341</v>
      </c>
      <c r="C19" s="323"/>
      <c r="D19" s="178">
        <v>42270</v>
      </c>
      <c r="E19" s="333">
        <v>41419</v>
      </c>
      <c r="F19" s="333">
        <v>43906</v>
      </c>
      <c r="G19" s="333">
        <v>-3.7261422129094002</v>
      </c>
      <c r="H19" s="333">
        <v>2.0546126173978108</v>
      </c>
      <c r="I19" s="408"/>
      <c r="J19" s="178">
        <v>42270</v>
      </c>
      <c r="K19" s="204">
        <v>43906</v>
      </c>
      <c r="L19" s="333">
        <v>-3.7261422129094002</v>
      </c>
    </row>
    <row r="20" spans="1:12" x14ac:dyDescent="0.2">
      <c r="B20" s="513" t="s">
        <v>50</v>
      </c>
      <c r="C20" s="323"/>
      <c r="D20" s="178">
        <v>42427</v>
      </c>
      <c r="E20" s="333">
        <v>41582</v>
      </c>
      <c r="F20" s="333">
        <v>44080</v>
      </c>
      <c r="G20" s="333">
        <v>-3.7499999999999978</v>
      </c>
      <c r="H20" s="333">
        <v>2.0321292867105933</v>
      </c>
      <c r="I20" s="408"/>
      <c r="J20" s="103">
        <v>42427</v>
      </c>
      <c r="K20" s="204">
        <v>44080</v>
      </c>
      <c r="L20" s="333">
        <v>-3.7499999999999978</v>
      </c>
    </row>
    <row r="21" spans="1:12" x14ac:dyDescent="0.2">
      <c r="B21" s="513"/>
      <c r="C21" s="323"/>
      <c r="D21" s="333"/>
      <c r="E21" s="333"/>
      <c r="F21" s="333"/>
      <c r="G21" s="333"/>
      <c r="H21" s="333"/>
      <c r="I21" s="408"/>
    </row>
    <row r="22" spans="1:12" x14ac:dyDescent="0.2">
      <c r="B22" s="70"/>
      <c r="C22" s="70"/>
      <c r="D22" s="566"/>
      <c r="E22" s="566"/>
    </row>
    <row r="23" spans="1:12" x14ac:dyDescent="0.2">
      <c r="B23" s="545"/>
      <c r="C23" s="546"/>
      <c r="D23" s="557"/>
      <c r="E23" s="557"/>
    </row>
    <row r="24" spans="1:12" x14ac:dyDescent="0.2">
      <c r="D24" s="561"/>
      <c r="E24" s="561"/>
    </row>
    <row r="25" spans="1:12" x14ac:dyDescent="0.2">
      <c r="D25" s="562"/>
      <c r="E25" s="562"/>
    </row>
    <row r="26" spans="1:12" x14ac:dyDescent="0.2">
      <c r="D26" s="561"/>
      <c r="E26" s="561"/>
    </row>
    <row r="27" spans="1:12" x14ac:dyDescent="0.2">
      <c r="D27" s="563"/>
      <c r="E27" s="563"/>
    </row>
    <row r="28" spans="1:12" x14ac:dyDescent="0.2">
      <c r="D28" s="564"/>
      <c r="E28" s="564"/>
    </row>
    <row r="29" spans="1:12" x14ac:dyDescent="0.2">
      <c r="D29" s="563"/>
      <c r="E29" s="563"/>
    </row>
    <row r="30" spans="1:12" x14ac:dyDescent="0.2">
      <c r="D30" s="564"/>
      <c r="E30" s="564"/>
    </row>
    <row r="31" spans="1:12" x14ac:dyDescent="0.2">
      <c r="D31" s="563"/>
      <c r="E31" s="563"/>
    </row>
    <row r="32" spans="1:12" x14ac:dyDescent="0.2">
      <c r="D32" s="330"/>
      <c r="E32" s="330"/>
    </row>
    <row r="33" spans="4:5" x14ac:dyDescent="0.2">
      <c r="D33" s="330"/>
      <c r="E33" s="330"/>
    </row>
    <row r="34" spans="4:5" x14ac:dyDescent="0.2">
      <c r="D34" s="330"/>
      <c r="E34" s="330"/>
    </row>
    <row r="35" spans="4:5" x14ac:dyDescent="0.2">
      <c r="D35" s="330"/>
      <c r="E35" s="330"/>
    </row>
    <row r="36" spans="4:5" x14ac:dyDescent="0.2">
      <c r="D36" s="330"/>
      <c r="E36" s="330"/>
    </row>
    <row r="37" spans="4:5" x14ac:dyDescent="0.2">
      <c r="D37" s="330"/>
      <c r="E37" s="330"/>
    </row>
    <row r="38" spans="4:5" x14ac:dyDescent="0.2">
      <c r="D38" s="330"/>
      <c r="E38" s="330"/>
    </row>
    <row r="39" spans="4:5" x14ac:dyDescent="0.2">
      <c r="D39" s="330"/>
      <c r="E39" s="330"/>
    </row>
    <row r="40" spans="4:5" x14ac:dyDescent="0.2">
      <c r="D40" s="330"/>
      <c r="E40" s="330"/>
    </row>
    <row r="41" spans="4:5" x14ac:dyDescent="0.2">
      <c r="D41" s="330"/>
      <c r="E41" s="330"/>
    </row>
    <row r="42" spans="4:5" x14ac:dyDescent="0.2">
      <c r="D42" s="330"/>
      <c r="E42" s="330"/>
    </row>
    <row r="43" spans="4:5" x14ac:dyDescent="0.2">
      <c r="D43" s="330"/>
      <c r="E43" s="330"/>
    </row>
    <row r="44" spans="4:5" x14ac:dyDescent="0.2">
      <c r="D44" s="330"/>
      <c r="E44" s="330"/>
    </row>
    <row r="45" spans="4:5" x14ac:dyDescent="0.2">
      <c r="D45" s="330"/>
      <c r="E45" s="330"/>
    </row>
    <row r="46" spans="4:5" x14ac:dyDescent="0.2">
      <c r="D46" s="330"/>
      <c r="E46" s="330"/>
    </row>
    <row r="47" spans="4:5" x14ac:dyDescent="0.2">
      <c r="D47" s="330"/>
      <c r="E47" s="330"/>
    </row>
    <row r="48" spans="4:5" x14ac:dyDescent="0.2">
      <c r="D48" s="330"/>
      <c r="E48" s="330"/>
    </row>
    <row r="49" spans="4:5" x14ac:dyDescent="0.2">
      <c r="D49" s="330"/>
      <c r="E49" s="330"/>
    </row>
    <row r="50" spans="4:5" x14ac:dyDescent="0.2">
      <c r="D50" s="330"/>
      <c r="E50" s="330"/>
    </row>
    <row r="51" spans="4:5" x14ac:dyDescent="0.2">
      <c r="D51" s="330"/>
      <c r="E51" s="330"/>
    </row>
    <row r="52" spans="4:5" x14ac:dyDescent="0.2">
      <c r="D52" s="330"/>
      <c r="E52" s="330"/>
    </row>
    <row r="53" spans="4:5" x14ac:dyDescent="0.2">
      <c r="D53" s="330"/>
      <c r="E53" s="330"/>
    </row>
    <row r="54" spans="4:5" x14ac:dyDescent="0.2">
      <c r="D54" s="330"/>
      <c r="E54" s="330"/>
    </row>
    <row r="55" spans="4:5" x14ac:dyDescent="0.2">
      <c r="D55" s="330"/>
      <c r="E55" s="330"/>
    </row>
    <row r="56" spans="4:5" x14ac:dyDescent="0.2">
      <c r="D56" s="330"/>
      <c r="E56" s="330"/>
    </row>
    <row r="57" spans="4:5" x14ac:dyDescent="0.2">
      <c r="D57" s="330"/>
      <c r="E57" s="330"/>
    </row>
    <row r="58" spans="4:5" x14ac:dyDescent="0.2">
      <c r="D58" s="330"/>
      <c r="E58" s="330"/>
    </row>
    <row r="59" spans="4:5" x14ac:dyDescent="0.2">
      <c r="D59" s="330"/>
      <c r="E59" s="330"/>
    </row>
    <row r="60" spans="4:5" x14ac:dyDescent="0.2">
      <c r="D60" s="330"/>
      <c r="E60" s="330"/>
    </row>
    <row r="61" spans="4:5" x14ac:dyDescent="0.2">
      <c r="D61" s="330"/>
      <c r="E61" s="330"/>
    </row>
    <row r="62" spans="4:5" x14ac:dyDescent="0.2">
      <c r="D62" s="330"/>
      <c r="E62" s="330"/>
    </row>
    <row r="63" spans="4:5" x14ac:dyDescent="0.2">
      <c r="D63" s="330"/>
      <c r="E63" s="330"/>
    </row>
    <row r="64" spans="4:5" x14ac:dyDescent="0.2">
      <c r="D64" s="330"/>
      <c r="E64" s="330"/>
    </row>
    <row r="65" spans="4:5" x14ac:dyDescent="0.2">
      <c r="D65" s="330"/>
      <c r="E65" s="330"/>
    </row>
    <row r="66" spans="4:5" x14ac:dyDescent="0.2">
      <c r="D66" s="330"/>
      <c r="E66" s="330"/>
    </row>
    <row r="67" spans="4:5" x14ac:dyDescent="0.2">
      <c r="D67" s="330"/>
      <c r="E67" s="330"/>
    </row>
    <row r="68" spans="4:5" x14ac:dyDescent="0.2">
      <c r="D68" s="330"/>
      <c r="E68" s="330"/>
    </row>
    <row r="69" spans="4:5" x14ac:dyDescent="0.2">
      <c r="D69" s="330"/>
      <c r="E69" s="330"/>
    </row>
    <row r="70" spans="4:5" x14ac:dyDescent="0.2">
      <c r="D70" s="330"/>
      <c r="E70" s="330"/>
    </row>
    <row r="71" spans="4:5" x14ac:dyDescent="0.2">
      <c r="D71" s="330"/>
      <c r="E71" s="330"/>
    </row>
    <row r="72" spans="4:5" x14ac:dyDescent="0.2">
      <c r="D72" s="330"/>
      <c r="E72" s="330"/>
    </row>
    <row r="73" spans="4:5" x14ac:dyDescent="0.2">
      <c r="D73" s="330"/>
      <c r="E73" s="330"/>
    </row>
    <row r="74" spans="4:5" x14ac:dyDescent="0.2">
      <c r="D74" s="330"/>
      <c r="E74" s="330"/>
    </row>
    <row r="75" spans="4:5" x14ac:dyDescent="0.2">
      <c r="D75" s="330"/>
      <c r="E75" s="330"/>
    </row>
    <row r="76" spans="4:5" x14ac:dyDescent="0.2">
      <c r="D76" s="330"/>
      <c r="E76" s="330"/>
    </row>
    <row r="77" spans="4:5" x14ac:dyDescent="0.2">
      <c r="D77" s="330"/>
      <c r="E77" s="330"/>
    </row>
    <row r="78" spans="4:5" x14ac:dyDescent="0.2">
      <c r="D78" s="330"/>
      <c r="E78" s="330"/>
    </row>
    <row r="79" spans="4:5" x14ac:dyDescent="0.2">
      <c r="D79" s="330"/>
      <c r="E79" s="330"/>
    </row>
    <row r="80" spans="4:5" x14ac:dyDescent="0.2">
      <c r="D80" s="330"/>
      <c r="E80" s="330"/>
    </row>
    <row r="81" spans="4:5" x14ac:dyDescent="0.2">
      <c r="D81" s="330"/>
      <c r="E81" s="330"/>
    </row>
    <row r="82" spans="4:5" x14ac:dyDescent="0.2">
      <c r="D82" s="330"/>
      <c r="E82" s="330"/>
    </row>
    <row r="83" spans="4:5" x14ac:dyDescent="0.2">
      <c r="D83" s="330"/>
      <c r="E83" s="330"/>
    </row>
    <row r="84" spans="4:5" x14ac:dyDescent="0.2">
      <c r="D84" s="330"/>
      <c r="E84" s="330"/>
    </row>
    <row r="85" spans="4:5" x14ac:dyDescent="0.2">
      <c r="D85" s="330"/>
      <c r="E85" s="330"/>
    </row>
    <row r="86" spans="4:5" x14ac:dyDescent="0.2">
      <c r="D86" s="330"/>
      <c r="E86" s="330"/>
    </row>
    <row r="87" spans="4:5" x14ac:dyDescent="0.2">
      <c r="D87" s="330"/>
      <c r="E87" s="330"/>
    </row>
    <row r="88" spans="4:5" x14ac:dyDescent="0.2">
      <c r="D88" s="330"/>
      <c r="E88" s="330"/>
    </row>
    <row r="89" spans="4:5" x14ac:dyDescent="0.2">
      <c r="D89" s="330"/>
      <c r="E89" s="330"/>
    </row>
    <row r="90" spans="4:5" x14ac:dyDescent="0.2">
      <c r="D90" s="330"/>
      <c r="E90" s="330"/>
    </row>
    <row r="91" spans="4:5" x14ac:dyDescent="0.2">
      <c r="D91" s="330"/>
      <c r="E91" s="330"/>
    </row>
    <row r="92" spans="4:5" x14ac:dyDescent="0.2">
      <c r="D92" s="330"/>
      <c r="E92" s="330"/>
    </row>
    <row r="93" spans="4:5" x14ac:dyDescent="0.2">
      <c r="D93" s="330"/>
      <c r="E93" s="330"/>
    </row>
    <row r="94" spans="4:5" x14ac:dyDescent="0.2">
      <c r="D94" s="330"/>
      <c r="E94" s="330"/>
    </row>
    <row r="95" spans="4:5" x14ac:dyDescent="0.2">
      <c r="D95" s="330"/>
      <c r="E95" s="330"/>
    </row>
    <row r="96" spans="4:5" x14ac:dyDescent="0.2">
      <c r="D96" s="330"/>
      <c r="E96" s="330"/>
    </row>
    <row r="97" spans="4:5" x14ac:dyDescent="0.2">
      <c r="D97" s="330"/>
      <c r="E97" s="330"/>
    </row>
    <row r="98" spans="4:5" x14ac:dyDescent="0.2">
      <c r="D98" s="330"/>
      <c r="E98" s="330"/>
    </row>
    <row r="99" spans="4:5" x14ac:dyDescent="0.2">
      <c r="D99" s="330"/>
      <c r="E99" s="330"/>
    </row>
    <row r="100" spans="4:5" x14ac:dyDescent="0.2">
      <c r="D100" s="330"/>
      <c r="E100" s="330"/>
    </row>
    <row r="101" spans="4:5" x14ac:dyDescent="0.2">
      <c r="D101" s="330"/>
      <c r="E101" s="330"/>
    </row>
    <row r="102" spans="4:5" x14ac:dyDescent="0.2">
      <c r="D102" s="330"/>
      <c r="E102" s="330"/>
    </row>
    <row r="103" spans="4:5" x14ac:dyDescent="0.2">
      <c r="D103" s="330"/>
      <c r="E103" s="330"/>
    </row>
    <row r="104" spans="4:5" x14ac:dyDescent="0.2">
      <c r="D104" s="330"/>
      <c r="E104" s="330"/>
    </row>
    <row r="105" spans="4:5" x14ac:dyDescent="0.2">
      <c r="D105" s="330"/>
      <c r="E105" s="330"/>
    </row>
    <row r="106" spans="4:5" x14ac:dyDescent="0.2">
      <c r="D106" s="330"/>
      <c r="E106" s="330"/>
    </row>
    <row r="107" spans="4:5" x14ac:dyDescent="0.2">
      <c r="D107" s="330"/>
      <c r="E107" s="330"/>
    </row>
    <row r="108" spans="4:5" x14ac:dyDescent="0.2">
      <c r="D108" s="330"/>
      <c r="E108" s="330"/>
    </row>
    <row r="109" spans="4:5" x14ac:dyDescent="0.2">
      <c r="D109" s="330"/>
      <c r="E109" s="330"/>
    </row>
    <row r="110" spans="4:5" x14ac:dyDescent="0.2">
      <c r="D110" s="330"/>
      <c r="E110" s="330"/>
    </row>
    <row r="111" spans="4:5" x14ac:dyDescent="0.2">
      <c r="D111" s="330"/>
      <c r="E111" s="330"/>
    </row>
    <row r="112" spans="4:5" x14ac:dyDescent="0.2">
      <c r="D112" s="330"/>
      <c r="E112" s="330"/>
    </row>
    <row r="113" spans="4:5" x14ac:dyDescent="0.2">
      <c r="D113" s="330"/>
      <c r="E113" s="330"/>
    </row>
    <row r="114" spans="4:5" x14ac:dyDescent="0.2">
      <c r="D114" s="330"/>
      <c r="E114" s="330"/>
    </row>
    <row r="115" spans="4:5" x14ac:dyDescent="0.2">
      <c r="D115" s="330"/>
      <c r="E115" s="330"/>
    </row>
    <row r="116" spans="4:5" x14ac:dyDescent="0.2">
      <c r="D116" s="330"/>
      <c r="E116" s="330"/>
    </row>
    <row r="117" spans="4:5" x14ac:dyDescent="0.2">
      <c r="D117" s="330"/>
      <c r="E117" s="330"/>
    </row>
    <row r="118" spans="4:5" x14ac:dyDescent="0.2">
      <c r="D118" s="330"/>
      <c r="E118" s="330"/>
    </row>
    <row r="119" spans="4:5" x14ac:dyDescent="0.2">
      <c r="D119" s="330"/>
      <c r="E119" s="330"/>
    </row>
    <row r="120" spans="4:5" x14ac:dyDescent="0.2">
      <c r="D120" s="330"/>
      <c r="E120" s="330"/>
    </row>
    <row r="121" spans="4:5" x14ac:dyDescent="0.2">
      <c r="D121" s="330"/>
      <c r="E121" s="330"/>
    </row>
    <row r="122" spans="4:5" x14ac:dyDescent="0.2">
      <c r="D122" s="330"/>
      <c r="E122" s="330"/>
    </row>
    <row r="123" spans="4:5" x14ac:dyDescent="0.2">
      <c r="D123" s="330"/>
      <c r="E123" s="330"/>
    </row>
    <row r="124" spans="4:5" x14ac:dyDescent="0.2">
      <c r="D124" s="330"/>
      <c r="E124" s="330"/>
    </row>
    <row r="125" spans="4:5" x14ac:dyDescent="0.2">
      <c r="D125" s="330"/>
      <c r="E125" s="330"/>
    </row>
    <row r="126" spans="4:5" x14ac:dyDescent="0.2">
      <c r="D126" s="330"/>
      <c r="E126" s="330"/>
    </row>
    <row r="127" spans="4:5" x14ac:dyDescent="0.2">
      <c r="D127" s="330"/>
      <c r="E127" s="330"/>
    </row>
    <row r="128" spans="4:5" x14ac:dyDescent="0.2">
      <c r="D128" s="330"/>
      <c r="E128" s="330"/>
    </row>
    <row r="129" spans="4:5" x14ac:dyDescent="0.2">
      <c r="D129" s="330"/>
      <c r="E129" s="330"/>
    </row>
    <row r="130" spans="4:5" x14ac:dyDescent="0.2">
      <c r="D130" s="330"/>
      <c r="E130" s="330"/>
    </row>
    <row r="131" spans="4:5" x14ac:dyDescent="0.2">
      <c r="D131" s="330"/>
      <c r="E131" s="330"/>
    </row>
    <row r="132" spans="4:5" x14ac:dyDescent="0.2">
      <c r="D132" s="330"/>
      <c r="E132" s="330"/>
    </row>
    <row r="133" spans="4:5" x14ac:dyDescent="0.2">
      <c r="D133" s="330"/>
      <c r="E133" s="330"/>
    </row>
    <row r="134" spans="4:5" x14ac:dyDescent="0.2">
      <c r="D134" s="330"/>
      <c r="E134" s="330"/>
    </row>
    <row r="135" spans="4:5" x14ac:dyDescent="0.2">
      <c r="D135" s="330"/>
      <c r="E135" s="330"/>
    </row>
    <row r="136" spans="4:5" x14ac:dyDescent="0.2">
      <c r="D136" s="330"/>
      <c r="E136" s="330"/>
    </row>
    <row r="137" spans="4:5" x14ac:dyDescent="0.2">
      <c r="D137" s="330"/>
      <c r="E137" s="330"/>
    </row>
    <row r="138" spans="4:5" x14ac:dyDescent="0.2">
      <c r="D138" s="330"/>
      <c r="E138" s="330"/>
    </row>
    <row r="139" spans="4:5" x14ac:dyDescent="0.2">
      <c r="D139" s="330"/>
      <c r="E139" s="330"/>
    </row>
    <row r="140" spans="4:5" x14ac:dyDescent="0.2">
      <c r="D140" s="330"/>
      <c r="E140" s="330"/>
    </row>
    <row r="141" spans="4:5" x14ac:dyDescent="0.2">
      <c r="D141" s="330"/>
      <c r="E141" s="330"/>
    </row>
    <row r="142" spans="4:5" x14ac:dyDescent="0.2">
      <c r="D142" s="330"/>
      <c r="E142" s="330"/>
    </row>
    <row r="143" spans="4:5" x14ac:dyDescent="0.2">
      <c r="D143" s="330"/>
      <c r="E143" s="330"/>
    </row>
    <row r="144" spans="4:5" x14ac:dyDescent="0.2">
      <c r="D144" s="460"/>
      <c r="E144" s="460"/>
    </row>
    <row r="145" spans="4:5" x14ac:dyDescent="0.2">
      <c r="D145" s="460"/>
      <c r="E145" s="460"/>
    </row>
    <row r="146" spans="4:5" x14ac:dyDescent="0.2">
      <c r="D146" s="460"/>
      <c r="E146" s="460"/>
    </row>
    <row r="147" spans="4:5" x14ac:dyDescent="0.2">
      <c r="D147" s="460"/>
      <c r="E147" s="460"/>
    </row>
    <row r="148" spans="4:5" x14ac:dyDescent="0.2">
      <c r="D148" s="460"/>
      <c r="E148" s="460"/>
    </row>
    <row r="149" spans="4:5" x14ac:dyDescent="0.2">
      <c r="D149" s="460"/>
      <c r="E149" s="460"/>
    </row>
    <row r="150" spans="4:5" x14ac:dyDescent="0.2">
      <c r="D150" s="460"/>
      <c r="E150" s="460"/>
    </row>
  </sheetData>
  <mergeCells count="1">
    <mergeCell ref="A2:C2"/>
  </mergeCells>
  <phoneticPr fontId="2" type="noConversion"/>
  <hyperlinks>
    <hyperlink ref="A2" location="Index!A1" display="Back to Index" xr:uid="{955D9190-12BC-458D-BD28-A8EFBD8B2B8D}"/>
  </hyperlinks>
  <pageMargins left="0.31496062992126" right="0.27559055118110198" top="0.98425196850393704" bottom="0.98425196850393704" header="0.511811023622047" footer="0.511811023622047"/>
  <pageSetup scale="94" orientation="landscape" r:id="rId1"/>
  <headerFooter alignWithMargins="0">
    <oddFooter>&amp;L&amp;Z&amp;F&amp;A&amp;R&amp;D&amp;T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327-CAF5-4CB1-9B17-8A08AE4D0C30}">
  <sheetPr>
    <tabColor indexed="18"/>
    <pageSetUpPr fitToPage="1"/>
  </sheetPr>
  <dimension ref="A1:L144"/>
  <sheetViews>
    <sheetView showGridLines="0" zoomScale="85" zoomScaleNormal="85" workbookViewId="0">
      <pane xSplit="3" ySplit="3" topLeftCell="D4" activePane="bottomRight" state="frozen"/>
      <selection pane="topRight" activeCell="L13" sqref="L13"/>
      <selection pane="bottomLeft" activeCell="L13" sqref="L13"/>
      <selection pane="bottomRight"/>
    </sheetView>
  </sheetViews>
  <sheetFormatPr defaultColWidth="9.42578125" defaultRowHeight="14.25" x14ac:dyDescent="0.2"/>
  <cols>
    <col min="1" max="1" width="4" style="323" customWidth="1"/>
    <col min="2" max="2" width="4.42578125" style="323" customWidth="1"/>
    <col min="3" max="3" width="41.42578125" style="357" customWidth="1"/>
    <col min="4" max="5" width="11.42578125" style="8" customWidth="1"/>
    <col min="6" max="8" width="11.42578125" style="323" customWidth="1"/>
    <col min="9" max="9" width="2.5703125" style="323" customWidth="1"/>
    <col min="10" max="12" width="11.42578125" style="323" customWidth="1"/>
    <col min="13" max="16384" width="9.42578125" style="323"/>
  </cols>
  <sheetData>
    <row r="1" spans="1:12" s="4" customFormat="1" ht="20.25" x14ac:dyDescent="0.3">
      <c r="A1" s="3" t="s">
        <v>104</v>
      </c>
      <c r="D1" s="366"/>
      <c r="E1" s="366"/>
    </row>
    <row r="2" spans="1:12" s="6" customFormat="1" ht="60" x14ac:dyDescent="0.25">
      <c r="A2" s="781" t="s">
        <v>33</v>
      </c>
      <c r="B2" s="781"/>
      <c r="C2" s="781"/>
      <c r="D2" s="321" t="s">
        <v>409</v>
      </c>
      <c r="E2" s="321" t="s">
        <v>410</v>
      </c>
      <c r="F2" s="380" t="s">
        <v>362</v>
      </c>
      <c r="G2" s="367" t="s">
        <v>433</v>
      </c>
      <c r="H2" s="367" t="s">
        <v>434</v>
      </c>
      <c r="J2" s="380" t="s">
        <v>412</v>
      </c>
      <c r="K2" s="380" t="s">
        <v>363</v>
      </c>
      <c r="L2" s="367" t="s">
        <v>435</v>
      </c>
    </row>
    <row r="3" spans="1:12" s="376" customFormat="1" ht="6.75" customHeight="1" x14ac:dyDescent="0.25">
      <c r="A3" s="328"/>
      <c r="D3" s="168"/>
      <c r="E3" s="332"/>
      <c r="J3" s="103"/>
    </row>
    <row r="4" spans="1:12" s="376" customFormat="1" ht="14.25" customHeight="1" x14ac:dyDescent="0.25">
      <c r="A4" s="328" t="s">
        <v>68</v>
      </c>
      <c r="D4" s="168"/>
      <c r="E4" s="332"/>
      <c r="G4" s="390"/>
      <c r="H4" s="390"/>
      <c r="I4" s="390"/>
      <c r="J4" s="178"/>
    </row>
    <row r="5" spans="1:12" x14ac:dyDescent="0.2">
      <c r="B5" s="513" t="s">
        <v>37</v>
      </c>
      <c r="C5" s="323"/>
      <c r="D5" s="178">
        <v>279</v>
      </c>
      <c r="E5" s="333">
        <v>279</v>
      </c>
      <c r="F5" s="333">
        <v>297</v>
      </c>
      <c r="G5" s="333">
        <v>-6.0606060606060552</v>
      </c>
      <c r="H5" s="333">
        <v>0</v>
      </c>
      <c r="I5" s="408"/>
      <c r="J5" s="178">
        <v>558</v>
      </c>
      <c r="K5" s="204">
        <v>568</v>
      </c>
      <c r="L5" s="333">
        <v>-1.7605633802816878</v>
      </c>
    </row>
    <row r="6" spans="1:12" x14ac:dyDescent="0.2">
      <c r="B6" s="513" t="s">
        <v>38</v>
      </c>
      <c r="C6" s="408"/>
      <c r="D6" s="178">
        <v>70</v>
      </c>
      <c r="E6" s="333">
        <v>59</v>
      </c>
      <c r="F6" s="333">
        <v>57</v>
      </c>
      <c r="G6" s="333">
        <v>22.807017543859654</v>
      </c>
      <c r="H6" s="333">
        <v>18.644067796610166</v>
      </c>
      <c r="I6" s="408"/>
      <c r="J6" s="178">
        <v>129</v>
      </c>
      <c r="K6" s="204">
        <v>107</v>
      </c>
      <c r="L6" s="333">
        <v>20.560747663551403</v>
      </c>
    </row>
    <row r="7" spans="1:12" x14ac:dyDescent="0.2">
      <c r="B7" s="513" t="s">
        <v>85</v>
      </c>
      <c r="C7" s="408"/>
      <c r="D7" s="178">
        <v>67</v>
      </c>
      <c r="E7" s="333">
        <v>82</v>
      </c>
      <c r="F7" s="333">
        <v>90</v>
      </c>
      <c r="G7" s="333">
        <v>-25.555555555555554</v>
      </c>
      <c r="H7" s="333">
        <v>-18.292682926829272</v>
      </c>
      <c r="I7" s="408"/>
      <c r="J7" s="178">
        <v>149</v>
      </c>
      <c r="K7" s="204">
        <v>177</v>
      </c>
      <c r="L7" s="333">
        <v>-15.819209039548021</v>
      </c>
    </row>
    <row r="8" spans="1:12" s="331" customFormat="1" ht="15" x14ac:dyDescent="0.25">
      <c r="B8" s="551" t="s">
        <v>40</v>
      </c>
      <c r="D8" s="119">
        <v>416</v>
      </c>
      <c r="E8" s="403">
        <v>420</v>
      </c>
      <c r="F8" s="403">
        <v>444</v>
      </c>
      <c r="G8" s="333">
        <v>-6.3063063063063085</v>
      </c>
      <c r="H8" s="333">
        <v>-0.952380952380949</v>
      </c>
      <c r="I8" s="402"/>
      <c r="J8" s="119">
        <v>836</v>
      </c>
      <c r="K8" s="254">
        <v>852</v>
      </c>
      <c r="L8" s="333">
        <v>-1.8779342723004744</v>
      </c>
    </row>
    <row r="9" spans="1:12" x14ac:dyDescent="0.2">
      <c r="B9" s="513" t="s">
        <v>7</v>
      </c>
      <c r="C9" s="323"/>
      <c r="D9" s="178">
        <v>97</v>
      </c>
      <c r="E9" s="333">
        <v>83</v>
      </c>
      <c r="F9" s="333">
        <v>87</v>
      </c>
      <c r="G9" s="333">
        <v>11.494252873563227</v>
      </c>
      <c r="H9" s="333">
        <v>16.867469879518083</v>
      </c>
      <c r="I9" s="408"/>
      <c r="J9" s="178">
        <v>180</v>
      </c>
      <c r="K9" s="204">
        <v>159</v>
      </c>
      <c r="L9" s="333">
        <v>13.207547169811317</v>
      </c>
    </row>
    <row r="10" spans="1:12" x14ac:dyDescent="0.2">
      <c r="B10" s="513" t="s">
        <v>42</v>
      </c>
      <c r="C10" s="323"/>
      <c r="D10" s="178">
        <v>0</v>
      </c>
      <c r="E10" s="333">
        <v>0</v>
      </c>
      <c r="F10" s="333">
        <v>0</v>
      </c>
      <c r="G10" s="333">
        <v>0</v>
      </c>
      <c r="H10" s="333">
        <v>0</v>
      </c>
      <c r="I10" s="408"/>
      <c r="J10" s="178">
        <v>0</v>
      </c>
      <c r="K10" s="204">
        <v>0</v>
      </c>
      <c r="L10" s="333">
        <v>0</v>
      </c>
    </row>
    <row r="11" spans="1:12" x14ac:dyDescent="0.2">
      <c r="B11" s="513" t="s">
        <v>8</v>
      </c>
      <c r="C11" s="323"/>
      <c r="D11" s="178">
        <v>-16</v>
      </c>
      <c r="E11" s="144">
        <v>126</v>
      </c>
      <c r="F11" s="144">
        <v>29</v>
      </c>
      <c r="G11" s="333" t="s">
        <v>117</v>
      </c>
      <c r="H11" s="333" t="s">
        <v>117</v>
      </c>
      <c r="I11" s="408"/>
      <c r="J11" s="178">
        <v>110</v>
      </c>
      <c r="K11" s="204">
        <v>68</v>
      </c>
      <c r="L11" s="333">
        <v>61.764705882352942</v>
      </c>
    </row>
    <row r="12" spans="1:12" x14ac:dyDescent="0.2">
      <c r="B12" s="513" t="s">
        <v>355</v>
      </c>
      <c r="C12" s="323"/>
      <c r="D12" s="178">
        <v>3</v>
      </c>
      <c r="E12" s="144">
        <v>0</v>
      </c>
      <c r="F12" s="144">
        <v>3</v>
      </c>
      <c r="G12" s="333">
        <v>0</v>
      </c>
      <c r="H12" s="333" t="s">
        <v>117</v>
      </c>
      <c r="I12" s="408"/>
      <c r="J12" s="178">
        <v>3</v>
      </c>
      <c r="K12" s="204">
        <v>2</v>
      </c>
      <c r="L12" s="333">
        <v>50</v>
      </c>
    </row>
    <row r="13" spans="1:12" s="331" customFormat="1" ht="15" x14ac:dyDescent="0.25">
      <c r="B13" s="376" t="s">
        <v>44</v>
      </c>
      <c r="D13" s="119">
        <v>338</v>
      </c>
      <c r="E13" s="403">
        <v>211</v>
      </c>
      <c r="F13" s="403">
        <v>331</v>
      </c>
      <c r="G13" s="333">
        <v>2.114803625377637</v>
      </c>
      <c r="H13" s="333">
        <v>60.189573459715653</v>
      </c>
      <c r="I13" s="402"/>
      <c r="J13" s="119">
        <v>549</v>
      </c>
      <c r="K13" s="254">
        <v>627</v>
      </c>
      <c r="L13" s="333">
        <v>-12.440191387559807</v>
      </c>
    </row>
    <row r="14" spans="1:12" x14ac:dyDescent="0.2">
      <c r="B14" s="324" t="s">
        <v>237</v>
      </c>
      <c r="C14" s="323"/>
      <c r="D14" s="178">
        <v>92</v>
      </c>
      <c r="E14" s="333">
        <v>77</v>
      </c>
      <c r="F14" s="333">
        <v>101</v>
      </c>
      <c r="G14" s="333">
        <v>-8.9108910891089081</v>
      </c>
      <c r="H14" s="333">
        <v>19.480519480519476</v>
      </c>
      <c r="I14" s="408"/>
      <c r="J14" s="178">
        <v>169</v>
      </c>
      <c r="K14" s="204">
        <v>184</v>
      </c>
      <c r="L14" s="333">
        <v>-8.1521739130434803</v>
      </c>
    </row>
    <row r="15" spans="1:12" s="331" customFormat="1" ht="15" x14ac:dyDescent="0.25">
      <c r="B15" s="376" t="s">
        <v>238</v>
      </c>
      <c r="D15" s="119">
        <v>246</v>
      </c>
      <c r="E15" s="403">
        <v>134</v>
      </c>
      <c r="F15" s="403">
        <v>230</v>
      </c>
      <c r="G15" s="333">
        <v>6.956521739130439</v>
      </c>
      <c r="H15" s="333">
        <v>83.582089552238799</v>
      </c>
      <c r="I15" s="402"/>
      <c r="J15" s="119">
        <v>380</v>
      </c>
      <c r="K15" s="254">
        <v>443</v>
      </c>
      <c r="L15" s="333">
        <v>-14.221218961625281</v>
      </c>
    </row>
    <row r="16" spans="1:12" x14ac:dyDescent="0.2">
      <c r="C16" s="323"/>
      <c r="D16" s="178"/>
      <c r="E16" s="338"/>
      <c r="F16" s="338"/>
      <c r="G16" s="374"/>
      <c r="H16" s="374"/>
      <c r="I16" s="408"/>
      <c r="J16" s="178"/>
      <c r="K16" s="204"/>
    </row>
    <row r="17" spans="1:12" s="376" customFormat="1" ht="14.25" customHeight="1" x14ac:dyDescent="0.25">
      <c r="A17" s="328" t="s">
        <v>234</v>
      </c>
      <c r="D17" s="178"/>
      <c r="E17" s="565"/>
      <c r="F17" s="565"/>
      <c r="G17" s="374"/>
      <c r="H17" s="374"/>
      <c r="I17" s="390"/>
      <c r="J17" s="178"/>
      <c r="K17" s="204"/>
    </row>
    <row r="18" spans="1:12" x14ac:dyDescent="0.2">
      <c r="B18" s="513" t="s">
        <v>239</v>
      </c>
      <c r="C18" s="323"/>
      <c r="D18" s="178">
        <v>42756</v>
      </c>
      <c r="E18" s="333">
        <v>41434</v>
      </c>
      <c r="F18" s="333">
        <v>39020</v>
      </c>
      <c r="G18" s="333">
        <v>9.5745771399282411</v>
      </c>
      <c r="H18" s="333">
        <v>3.1906164019886996</v>
      </c>
      <c r="I18" s="408"/>
      <c r="J18" s="178">
        <v>42756</v>
      </c>
      <c r="K18" s="204">
        <v>39020</v>
      </c>
      <c r="L18" s="333">
        <v>9.5745771399282411</v>
      </c>
    </row>
    <row r="19" spans="1:12" x14ac:dyDescent="0.2">
      <c r="B19" s="513" t="s">
        <v>341</v>
      </c>
      <c r="C19" s="323"/>
      <c r="D19" s="178">
        <v>65848</v>
      </c>
      <c r="E19" s="333">
        <v>63865</v>
      </c>
      <c r="F19" s="333">
        <v>60188</v>
      </c>
      <c r="G19" s="333">
        <v>9.4038678806406484</v>
      </c>
      <c r="H19" s="333">
        <v>3.1049870821263648</v>
      </c>
      <c r="I19" s="408"/>
      <c r="J19" s="178">
        <v>65848</v>
      </c>
      <c r="K19" s="204">
        <v>60188</v>
      </c>
      <c r="L19" s="333">
        <v>9.4038678806406484</v>
      </c>
    </row>
    <row r="20" spans="1:12" x14ac:dyDescent="0.2">
      <c r="B20" s="513" t="s">
        <v>50</v>
      </c>
      <c r="C20" s="323"/>
      <c r="D20" s="178">
        <v>65848</v>
      </c>
      <c r="E20" s="333">
        <v>63865</v>
      </c>
      <c r="F20" s="333">
        <v>60188</v>
      </c>
      <c r="G20" s="333">
        <v>9.4038678806406484</v>
      </c>
      <c r="H20" s="333">
        <v>3.1049870821263648</v>
      </c>
      <c r="I20" s="408"/>
      <c r="J20" s="103">
        <v>65848</v>
      </c>
      <c r="K20" s="204">
        <v>60188</v>
      </c>
      <c r="L20" s="333">
        <v>9.4038678806406484</v>
      </c>
    </row>
    <row r="21" spans="1:12" x14ac:dyDescent="0.2">
      <c r="B21" s="513"/>
      <c r="C21" s="323"/>
      <c r="D21" s="333"/>
      <c r="E21" s="333"/>
      <c r="F21" s="333"/>
      <c r="G21" s="333"/>
      <c r="H21" s="333"/>
      <c r="I21" s="408"/>
      <c r="J21" s="408"/>
    </row>
    <row r="22" spans="1:12" x14ac:dyDescent="0.2">
      <c r="C22" s="323"/>
      <c r="D22" s="330"/>
      <c r="G22" s="351"/>
      <c r="H22" s="351"/>
      <c r="I22" s="408"/>
    </row>
    <row r="23" spans="1:12" x14ac:dyDescent="0.2">
      <c r="B23" s="70" t="s">
        <v>156</v>
      </c>
      <c r="C23" s="363" t="s">
        <v>118</v>
      </c>
      <c r="D23" s="560"/>
      <c r="E23" s="561"/>
      <c r="G23" s="408"/>
      <c r="H23" s="408"/>
      <c r="I23" s="408"/>
    </row>
    <row r="24" spans="1:12" x14ac:dyDescent="0.2">
      <c r="B24" s="545"/>
      <c r="C24" s="546"/>
      <c r="D24" s="557"/>
      <c r="E24" s="557"/>
    </row>
    <row r="25" spans="1:12" x14ac:dyDescent="0.2">
      <c r="D25" s="560"/>
      <c r="E25" s="561"/>
      <c r="G25" s="408"/>
      <c r="H25" s="408"/>
      <c r="I25" s="408"/>
    </row>
    <row r="26" spans="1:12" x14ac:dyDescent="0.2">
      <c r="D26" s="562"/>
      <c r="E26" s="562"/>
      <c r="G26" s="408"/>
      <c r="H26" s="408"/>
      <c r="I26" s="408"/>
    </row>
    <row r="27" spans="1:12" x14ac:dyDescent="0.2">
      <c r="D27" s="561"/>
      <c r="E27" s="561"/>
      <c r="G27" s="408"/>
      <c r="H27" s="408"/>
      <c r="I27" s="408"/>
    </row>
    <row r="28" spans="1:12" x14ac:dyDescent="0.2">
      <c r="D28" s="563"/>
      <c r="E28" s="563"/>
    </row>
    <row r="29" spans="1:12" x14ac:dyDescent="0.2">
      <c r="D29" s="564"/>
      <c r="E29" s="564"/>
    </row>
    <row r="30" spans="1:12" x14ac:dyDescent="0.2">
      <c r="D30" s="563"/>
      <c r="E30" s="563"/>
    </row>
    <row r="31" spans="1:12" x14ac:dyDescent="0.2">
      <c r="D31" s="564"/>
      <c r="E31" s="564"/>
    </row>
    <row r="32" spans="1:12" x14ac:dyDescent="0.2">
      <c r="D32" s="563"/>
      <c r="E32" s="563"/>
    </row>
    <row r="33" spans="4:5" x14ac:dyDescent="0.2">
      <c r="D33" s="330"/>
      <c r="E33" s="330"/>
    </row>
    <row r="34" spans="4:5" x14ac:dyDescent="0.2">
      <c r="D34" s="330"/>
      <c r="E34" s="330"/>
    </row>
    <row r="35" spans="4:5" x14ac:dyDescent="0.2">
      <c r="D35" s="330"/>
      <c r="E35" s="330"/>
    </row>
    <row r="36" spans="4:5" x14ac:dyDescent="0.2">
      <c r="D36" s="330"/>
      <c r="E36" s="330"/>
    </row>
    <row r="37" spans="4:5" x14ac:dyDescent="0.2">
      <c r="D37" s="330"/>
      <c r="E37" s="330"/>
    </row>
    <row r="38" spans="4:5" x14ac:dyDescent="0.2">
      <c r="D38" s="330"/>
      <c r="E38" s="330"/>
    </row>
    <row r="39" spans="4:5" x14ac:dyDescent="0.2">
      <c r="D39" s="330"/>
      <c r="E39" s="330"/>
    </row>
    <row r="40" spans="4:5" x14ac:dyDescent="0.2">
      <c r="D40" s="330"/>
      <c r="E40" s="330"/>
    </row>
    <row r="41" spans="4:5" x14ac:dyDescent="0.2">
      <c r="D41" s="330"/>
      <c r="E41" s="330"/>
    </row>
    <row r="42" spans="4:5" x14ac:dyDescent="0.2">
      <c r="D42" s="330"/>
      <c r="E42" s="330"/>
    </row>
    <row r="43" spans="4:5" x14ac:dyDescent="0.2">
      <c r="D43" s="330"/>
      <c r="E43" s="330"/>
    </row>
    <row r="44" spans="4:5" x14ac:dyDescent="0.2">
      <c r="D44" s="330"/>
      <c r="E44" s="330"/>
    </row>
    <row r="45" spans="4:5" x14ac:dyDescent="0.2">
      <c r="D45" s="330"/>
      <c r="E45" s="330"/>
    </row>
    <row r="46" spans="4:5" x14ac:dyDescent="0.2">
      <c r="D46" s="330"/>
      <c r="E46" s="330"/>
    </row>
    <row r="47" spans="4:5" x14ac:dyDescent="0.2">
      <c r="D47" s="330"/>
      <c r="E47" s="330"/>
    </row>
    <row r="48" spans="4:5" x14ac:dyDescent="0.2">
      <c r="D48" s="330"/>
      <c r="E48" s="330"/>
    </row>
    <row r="49" spans="4:5" x14ac:dyDescent="0.2">
      <c r="D49" s="330"/>
      <c r="E49" s="330"/>
    </row>
    <row r="50" spans="4:5" x14ac:dyDescent="0.2">
      <c r="D50" s="330"/>
      <c r="E50" s="330"/>
    </row>
    <row r="51" spans="4:5" x14ac:dyDescent="0.2">
      <c r="D51" s="330"/>
      <c r="E51" s="330"/>
    </row>
    <row r="52" spans="4:5" x14ac:dyDescent="0.2">
      <c r="D52" s="330"/>
      <c r="E52" s="330"/>
    </row>
    <row r="53" spans="4:5" x14ac:dyDescent="0.2">
      <c r="D53" s="330"/>
      <c r="E53" s="330"/>
    </row>
    <row r="54" spans="4:5" x14ac:dyDescent="0.2">
      <c r="D54" s="330"/>
      <c r="E54" s="330"/>
    </row>
    <row r="55" spans="4:5" x14ac:dyDescent="0.2">
      <c r="D55" s="330"/>
      <c r="E55" s="330"/>
    </row>
    <row r="56" spans="4:5" x14ac:dyDescent="0.2">
      <c r="D56" s="330"/>
      <c r="E56" s="330"/>
    </row>
    <row r="57" spans="4:5" x14ac:dyDescent="0.2">
      <c r="D57" s="330"/>
      <c r="E57" s="330"/>
    </row>
    <row r="58" spans="4:5" x14ac:dyDescent="0.2">
      <c r="D58" s="330"/>
      <c r="E58" s="330"/>
    </row>
    <row r="59" spans="4:5" x14ac:dyDescent="0.2">
      <c r="D59" s="330"/>
      <c r="E59" s="330"/>
    </row>
    <row r="60" spans="4:5" x14ac:dyDescent="0.2">
      <c r="D60" s="330"/>
      <c r="E60" s="330"/>
    </row>
    <row r="61" spans="4:5" x14ac:dyDescent="0.2">
      <c r="D61" s="330"/>
      <c r="E61" s="330"/>
    </row>
    <row r="62" spans="4:5" x14ac:dyDescent="0.2">
      <c r="D62" s="330"/>
      <c r="E62" s="330"/>
    </row>
    <row r="63" spans="4:5" x14ac:dyDescent="0.2">
      <c r="D63" s="330"/>
      <c r="E63" s="330"/>
    </row>
    <row r="64" spans="4:5" x14ac:dyDescent="0.2">
      <c r="D64" s="330"/>
      <c r="E64" s="330"/>
    </row>
    <row r="65" spans="4:5" x14ac:dyDescent="0.2">
      <c r="D65" s="330"/>
      <c r="E65" s="330"/>
    </row>
    <row r="66" spans="4:5" x14ac:dyDescent="0.2">
      <c r="D66" s="330"/>
      <c r="E66" s="330"/>
    </row>
    <row r="67" spans="4:5" x14ac:dyDescent="0.2">
      <c r="D67" s="330"/>
      <c r="E67" s="330"/>
    </row>
    <row r="68" spans="4:5" x14ac:dyDescent="0.2">
      <c r="D68" s="330"/>
      <c r="E68" s="330"/>
    </row>
    <row r="69" spans="4:5" x14ac:dyDescent="0.2">
      <c r="D69" s="330"/>
      <c r="E69" s="330"/>
    </row>
    <row r="70" spans="4:5" x14ac:dyDescent="0.2">
      <c r="D70" s="330"/>
      <c r="E70" s="330"/>
    </row>
    <row r="71" spans="4:5" x14ac:dyDescent="0.2">
      <c r="D71" s="330"/>
      <c r="E71" s="330"/>
    </row>
    <row r="72" spans="4:5" x14ac:dyDescent="0.2">
      <c r="D72" s="330"/>
      <c r="E72" s="330"/>
    </row>
    <row r="73" spans="4:5" x14ac:dyDescent="0.2">
      <c r="D73" s="330"/>
      <c r="E73" s="330"/>
    </row>
    <row r="74" spans="4:5" x14ac:dyDescent="0.2">
      <c r="D74" s="330"/>
      <c r="E74" s="330"/>
    </row>
    <row r="75" spans="4:5" x14ac:dyDescent="0.2">
      <c r="D75" s="330"/>
      <c r="E75" s="330"/>
    </row>
    <row r="76" spans="4:5" x14ac:dyDescent="0.2">
      <c r="D76" s="330"/>
      <c r="E76" s="330"/>
    </row>
    <row r="77" spans="4:5" x14ac:dyDescent="0.2">
      <c r="D77" s="330"/>
      <c r="E77" s="330"/>
    </row>
    <row r="78" spans="4:5" x14ac:dyDescent="0.2">
      <c r="D78" s="330"/>
      <c r="E78" s="330"/>
    </row>
    <row r="79" spans="4:5" x14ac:dyDescent="0.2">
      <c r="D79" s="330"/>
      <c r="E79" s="330"/>
    </row>
    <row r="80" spans="4:5" x14ac:dyDescent="0.2">
      <c r="D80" s="330"/>
      <c r="E80" s="330"/>
    </row>
    <row r="81" spans="4:5" x14ac:dyDescent="0.2">
      <c r="D81" s="330"/>
      <c r="E81" s="330"/>
    </row>
    <row r="82" spans="4:5" x14ac:dyDescent="0.2">
      <c r="D82" s="330"/>
      <c r="E82" s="330"/>
    </row>
    <row r="83" spans="4:5" x14ac:dyDescent="0.2">
      <c r="D83" s="330"/>
      <c r="E83" s="330"/>
    </row>
    <row r="84" spans="4:5" x14ac:dyDescent="0.2">
      <c r="D84" s="330"/>
      <c r="E84" s="330"/>
    </row>
    <row r="85" spans="4:5" x14ac:dyDescent="0.2">
      <c r="D85" s="330"/>
      <c r="E85" s="330"/>
    </row>
    <row r="86" spans="4:5" x14ac:dyDescent="0.2">
      <c r="D86" s="330"/>
      <c r="E86" s="330"/>
    </row>
    <row r="87" spans="4:5" x14ac:dyDescent="0.2">
      <c r="D87" s="330"/>
      <c r="E87" s="330"/>
    </row>
    <row r="88" spans="4:5" x14ac:dyDescent="0.2">
      <c r="D88" s="330"/>
      <c r="E88" s="330"/>
    </row>
    <row r="89" spans="4:5" x14ac:dyDescent="0.2">
      <c r="D89" s="330"/>
      <c r="E89" s="330"/>
    </row>
    <row r="90" spans="4:5" x14ac:dyDescent="0.2">
      <c r="D90" s="330"/>
      <c r="E90" s="330"/>
    </row>
    <row r="91" spans="4:5" x14ac:dyDescent="0.2">
      <c r="D91" s="330"/>
      <c r="E91" s="330"/>
    </row>
    <row r="92" spans="4:5" x14ac:dyDescent="0.2">
      <c r="D92" s="330"/>
      <c r="E92" s="330"/>
    </row>
    <row r="93" spans="4:5" x14ac:dyDescent="0.2">
      <c r="D93" s="330"/>
      <c r="E93" s="330"/>
    </row>
    <row r="94" spans="4:5" x14ac:dyDescent="0.2">
      <c r="D94" s="330"/>
      <c r="E94" s="330"/>
    </row>
    <row r="95" spans="4:5" x14ac:dyDescent="0.2">
      <c r="D95" s="330"/>
      <c r="E95" s="330"/>
    </row>
    <row r="96" spans="4:5" x14ac:dyDescent="0.2">
      <c r="D96" s="330"/>
      <c r="E96" s="330"/>
    </row>
    <row r="97" spans="4:5" x14ac:dyDescent="0.2">
      <c r="D97" s="330"/>
      <c r="E97" s="330"/>
    </row>
    <row r="98" spans="4:5" x14ac:dyDescent="0.2">
      <c r="D98" s="330"/>
      <c r="E98" s="330"/>
    </row>
    <row r="99" spans="4:5" x14ac:dyDescent="0.2">
      <c r="D99" s="330"/>
      <c r="E99" s="330"/>
    </row>
    <row r="100" spans="4:5" x14ac:dyDescent="0.2">
      <c r="D100" s="330"/>
      <c r="E100" s="330"/>
    </row>
    <row r="101" spans="4:5" x14ac:dyDescent="0.2">
      <c r="D101" s="330"/>
      <c r="E101" s="330"/>
    </row>
    <row r="102" spans="4:5" x14ac:dyDescent="0.2">
      <c r="D102" s="330"/>
      <c r="E102" s="330"/>
    </row>
    <row r="103" spans="4:5" x14ac:dyDescent="0.2">
      <c r="D103" s="330"/>
      <c r="E103" s="330"/>
    </row>
    <row r="104" spans="4:5" x14ac:dyDescent="0.2">
      <c r="D104" s="330"/>
      <c r="E104" s="330"/>
    </row>
    <row r="105" spans="4:5" x14ac:dyDescent="0.2">
      <c r="D105" s="330"/>
      <c r="E105" s="330"/>
    </row>
    <row r="106" spans="4:5" x14ac:dyDescent="0.2">
      <c r="D106" s="330"/>
      <c r="E106" s="330"/>
    </row>
    <row r="107" spans="4:5" x14ac:dyDescent="0.2">
      <c r="D107" s="330"/>
      <c r="E107" s="330"/>
    </row>
    <row r="108" spans="4:5" x14ac:dyDescent="0.2">
      <c r="D108" s="330"/>
      <c r="E108" s="330"/>
    </row>
    <row r="109" spans="4:5" x14ac:dyDescent="0.2">
      <c r="D109" s="330"/>
      <c r="E109" s="330"/>
    </row>
    <row r="110" spans="4:5" x14ac:dyDescent="0.2">
      <c r="D110" s="330"/>
      <c r="E110" s="330"/>
    </row>
    <row r="111" spans="4:5" x14ac:dyDescent="0.2">
      <c r="D111" s="330"/>
      <c r="E111" s="330"/>
    </row>
    <row r="112" spans="4:5" x14ac:dyDescent="0.2">
      <c r="D112" s="330"/>
      <c r="E112" s="330"/>
    </row>
    <row r="113" spans="4:5" x14ac:dyDescent="0.2">
      <c r="D113" s="330"/>
      <c r="E113" s="330"/>
    </row>
    <row r="114" spans="4:5" x14ac:dyDescent="0.2">
      <c r="D114" s="330"/>
      <c r="E114" s="330"/>
    </row>
    <row r="115" spans="4:5" x14ac:dyDescent="0.2">
      <c r="D115" s="330"/>
      <c r="E115" s="330"/>
    </row>
    <row r="116" spans="4:5" x14ac:dyDescent="0.2">
      <c r="D116" s="330"/>
      <c r="E116" s="330"/>
    </row>
    <row r="117" spans="4:5" x14ac:dyDescent="0.2">
      <c r="D117" s="330"/>
      <c r="E117" s="330"/>
    </row>
    <row r="118" spans="4:5" x14ac:dyDescent="0.2">
      <c r="D118" s="330"/>
      <c r="E118" s="330"/>
    </row>
    <row r="119" spans="4:5" x14ac:dyDescent="0.2">
      <c r="D119" s="330"/>
      <c r="E119" s="330"/>
    </row>
    <row r="120" spans="4:5" x14ac:dyDescent="0.2">
      <c r="D120" s="330"/>
      <c r="E120" s="330"/>
    </row>
    <row r="121" spans="4:5" x14ac:dyDescent="0.2">
      <c r="D121" s="330"/>
      <c r="E121" s="330"/>
    </row>
    <row r="122" spans="4:5" x14ac:dyDescent="0.2">
      <c r="D122" s="330"/>
      <c r="E122" s="330"/>
    </row>
    <row r="123" spans="4:5" x14ac:dyDescent="0.2">
      <c r="D123" s="330"/>
      <c r="E123" s="330"/>
    </row>
    <row r="124" spans="4:5" x14ac:dyDescent="0.2">
      <c r="D124" s="330"/>
      <c r="E124" s="330"/>
    </row>
    <row r="125" spans="4:5" x14ac:dyDescent="0.2">
      <c r="D125" s="330"/>
      <c r="E125" s="330"/>
    </row>
    <row r="126" spans="4:5" x14ac:dyDescent="0.2">
      <c r="D126" s="330"/>
      <c r="E126" s="330"/>
    </row>
    <row r="127" spans="4:5" x14ac:dyDescent="0.2">
      <c r="D127" s="330"/>
      <c r="E127" s="330"/>
    </row>
    <row r="128" spans="4:5" x14ac:dyDescent="0.2">
      <c r="D128" s="330"/>
      <c r="E128" s="330"/>
    </row>
    <row r="129" spans="4:5" x14ac:dyDescent="0.2">
      <c r="D129" s="330"/>
      <c r="E129" s="330"/>
    </row>
    <row r="130" spans="4:5" x14ac:dyDescent="0.2">
      <c r="D130" s="330"/>
      <c r="E130" s="330"/>
    </row>
    <row r="131" spans="4:5" x14ac:dyDescent="0.2">
      <c r="D131" s="330"/>
      <c r="E131" s="330"/>
    </row>
    <row r="132" spans="4:5" x14ac:dyDescent="0.2">
      <c r="D132" s="330"/>
      <c r="E132" s="330"/>
    </row>
    <row r="133" spans="4:5" x14ac:dyDescent="0.2">
      <c r="D133" s="330"/>
      <c r="E133" s="330"/>
    </row>
    <row r="134" spans="4:5" x14ac:dyDescent="0.2">
      <c r="D134" s="330"/>
      <c r="E134" s="330"/>
    </row>
    <row r="135" spans="4:5" x14ac:dyDescent="0.2">
      <c r="D135" s="330"/>
      <c r="E135" s="330"/>
    </row>
    <row r="136" spans="4:5" x14ac:dyDescent="0.2">
      <c r="D136" s="330"/>
      <c r="E136" s="330"/>
    </row>
    <row r="137" spans="4:5" x14ac:dyDescent="0.2">
      <c r="D137" s="330"/>
      <c r="E137" s="330"/>
    </row>
    <row r="138" spans="4:5" x14ac:dyDescent="0.2">
      <c r="D138" s="460"/>
      <c r="E138" s="460"/>
    </row>
    <row r="139" spans="4:5" x14ac:dyDescent="0.2">
      <c r="D139" s="460"/>
      <c r="E139" s="460"/>
    </row>
    <row r="140" spans="4:5" x14ac:dyDescent="0.2">
      <c r="D140" s="460"/>
      <c r="E140" s="460"/>
    </row>
    <row r="141" spans="4:5" x14ac:dyDescent="0.2">
      <c r="D141" s="460"/>
      <c r="E141" s="460"/>
    </row>
    <row r="142" spans="4:5" x14ac:dyDescent="0.2">
      <c r="D142" s="460"/>
      <c r="E142" s="460"/>
    </row>
    <row r="143" spans="4:5" x14ac:dyDescent="0.2">
      <c r="D143" s="460"/>
      <c r="E143" s="460"/>
    </row>
    <row r="144" spans="4:5" x14ac:dyDescent="0.2">
      <c r="D144" s="460"/>
      <c r="E144" s="460"/>
    </row>
  </sheetData>
  <mergeCells count="1">
    <mergeCell ref="A2:C2"/>
  </mergeCells>
  <phoneticPr fontId="2" type="noConversion"/>
  <hyperlinks>
    <hyperlink ref="A2" location="Index!A1" display="Back to Index" xr:uid="{21DCE724-BB12-4CBF-8730-4A40B0A50DB1}"/>
  </hyperlinks>
  <pageMargins left="0.74803149606299202" right="0.74803149606299202" top="0.98425196850393704" bottom="0.98425196850393704" header="0.511811023622047" footer="0.511811023622047"/>
  <pageSetup scale="85" orientation="landscape" r:id="rId1"/>
  <headerFooter alignWithMargins="0">
    <oddFooter>&amp;L&amp;Z&amp;F&amp;A&amp;R&amp;D&amp;T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435B-AB45-40D6-BF3E-F338A08BB09B}">
  <sheetPr>
    <pageSetUpPr fitToPage="1"/>
  </sheetPr>
  <dimension ref="A1:P169"/>
  <sheetViews>
    <sheetView showGridLines="0" zoomScaleNormal="100" workbookViewId="0">
      <selection activeCell="AH44" sqref="AH44"/>
    </sheetView>
  </sheetViews>
  <sheetFormatPr defaultRowHeight="12.75" x14ac:dyDescent="0.2"/>
  <cols>
    <col min="1" max="1" width="2" customWidth="1"/>
    <col min="2" max="2" width="63.7109375" customWidth="1"/>
    <col min="3" max="3" width="11.42578125" style="732" customWidth="1"/>
    <col min="4" max="4" width="11.42578125" style="595" customWidth="1"/>
    <col min="5" max="7" width="11.42578125" style="596" customWidth="1"/>
    <col min="8" max="8" width="11.42578125" style="732" customWidth="1"/>
    <col min="9" max="9" width="11.42578125" style="595" customWidth="1"/>
    <col min="10" max="10" width="11.42578125" style="596" customWidth="1"/>
  </cols>
  <sheetData>
    <row r="1" spans="1:10" s="700" customFormat="1" ht="20.25" x14ac:dyDescent="0.3">
      <c r="A1" s="699" t="s">
        <v>368</v>
      </c>
      <c r="C1" s="701"/>
      <c r="D1" s="702"/>
      <c r="E1" s="567"/>
      <c r="F1" s="568"/>
      <c r="G1" s="569"/>
      <c r="H1" s="701"/>
      <c r="I1" s="702"/>
      <c r="J1" s="567"/>
    </row>
    <row r="2" spans="1:10" s="704" customFormat="1" ht="15" x14ac:dyDescent="0.25">
      <c r="A2" s="784" t="s">
        <v>33</v>
      </c>
      <c r="B2" s="784"/>
      <c r="C2" s="784"/>
      <c r="D2" s="703"/>
      <c r="E2" s="570"/>
      <c r="F2" s="571"/>
      <c r="G2" s="570"/>
      <c r="I2" s="703"/>
      <c r="J2" s="570"/>
    </row>
    <row r="3" spans="1:10" ht="15.75" thickBot="1" x14ac:dyDescent="0.3">
      <c r="A3" s="2"/>
      <c r="B3" s="2"/>
      <c r="C3" s="488"/>
      <c r="D3" s="377"/>
      <c r="E3" s="572"/>
      <c r="F3" s="573"/>
      <c r="G3" s="572"/>
      <c r="H3" s="488"/>
      <c r="I3" s="377"/>
      <c r="J3" s="572"/>
    </row>
    <row r="4" spans="1:10" s="2" customFormat="1" ht="16.350000000000001" customHeight="1" thickTop="1" x14ac:dyDescent="0.2">
      <c r="B4" s="705"/>
      <c r="C4" s="706" t="s">
        <v>242</v>
      </c>
      <c r="D4" s="706" t="s">
        <v>242</v>
      </c>
      <c r="E4" s="574" t="s">
        <v>241</v>
      </c>
      <c r="F4" s="706" t="s">
        <v>240</v>
      </c>
      <c r="G4" s="574" t="s">
        <v>241</v>
      </c>
      <c r="H4" s="706" t="s">
        <v>367</v>
      </c>
      <c r="I4" s="706" t="s">
        <v>367</v>
      </c>
      <c r="J4" s="574" t="s">
        <v>241</v>
      </c>
    </row>
    <row r="5" spans="1:10" s="2" customFormat="1" ht="17.25" customHeight="1" thickBot="1" x14ac:dyDescent="0.3">
      <c r="B5" s="707" t="s">
        <v>243</v>
      </c>
      <c r="C5" s="708" t="s">
        <v>452</v>
      </c>
      <c r="D5" s="708" t="s">
        <v>370</v>
      </c>
      <c r="E5" s="575" t="s">
        <v>244</v>
      </c>
      <c r="F5" s="708" t="s">
        <v>452</v>
      </c>
      <c r="G5" s="575" t="s">
        <v>244</v>
      </c>
      <c r="H5" s="708" t="s">
        <v>451</v>
      </c>
      <c r="I5" s="709">
        <v>2024</v>
      </c>
      <c r="J5" s="576" t="s">
        <v>244</v>
      </c>
    </row>
    <row r="6" spans="1:10" s="2" customFormat="1" ht="15.75" thickTop="1" x14ac:dyDescent="0.2">
      <c r="B6" s="577"/>
      <c r="C6" s="710"/>
      <c r="D6" s="711"/>
      <c r="E6" s="578"/>
      <c r="F6" s="710"/>
      <c r="G6" s="579"/>
      <c r="H6" s="710"/>
      <c r="I6" s="711"/>
      <c r="J6" s="578"/>
    </row>
    <row r="7" spans="1:10" s="2" customFormat="1" ht="15" x14ac:dyDescent="0.25">
      <c r="B7" s="580" t="s">
        <v>245</v>
      </c>
      <c r="C7" s="712"/>
      <c r="D7" s="713"/>
      <c r="E7" s="578"/>
      <c r="F7" s="712"/>
      <c r="G7" s="578"/>
      <c r="H7" s="712"/>
      <c r="I7" s="713"/>
      <c r="J7" s="578"/>
    </row>
    <row r="8" spans="1:10" s="2" customFormat="1" ht="15" x14ac:dyDescent="0.25">
      <c r="B8" s="395" t="s">
        <v>345</v>
      </c>
      <c r="C8" s="264">
        <v>13727</v>
      </c>
      <c r="D8" s="281">
        <v>15460</v>
      </c>
      <c r="E8" s="236">
        <v>-11.209573091849933</v>
      </c>
      <c r="F8" s="333">
        <v>14541</v>
      </c>
      <c r="G8" s="282">
        <v>-5.5979643765903253</v>
      </c>
      <c r="H8" s="264">
        <v>28268</v>
      </c>
      <c r="I8" s="281">
        <v>30927</v>
      </c>
      <c r="J8" s="236">
        <v>-8.5976654703010311</v>
      </c>
    </row>
    <row r="9" spans="1:10" s="2" customFormat="1" ht="15" x14ac:dyDescent="0.25">
      <c r="B9" s="395" t="s">
        <v>74</v>
      </c>
      <c r="C9" s="264">
        <v>6556</v>
      </c>
      <c r="D9" s="281">
        <v>8135</v>
      </c>
      <c r="E9" s="211">
        <v>-19.409956976029509</v>
      </c>
      <c r="F9" s="333">
        <v>7212</v>
      </c>
      <c r="G9" s="236">
        <v>-9.0959511924570187</v>
      </c>
      <c r="H9" s="264">
        <v>13768</v>
      </c>
      <c r="I9" s="281">
        <v>16503</v>
      </c>
      <c r="J9" s="211">
        <v>-16.572744349512213</v>
      </c>
    </row>
    <row r="10" spans="1:10" s="2" customFormat="1" ht="15" x14ac:dyDescent="0.25">
      <c r="B10" s="714" t="s">
        <v>37</v>
      </c>
      <c r="C10" s="266">
        <v>7171</v>
      </c>
      <c r="D10" s="283">
        <v>7325</v>
      </c>
      <c r="E10" s="284">
        <v>-2.1023890784982902</v>
      </c>
      <c r="F10" s="715">
        <v>7329</v>
      </c>
      <c r="G10" s="285">
        <v>-2.1558193477964283</v>
      </c>
      <c r="H10" s="266">
        <v>14500</v>
      </c>
      <c r="I10" s="283">
        <v>14424</v>
      </c>
      <c r="J10" s="284">
        <v>0.52689961175818034</v>
      </c>
    </row>
    <row r="11" spans="1:10" s="2" customFormat="1" ht="15" x14ac:dyDescent="0.25">
      <c r="B11" s="395" t="s">
        <v>38</v>
      </c>
      <c r="C11" s="264">
        <v>2456</v>
      </c>
      <c r="D11" s="281">
        <v>2077</v>
      </c>
      <c r="E11" s="286">
        <v>18.247472315840163</v>
      </c>
      <c r="F11" s="333">
        <v>2442</v>
      </c>
      <c r="G11" s="282">
        <v>0.57330057330058359</v>
      </c>
      <c r="H11" s="264">
        <v>4898</v>
      </c>
      <c r="I11" s="281">
        <v>4168</v>
      </c>
      <c r="J11" s="286">
        <v>17.514395393474082</v>
      </c>
    </row>
    <row r="12" spans="1:10" s="2" customFormat="1" ht="15" x14ac:dyDescent="0.25">
      <c r="B12" s="395" t="s">
        <v>86</v>
      </c>
      <c r="C12" s="264">
        <v>1638</v>
      </c>
      <c r="D12" s="281">
        <v>1648</v>
      </c>
      <c r="E12" s="286">
        <v>-0.60679611650485965</v>
      </c>
      <c r="F12" s="333">
        <v>1723</v>
      </c>
      <c r="G12" s="286">
        <v>-4.9332559489262966</v>
      </c>
      <c r="H12" s="264">
        <v>3361</v>
      </c>
      <c r="I12" s="281">
        <v>3381</v>
      </c>
      <c r="J12" s="286">
        <v>-0.59154096421176749</v>
      </c>
    </row>
    <row r="13" spans="1:10" s="2" customFormat="1" ht="15" x14ac:dyDescent="0.25">
      <c r="B13" s="395" t="s">
        <v>88</v>
      </c>
      <c r="C13" s="264">
        <v>-23</v>
      </c>
      <c r="D13" s="281">
        <v>72</v>
      </c>
      <c r="E13" s="286" t="s">
        <v>117</v>
      </c>
      <c r="F13" s="333">
        <v>123</v>
      </c>
      <c r="G13" s="286" t="s">
        <v>117</v>
      </c>
      <c r="H13" s="264">
        <v>100</v>
      </c>
      <c r="I13" s="281">
        <v>163</v>
      </c>
      <c r="J13" s="286">
        <v>-38.650306748466257</v>
      </c>
    </row>
    <row r="14" spans="1:10" s="2" customFormat="1" ht="15" x14ac:dyDescent="0.25">
      <c r="B14" s="581" t="s">
        <v>87</v>
      </c>
      <c r="C14" s="264">
        <v>21</v>
      </c>
      <c r="D14" s="281">
        <v>136</v>
      </c>
      <c r="E14" s="286">
        <v>-84.558823529411768</v>
      </c>
      <c r="F14" s="333">
        <v>20</v>
      </c>
      <c r="G14" s="287">
        <v>5.0000000000000044</v>
      </c>
      <c r="H14" s="264">
        <v>41</v>
      </c>
      <c r="I14" s="281">
        <v>161</v>
      </c>
      <c r="J14" s="286">
        <v>-74.534161490683232</v>
      </c>
    </row>
    <row r="15" spans="1:10" s="2" customFormat="1" ht="15" x14ac:dyDescent="0.25">
      <c r="B15" s="582" t="s">
        <v>6</v>
      </c>
      <c r="C15" s="266">
        <v>4092</v>
      </c>
      <c r="D15" s="283">
        <v>3933</v>
      </c>
      <c r="E15" s="284">
        <v>4.0427154843630797</v>
      </c>
      <c r="F15" s="715">
        <v>4308</v>
      </c>
      <c r="G15" s="285">
        <v>-5.0139275766016738</v>
      </c>
      <c r="H15" s="266">
        <v>8400</v>
      </c>
      <c r="I15" s="283">
        <v>7873</v>
      </c>
      <c r="J15" s="284">
        <v>6.693763495490912</v>
      </c>
    </row>
    <row r="16" spans="1:10" s="2" customFormat="1" ht="15" x14ac:dyDescent="0.25">
      <c r="B16" s="1" t="s">
        <v>40</v>
      </c>
      <c r="C16" s="264">
        <v>11263</v>
      </c>
      <c r="D16" s="281">
        <v>11258</v>
      </c>
      <c r="E16" s="211">
        <v>4.441286196481542E-2</v>
      </c>
      <c r="F16" s="333">
        <v>11637</v>
      </c>
      <c r="G16" s="286">
        <v>-3.213886740568872</v>
      </c>
      <c r="H16" s="264">
        <v>22900</v>
      </c>
      <c r="I16" s="281">
        <v>22297</v>
      </c>
      <c r="J16" s="211">
        <v>2.7043996950262272</v>
      </c>
    </row>
    <row r="17" spans="2:10" s="2" customFormat="1" ht="15" x14ac:dyDescent="0.25">
      <c r="B17" s="395" t="s">
        <v>246</v>
      </c>
      <c r="C17" s="264">
        <v>2923</v>
      </c>
      <c r="D17" s="281">
        <v>2866</v>
      </c>
      <c r="E17" s="286">
        <v>1.9888346127006296</v>
      </c>
      <c r="F17" s="333">
        <v>2909</v>
      </c>
      <c r="G17" s="286">
        <v>0.48126503953247468</v>
      </c>
      <c r="H17" s="264">
        <v>5832</v>
      </c>
      <c r="I17" s="281">
        <v>5594</v>
      </c>
      <c r="J17" s="286">
        <v>4.2545584554880334</v>
      </c>
    </row>
    <row r="18" spans="2:10" s="2" customFormat="1" ht="15" x14ac:dyDescent="0.25">
      <c r="B18" s="581" t="s">
        <v>247</v>
      </c>
      <c r="C18" s="268">
        <v>1942</v>
      </c>
      <c r="D18" s="281">
        <v>1878</v>
      </c>
      <c r="E18" s="286">
        <v>3.4078807241746611</v>
      </c>
      <c r="F18" s="189">
        <v>1575</v>
      </c>
      <c r="G18" s="287">
        <v>23.301587301587311</v>
      </c>
      <c r="H18" s="268">
        <v>3517</v>
      </c>
      <c r="I18" s="281">
        <v>3424</v>
      </c>
      <c r="J18" s="286">
        <v>2.7161214953270951</v>
      </c>
    </row>
    <row r="19" spans="2:10" s="2" customFormat="1" ht="15" x14ac:dyDescent="0.25">
      <c r="B19" s="582" t="s">
        <v>248</v>
      </c>
      <c r="C19" s="269">
        <v>4865</v>
      </c>
      <c r="D19" s="283">
        <v>4744</v>
      </c>
      <c r="E19" s="284">
        <v>2.5505902192242802</v>
      </c>
      <c r="F19" s="288">
        <v>4484</v>
      </c>
      <c r="G19" s="289">
        <v>8.4968777876895718</v>
      </c>
      <c r="H19" s="269">
        <v>9349</v>
      </c>
      <c r="I19" s="283">
        <v>9018</v>
      </c>
      <c r="J19" s="284">
        <v>3.6704369039698426</v>
      </c>
    </row>
    <row r="20" spans="2:10" s="2" customFormat="1" ht="15" x14ac:dyDescent="0.25">
      <c r="B20" s="580" t="s">
        <v>41</v>
      </c>
      <c r="C20" s="264">
        <v>6398</v>
      </c>
      <c r="D20" s="281">
        <v>6514</v>
      </c>
      <c r="E20" s="286">
        <v>-1.7807798587657353</v>
      </c>
      <c r="F20" s="333">
        <v>7153</v>
      </c>
      <c r="G20" s="286">
        <v>-10.555011883125964</v>
      </c>
      <c r="H20" s="264">
        <v>13551</v>
      </c>
      <c r="I20" s="281">
        <v>13279</v>
      </c>
      <c r="J20" s="286">
        <v>2.0483470140823856</v>
      </c>
    </row>
    <row r="21" spans="2:10" s="2" customFormat="1" ht="15" x14ac:dyDescent="0.25">
      <c r="B21" s="395" t="s">
        <v>42</v>
      </c>
      <c r="C21" s="264">
        <v>11</v>
      </c>
      <c r="D21" s="281">
        <v>11</v>
      </c>
      <c r="E21" s="286">
        <v>0</v>
      </c>
      <c r="F21" s="333">
        <v>12</v>
      </c>
      <c r="G21" s="286">
        <v>-8.3333333333333375</v>
      </c>
      <c r="H21" s="264">
        <v>23</v>
      </c>
      <c r="I21" s="281">
        <v>23</v>
      </c>
      <c r="J21" s="286">
        <v>0</v>
      </c>
    </row>
    <row r="22" spans="2:10" s="2" customFormat="1" ht="15" x14ac:dyDescent="0.25">
      <c r="B22" s="395" t="s">
        <v>8</v>
      </c>
      <c r="C22" s="270">
        <v>333</v>
      </c>
      <c r="D22" s="290">
        <v>339</v>
      </c>
      <c r="E22" s="287">
        <v>-1.7699115044247815</v>
      </c>
      <c r="F22" s="144">
        <v>458</v>
      </c>
      <c r="G22" s="289">
        <v>-27.292576419213976</v>
      </c>
      <c r="H22" s="270">
        <v>791</v>
      </c>
      <c r="I22" s="290">
        <v>622</v>
      </c>
      <c r="J22" s="287">
        <v>27.170418006430875</v>
      </c>
    </row>
    <row r="23" spans="2:10" s="2" customFormat="1" ht="15" x14ac:dyDescent="0.25">
      <c r="B23" s="716" t="s">
        <v>249</v>
      </c>
      <c r="C23" s="271">
        <v>6054</v>
      </c>
      <c r="D23" s="281">
        <v>6164</v>
      </c>
      <c r="E23" s="211">
        <v>-1.7845554834522992</v>
      </c>
      <c r="F23" s="291">
        <v>6683</v>
      </c>
      <c r="G23" s="236">
        <v>-9.4119407451743182</v>
      </c>
      <c r="H23" s="271">
        <v>12737</v>
      </c>
      <c r="I23" s="281">
        <v>12634</v>
      </c>
      <c r="J23" s="211">
        <v>0.8152604084217252</v>
      </c>
    </row>
    <row r="24" spans="2:10" s="2" customFormat="1" ht="15" x14ac:dyDescent="0.25">
      <c r="B24" s="395" t="s">
        <v>250</v>
      </c>
      <c r="C24" s="270">
        <v>120</v>
      </c>
      <c r="D24" s="290">
        <v>136</v>
      </c>
      <c r="E24" s="287">
        <v>-11.764705882352944</v>
      </c>
      <c r="F24" s="144">
        <v>142</v>
      </c>
      <c r="G24" s="289">
        <v>-15.492957746478876</v>
      </c>
      <c r="H24" s="270">
        <v>262</v>
      </c>
      <c r="I24" s="290">
        <v>250</v>
      </c>
      <c r="J24" s="287">
        <v>4.8000000000000043</v>
      </c>
    </row>
    <row r="25" spans="2:10" s="2" customFormat="1" ht="15" x14ac:dyDescent="0.25">
      <c r="B25" s="716" t="s">
        <v>251</v>
      </c>
      <c r="C25" s="264">
        <v>6174</v>
      </c>
      <c r="D25" s="281">
        <v>6300</v>
      </c>
      <c r="E25" s="286">
        <v>-2.0000000000000018</v>
      </c>
      <c r="F25" s="717">
        <v>6825</v>
      </c>
      <c r="G25" s="236">
        <v>-9.5384615384615401</v>
      </c>
      <c r="H25" s="264">
        <v>12999</v>
      </c>
      <c r="I25" s="281">
        <v>12884</v>
      </c>
      <c r="J25" s="286">
        <v>0.89257994411673369</v>
      </c>
    </row>
    <row r="26" spans="2:10" s="2" customFormat="1" ht="15" x14ac:dyDescent="0.25">
      <c r="B26" s="581" t="s">
        <v>252</v>
      </c>
      <c r="C26" s="264">
        <v>961</v>
      </c>
      <c r="D26" s="281">
        <v>750</v>
      </c>
      <c r="E26" s="211">
        <v>28.133333333333344</v>
      </c>
      <c r="F26" s="333">
        <v>1104</v>
      </c>
      <c r="G26" s="287">
        <v>-12.952898550724633</v>
      </c>
      <c r="H26" s="264">
        <v>2065</v>
      </c>
      <c r="I26" s="281">
        <v>1594</v>
      </c>
      <c r="J26" s="211">
        <v>29.548306148055214</v>
      </c>
    </row>
    <row r="27" spans="2:10" s="2" customFormat="1" ht="15.75" thickBot="1" x14ac:dyDescent="0.3">
      <c r="B27" s="583" t="s">
        <v>238</v>
      </c>
      <c r="C27" s="272">
        <v>5213</v>
      </c>
      <c r="D27" s="292">
        <v>5550</v>
      </c>
      <c r="E27" s="293">
        <v>-6.0720720720720767</v>
      </c>
      <c r="F27" s="718">
        <v>5721</v>
      </c>
      <c r="G27" s="293">
        <v>-8.8795665093515108</v>
      </c>
      <c r="H27" s="272">
        <v>10934</v>
      </c>
      <c r="I27" s="292">
        <v>11290</v>
      </c>
      <c r="J27" s="293">
        <v>-3.1532329495128408</v>
      </c>
    </row>
    <row r="28" spans="2:10" s="2" customFormat="1" ht="15" thickTop="1" x14ac:dyDescent="0.2">
      <c r="B28" s="395"/>
      <c r="C28" s="273"/>
      <c r="D28" s="294"/>
      <c r="F28" s="286"/>
      <c r="G28" s="286"/>
      <c r="H28" s="265"/>
      <c r="I28" s="294"/>
    </row>
    <row r="29" spans="2:10" s="2" customFormat="1" ht="14.25" x14ac:dyDescent="0.2">
      <c r="B29" s="395" t="s">
        <v>253</v>
      </c>
      <c r="C29" s="273"/>
      <c r="D29" s="294"/>
      <c r="F29" s="286"/>
      <c r="G29" s="286"/>
      <c r="H29" s="265"/>
      <c r="I29" s="294"/>
    </row>
    <row r="30" spans="2:10" s="2" customFormat="1" ht="15" x14ac:dyDescent="0.25">
      <c r="B30" s="580" t="s">
        <v>254</v>
      </c>
      <c r="C30" s="205">
        <v>5212</v>
      </c>
      <c r="D30" s="281">
        <v>5549</v>
      </c>
      <c r="E30" s="286">
        <v>-6.0731663362768025</v>
      </c>
      <c r="F30" s="161">
        <v>5721</v>
      </c>
      <c r="G30" s="286">
        <v>-8.897045970984097</v>
      </c>
      <c r="H30" s="205">
        <v>10933</v>
      </c>
      <c r="I30" s="281">
        <v>11289</v>
      </c>
      <c r="J30" s="286">
        <v>-3.1535122685800387</v>
      </c>
    </row>
    <row r="31" spans="2:10" s="2" customFormat="1" ht="15" x14ac:dyDescent="0.25">
      <c r="B31" s="581" t="s">
        <v>255</v>
      </c>
      <c r="C31" s="274">
        <v>1</v>
      </c>
      <c r="D31" s="281">
        <v>1</v>
      </c>
      <c r="E31" s="287">
        <v>0</v>
      </c>
      <c r="F31" s="295">
        <v>0</v>
      </c>
      <c r="G31" s="287" t="s">
        <v>117</v>
      </c>
      <c r="H31" s="274">
        <v>1</v>
      </c>
      <c r="I31" s="281">
        <v>1</v>
      </c>
      <c r="J31" s="287">
        <v>0</v>
      </c>
    </row>
    <row r="32" spans="2:10" s="2" customFormat="1" ht="15.75" thickBot="1" x14ac:dyDescent="0.3">
      <c r="B32" s="719"/>
      <c r="C32" s="275">
        <v>5213</v>
      </c>
      <c r="D32" s="292">
        <v>5550</v>
      </c>
      <c r="E32" s="293">
        <v>-6.0720720720720767</v>
      </c>
      <c r="F32" s="296">
        <v>5721</v>
      </c>
      <c r="G32" s="293">
        <v>-8.8795665093515108</v>
      </c>
      <c r="H32" s="275">
        <v>10934</v>
      </c>
      <c r="I32" s="292">
        <v>11290</v>
      </c>
      <c r="J32" s="293">
        <v>-3.1532329495128408</v>
      </c>
    </row>
    <row r="33" spans="1:10" ht="15" thickTop="1" x14ac:dyDescent="0.2">
      <c r="A33" s="2"/>
      <c r="B33" s="324"/>
      <c r="C33" s="733"/>
      <c r="D33" s="347"/>
      <c r="E33" s="297"/>
      <c r="F33" s="298"/>
      <c r="G33" s="297"/>
      <c r="H33" s="733"/>
      <c r="I33" s="347"/>
      <c r="J33" s="297"/>
    </row>
    <row r="34" spans="1:10" ht="14.25" x14ac:dyDescent="0.2">
      <c r="A34" s="2"/>
      <c r="B34" s="324"/>
      <c r="C34" s="733"/>
      <c r="D34" s="347"/>
      <c r="E34" s="297"/>
      <c r="F34" s="298"/>
      <c r="G34" s="297"/>
      <c r="H34" s="733"/>
      <c r="I34" s="347"/>
      <c r="J34" s="297"/>
    </row>
    <row r="35" spans="1:10" s="723" customFormat="1" ht="20.25" x14ac:dyDescent="0.3">
      <c r="A35" s="720" t="s">
        <v>369</v>
      </c>
      <c r="B35" s="721"/>
      <c r="C35" s="734"/>
      <c r="D35" s="722"/>
      <c r="E35" s="299"/>
      <c r="F35" s="300"/>
      <c r="G35" s="299"/>
      <c r="H35" s="734"/>
      <c r="I35" s="722"/>
      <c r="J35" s="299"/>
    </row>
    <row r="36" spans="1:10" ht="15" thickBot="1" x14ac:dyDescent="0.25">
      <c r="A36" s="2"/>
      <c r="B36" s="324"/>
      <c r="C36" s="735"/>
      <c r="D36" s="347"/>
      <c r="E36" s="297"/>
      <c r="F36" s="298"/>
      <c r="G36" s="297"/>
      <c r="H36" s="735"/>
      <c r="I36" s="347"/>
      <c r="J36" s="297"/>
    </row>
    <row r="37" spans="1:10" ht="17.25" customHeight="1" thickTop="1" x14ac:dyDescent="0.2">
      <c r="A37" s="2"/>
      <c r="B37" s="705"/>
      <c r="C37" s="736" t="s">
        <v>242</v>
      </c>
      <c r="D37" s="706" t="s">
        <v>242</v>
      </c>
      <c r="E37" s="301" t="s">
        <v>241</v>
      </c>
      <c r="F37" s="706" t="s">
        <v>240</v>
      </c>
      <c r="G37" s="301" t="s">
        <v>241</v>
      </c>
      <c r="H37" s="736" t="s">
        <v>367</v>
      </c>
      <c r="I37" s="706" t="s">
        <v>367</v>
      </c>
      <c r="J37" s="301" t="s">
        <v>241</v>
      </c>
    </row>
    <row r="38" spans="1:10" ht="18" thickBot="1" x14ac:dyDescent="0.3">
      <c r="A38" s="2"/>
      <c r="B38" s="707" t="s">
        <v>243</v>
      </c>
      <c r="C38" s="737" t="s">
        <v>452</v>
      </c>
      <c r="D38" s="708" t="s">
        <v>370</v>
      </c>
      <c r="E38" s="302" t="s">
        <v>244</v>
      </c>
      <c r="F38" s="708" t="s">
        <v>452</v>
      </c>
      <c r="G38" s="302" t="s">
        <v>244</v>
      </c>
      <c r="H38" s="739" t="s">
        <v>451</v>
      </c>
      <c r="I38" s="724">
        <v>2024</v>
      </c>
      <c r="J38" s="302" t="s">
        <v>244</v>
      </c>
    </row>
    <row r="39" spans="1:10" ht="15" thickTop="1" x14ac:dyDescent="0.2">
      <c r="A39" s="2"/>
      <c r="B39" s="577"/>
      <c r="C39" s="738"/>
      <c r="D39" s="725"/>
      <c r="E39" s="286"/>
      <c r="F39" s="303"/>
      <c r="G39" s="286"/>
      <c r="H39" s="738"/>
      <c r="I39" s="725"/>
      <c r="J39" s="286"/>
    </row>
    <row r="40" spans="1:10" ht="15" x14ac:dyDescent="0.25">
      <c r="A40" s="2"/>
      <c r="B40" s="580" t="s">
        <v>238</v>
      </c>
      <c r="C40" s="264">
        <v>5213</v>
      </c>
      <c r="D40" s="281">
        <v>5550</v>
      </c>
      <c r="E40" s="236">
        <v>-6.0720720720720767</v>
      </c>
      <c r="F40" s="281">
        <v>5721</v>
      </c>
      <c r="G40" s="236">
        <v>-8.8795665093515108</v>
      </c>
      <c r="H40" s="264">
        <v>10934</v>
      </c>
      <c r="I40" s="281">
        <v>11290</v>
      </c>
      <c r="J40" s="236">
        <v>-3.1532329495128408</v>
      </c>
    </row>
    <row r="41" spans="1:10" ht="15" x14ac:dyDescent="0.25">
      <c r="A41" s="2"/>
      <c r="B41" s="580"/>
      <c r="C41" s="276"/>
      <c r="D41" s="304"/>
      <c r="E41" s="286"/>
      <c r="F41" s="281"/>
      <c r="G41" s="286"/>
      <c r="H41" s="276"/>
      <c r="I41" s="304"/>
      <c r="J41" s="286"/>
    </row>
    <row r="42" spans="1:10" ht="15" x14ac:dyDescent="0.25">
      <c r="A42" s="2"/>
      <c r="B42" s="580" t="s">
        <v>256</v>
      </c>
      <c r="C42" s="276"/>
      <c r="D42" s="304"/>
      <c r="E42" s="286"/>
      <c r="F42" s="281"/>
      <c r="G42" s="286"/>
      <c r="H42" s="276"/>
      <c r="I42" s="304"/>
      <c r="J42" s="286"/>
    </row>
    <row r="43" spans="1:10" ht="15" x14ac:dyDescent="0.25">
      <c r="A43" s="2"/>
      <c r="B43" s="580"/>
      <c r="C43" s="276"/>
      <c r="D43" s="304"/>
      <c r="E43" s="286"/>
      <c r="F43" s="281"/>
      <c r="G43" s="286"/>
      <c r="H43" s="276"/>
      <c r="I43" s="304"/>
      <c r="J43" s="286"/>
    </row>
    <row r="44" spans="1:10" ht="30" customHeight="1" x14ac:dyDescent="0.25">
      <c r="A44" s="2"/>
      <c r="B44" s="580" t="s">
        <v>257</v>
      </c>
      <c r="C44" s="276"/>
      <c r="D44" s="304"/>
      <c r="E44" s="286"/>
      <c r="F44" s="281"/>
      <c r="G44" s="286"/>
      <c r="H44" s="276"/>
      <c r="I44" s="304"/>
      <c r="J44" s="286"/>
    </row>
    <row r="45" spans="1:10" ht="15" x14ac:dyDescent="0.25">
      <c r="A45" s="2"/>
      <c r="B45" s="395" t="s">
        <v>258</v>
      </c>
      <c r="C45" s="268">
        <v>141</v>
      </c>
      <c r="D45" s="281">
        <v>18</v>
      </c>
      <c r="E45" s="286" t="s">
        <v>500</v>
      </c>
      <c r="F45" s="281">
        <v>-1559</v>
      </c>
      <c r="G45" s="236" t="s">
        <v>117</v>
      </c>
      <c r="H45" s="268">
        <v>-1418</v>
      </c>
      <c r="I45" s="281">
        <v>518</v>
      </c>
      <c r="J45" s="286" t="s">
        <v>117</v>
      </c>
    </row>
    <row r="46" spans="1:10" ht="15.75" customHeight="1" x14ac:dyDescent="0.25">
      <c r="A46" s="2"/>
      <c r="B46" s="395" t="s">
        <v>495</v>
      </c>
      <c r="C46" s="268">
        <v>10</v>
      </c>
      <c r="D46" s="281">
        <v>-7</v>
      </c>
      <c r="E46" s="286" t="s">
        <v>117</v>
      </c>
      <c r="F46" s="281">
        <v>-7</v>
      </c>
      <c r="G46" s="236" t="s">
        <v>117</v>
      </c>
      <c r="H46" s="268">
        <v>3</v>
      </c>
      <c r="I46" s="281">
        <v>-7</v>
      </c>
      <c r="J46" s="286" t="s">
        <v>117</v>
      </c>
    </row>
    <row r="47" spans="1:10" ht="30" customHeight="1" x14ac:dyDescent="0.25">
      <c r="A47" s="2"/>
      <c r="B47" s="726" t="s">
        <v>453</v>
      </c>
      <c r="C47" s="268"/>
      <c r="D47" s="281"/>
      <c r="E47" s="236"/>
      <c r="F47" s="281"/>
      <c r="G47" s="236"/>
      <c r="H47" s="268"/>
      <c r="I47" s="281"/>
      <c r="J47" s="236"/>
    </row>
    <row r="48" spans="1:10" ht="15" x14ac:dyDescent="0.25">
      <c r="A48" s="2"/>
      <c r="B48" s="727" t="s">
        <v>454</v>
      </c>
      <c r="C48" s="268">
        <v>175</v>
      </c>
      <c r="D48" s="236">
        <v>345</v>
      </c>
      <c r="E48" s="286">
        <v>-49.275362318840578</v>
      </c>
      <c r="F48" s="236">
        <v>417</v>
      </c>
      <c r="G48" s="236">
        <v>-58.033573141486805</v>
      </c>
      <c r="H48" s="268">
        <v>592</v>
      </c>
      <c r="I48" s="236">
        <v>388</v>
      </c>
      <c r="J48" s="286">
        <v>52.577319587628857</v>
      </c>
    </row>
    <row r="49" spans="1:10" ht="15.75" customHeight="1" x14ac:dyDescent="0.25">
      <c r="A49" s="2"/>
      <c r="B49" s="727" t="s">
        <v>496</v>
      </c>
      <c r="C49" s="268">
        <v>41</v>
      </c>
      <c r="D49" s="236">
        <v>-17</v>
      </c>
      <c r="E49" s="286" t="s">
        <v>117</v>
      </c>
      <c r="F49" s="236">
        <v>-103</v>
      </c>
      <c r="G49" s="236" t="s">
        <v>117</v>
      </c>
      <c r="H49" s="268">
        <v>-62</v>
      </c>
      <c r="I49" s="236">
        <v>-76</v>
      </c>
      <c r="J49" s="286">
        <v>18.421052631578949</v>
      </c>
    </row>
    <row r="50" spans="1:10" ht="15" x14ac:dyDescent="0.25">
      <c r="A50" s="2"/>
      <c r="B50" s="344" t="s">
        <v>344</v>
      </c>
      <c r="C50" s="268">
        <v>-33</v>
      </c>
      <c r="D50" s="236">
        <v>3</v>
      </c>
      <c r="E50" s="286" t="s">
        <v>117</v>
      </c>
      <c r="F50" s="236">
        <v>-39</v>
      </c>
      <c r="G50" s="236">
        <v>15.384615384615385</v>
      </c>
      <c r="H50" s="268">
        <v>-72</v>
      </c>
      <c r="I50" s="236">
        <v>25</v>
      </c>
      <c r="J50" s="286" t="s">
        <v>117</v>
      </c>
    </row>
    <row r="51" spans="1:10" ht="15" x14ac:dyDescent="0.25">
      <c r="A51" s="2"/>
      <c r="B51" s="395" t="s">
        <v>456</v>
      </c>
      <c r="C51" s="271"/>
      <c r="D51" s="281"/>
      <c r="E51" s="236"/>
      <c r="F51" s="281"/>
      <c r="G51" s="236"/>
      <c r="H51" s="271"/>
      <c r="I51" s="281"/>
      <c r="J51" s="236"/>
    </row>
    <row r="52" spans="1:10" ht="15.75" customHeight="1" x14ac:dyDescent="0.25">
      <c r="A52" s="2"/>
      <c r="B52" s="727" t="s">
        <v>454</v>
      </c>
      <c r="C52" s="271">
        <v>853</v>
      </c>
      <c r="D52" s="281">
        <v>1026</v>
      </c>
      <c r="E52" s="286">
        <v>-16.861598440545812</v>
      </c>
      <c r="F52" s="281">
        <v>1531</v>
      </c>
      <c r="G52" s="236">
        <v>-44.284781188765507</v>
      </c>
      <c r="H52" s="271">
        <v>2384</v>
      </c>
      <c r="I52" s="281">
        <v>913</v>
      </c>
      <c r="J52" s="286" t="s">
        <v>500</v>
      </c>
    </row>
    <row r="53" spans="1:10" ht="15.75" customHeight="1" x14ac:dyDescent="0.25">
      <c r="A53" s="2"/>
      <c r="B53" s="727" t="s">
        <v>455</v>
      </c>
      <c r="C53" s="268">
        <v>-809</v>
      </c>
      <c r="D53" s="281">
        <v>-260</v>
      </c>
      <c r="E53" s="286" t="s">
        <v>501</v>
      </c>
      <c r="F53" s="281">
        <v>-574</v>
      </c>
      <c r="G53" s="236">
        <v>-40.940766550522653</v>
      </c>
      <c r="H53" s="268">
        <v>-1383</v>
      </c>
      <c r="I53" s="281">
        <v>-285</v>
      </c>
      <c r="J53" s="286" t="s">
        <v>501</v>
      </c>
    </row>
    <row r="54" spans="1:10" ht="15" x14ac:dyDescent="0.25">
      <c r="A54" s="2"/>
      <c r="B54" s="344" t="s">
        <v>344</v>
      </c>
      <c r="C54" s="268">
        <v>-17</v>
      </c>
      <c r="D54" s="281">
        <v>-31</v>
      </c>
      <c r="E54" s="286">
        <v>45.161290322580648</v>
      </c>
      <c r="F54" s="281">
        <v>-119</v>
      </c>
      <c r="G54" s="236">
        <v>85.714285714285722</v>
      </c>
      <c r="H54" s="268">
        <v>-136</v>
      </c>
      <c r="I54" s="281">
        <v>-3</v>
      </c>
      <c r="J54" s="286" t="s">
        <v>501</v>
      </c>
    </row>
    <row r="55" spans="1:10" ht="14.25" x14ac:dyDescent="0.2">
      <c r="A55" s="2"/>
      <c r="B55" s="728"/>
      <c r="C55" s="277"/>
      <c r="D55" s="281"/>
      <c r="E55" s="236"/>
      <c r="F55" s="281"/>
      <c r="G55" s="236"/>
      <c r="H55" s="277"/>
      <c r="I55" s="281"/>
      <c r="J55" s="236"/>
    </row>
    <row r="56" spans="1:10" ht="30" x14ac:dyDescent="0.25">
      <c r="A56" s="2"/>
      <c r="B56" s="580" t="s">
        <v>259</v>
      </c>
      <c r="C56" s="277"/>
      <c r="D56" s="281"/>
      <c r="E56" s="236"/>
      <c r="F56" s="281"/>
      <c r="G56" s="236"/>
      <c r="H56" s="277"/>
      <c r="I56" s="281"/>
      <c r="J56" s="236"/>
    </row>
    <row r="57" spans="1:10" ht="29.25" x14ac:dyDescent="0.25">
      <c r="A57" s="2"/>
      <c r="B57" s="726" t="s">
        <v>478</v>
      </c>
      <c r="C57" s="271">
        <v>46</v>
      </c>
      <c r="D57" s="281">
        <v>77</v>
      </c>
      <c r="E57" s="286">
        <v>-40.259740259740262</v>
      </c>
      <c r="F57" s="281">
        <v>61</v>
      </c>
      <c r="G57" s="236">
        <v>-24.590163934426236</v>
      </c>
      <c r="H57" s="271">
        <v>107</v>
      </c>
      <c r="I57" s="281">
        <v>110</v>
      </c>
      <c r="J57" s="286">
        <v>-2.7272727272727226</v>
      </c>
    </row>
    <row r="58" spans="1:10" ht="29.25" x14ac:dyDescent="0.25">
      <c r="A58" s="2"/>
      <c r="B58" s="726" t="s">
        <v>260</v>
      </c>
      <c r="C58" s="278">
        <v>-119</v>
      </c>
      <c r="D58" s="281">
        <v>9</v>
      </c>
      <c r="E58" s="286" t="s">
        <v>117</v>
      </c>
      <c r="F58" s="281">
        <v>-65</v>
      </c>
      <c r="G58" s="236">
        <v>-83.076923076923066</v>
      </c>
      <c r="H58" s="278">
        <v>-184</v>
      </c>
      <c r="I58" s="281">
        <v>-12</v>
      </c>
      <c r="J58" s="286" t="s">
        <v>501</v>
      </c>
    </row>
    <row r="59" spans="1:10" ht="16.5" customHeight="1" x14ac:dyDescent="0.25">
      <c r="A59" s="2"/>
      <c r="B59" s="729" t="s">
        <v>261</v>
      </c>
      <c r="C59" s="274">
        <v>1</v>
      </c>
      <c r="D59" s="290">
        <v>6</v>
      </c>
      <c r="E59" s="287">
        <v>-83.333333333333343</v>
      </c>
      <c r="F59" s="290">
        <v>3</v>
      </c>
      <c r="G59" s="287">
        <v>-66.666666666666671</v>
      </c>
      <c r="H59" s="274">
        <v>4</v>
      </c>
      <c r="I59" s="290">
        <v>-1</v>
      </c>
      <c r="J59" s="287" t="s">
        <v>117</v>
      </c>
    </row>
    <row r="60" spans="1:10" ht="15" x14ac:dyDescent="0.25">
      <c r="A60" s="2"/>
      <c r="B60" s="582" t="s">
        <v>262</v>
      </c>
      <c r="C60" s="274">
        <v>289</v>
      </c>
      <c r="D60" s="287">
        <v>1169</v>
      </c>
      <c r="E60" s="289">
        <v>-75.278015397775874</v>
      </c>
      <c r="F60" s="305">
        <v>-454</v>
      </c>
      <c r="G60" s="289" t="s">
        <v>117</v>
      </c>
      <c r="H60" s="274">
        <v>-165</v>
      </c>
      <c r="I60" s="287">
        <v>1570</v>
      </c>
      <c r="J60" s="289" t="s">
        <v>117</v>
      </c>
    </row>
    <row r="61" spans="1:10" ht="15.75" thickBot="1" x14ac:dyDescent="0.3">
      <c r="A61" s="2"/>
      <c r="B61" s="583" t="s">
        <v>263</v>
      </c>
      <c r="C61" s="275">
        <v>5502</v>
      </c>
      <c r="D61" s="293">
        <v>6719</v>
      </c>
      <c r="E61" s="306">
        <v>-18.112814406905787</v>
      </c>
      <c r="F61" s="292">
        <v>5267</v>
      </c>
      <c r="G61" s="306">
        <v>4.4617429276628151</v>
      </c>
      <c r="H61" s="275">
        <v>10769</v>
      </c>
      <c r="I61" s="293">
        <v>12860</v>
      </c>
      <c r="J61" s="306">
        <v>-16.259720062208395</v>
      </c>
    </row>
    <row r="62" spans="1:10" ht="15" thickTop="1" x14ac:dyDescent="0.2">
      <c r="A62" s="2"/>
      <c r="B62" s="395"/>
      <c r="C62" s="279"/>
      <c r="D62" s="286"/>
      <c r="E62" s="286"/>
      <c r="F62" s="286"/>
      <c r="G62" s="286"/>
      <c r="H62" s="279"/>
      <c r="I62" s="286"/>
      <c r="J62" s="286"/>
    </row>
    <row r="63" spans="1:10" ht="14.25" x14ac:dyDescent="0.2">
      <c r="A63" s="2"/>
      <c r="B63" s="395" t="s">
        <v>253</v>
      </c>
      <c r="C63" s="279"/>
      <c r="D63" s="286"/>
      <c r="E63" s="286"/>
      <c r="F63" s="286"/>
      <c r="G63" s="286"/>
      <c r="H63" s="279"/>
      <c r="I63" s="286"/>
      <c r="J63" s="286"/>
    </row>
    <row r="64" spans="1:10" ht="15" x14ac:dyDescent="0.25">
      <c r="A64" s="2"/>
      <c r="B64" s="580" t="s">
        <v>254</v>
      </c>
      <c r="C64" s="271">
        <v>5501</v>
      </c>
      <c r="D64" s="236">
        <v>6719</v>
      </c>
      <c r="E64" s="236">
        <v>-18.127697574043754</v>
      </c>
      <c r="F64" s="236">
        <v>5269</v>
      </c>
      <c r="G64" s="236">
        <v>4.403112545074972</v>
      </c>
      <c r="H64" s="271">
        <v>10770</v>
      </c>
      <c r="I64" s="236">
        <v>12860</v>
      </c>
      <c r="J64" s="236">
        <v>-16.251944012441676</v>
      </c>
    </row>
    <row r="65" spans="1:16" ht="15" x14ac:dyDescent="0.25">
      <c r="A65" s="2"/>
      <c r="B65" s="581" t="s">
        <v>255</v>
      </c>
      <c r="C65" s="280">
        <v>1</v>
      </c>
      <c r="D65" s="281">
        <v>0</v>
      </c>
      <c r="E65" s="289" t="s">
        <v>117</v>
      </c>
      <c r="F65" s="281">
        <v>-2</v>
      </c>
      <c r="G65" s="289" t="s">
        <v>117</v>
      </c>
      <c r="H65" s="280">
        <v>-1</v>
      </c>
      <c r="I65" s="281">
        <v>0</v>
      </c>
      <c r="J65" s="289" t="s">
        <v>117</v>
      </c>
    </row>
    <row r="66" spans="1:16" ht="19.5" customHeight="1" thickBot="1" x14ac:dyDescent="0.3">
      <c r="A66" s="2"/>
      <c r="B66" s="719"/>
      <c r="C66" s="275">
        <v>5502</v>
      </c>
      <c r="D66" s="307">
        <v>6719</v>
      </c>
      <c r="E66" s="306">
        <v>-18.112814406905787</v>
      </c>
      <c r="F66" s="307">
        <v>5267</v>
      </c>
      <c r="G66" s="306">
        <v>4.4617429276628151</v>
      </c>
      <c r="H66" s="275">
        <v>10769</v>
      </c>
      <c r="I66" s="307">
        <v>12860</v>
      </c>
      <c r="J66" s="306">
        <v>-16.259720062208395</v>
      </c>
    </row>
    <row r="67" spans="1:16" ht="19.5" customHeight="1" thickTop="1" x14ac:dyDescent="0.25">
      <c r="A67" s="2"/>
      <c r="B67" s="363"/>
      <c r="C67" s="584"/>
      <c r="D67" s="585"/>
      <c r="E67" s="241"/>
      <c r="F67" s="585"/>
      <c r="G67" s="586"/>
      <c r="H67" s="584"/>
      <c r="I67" s="585"/>
      <c r="J67" s="241"/>
    </row>
    <row r="68" spans="1:16" ht="15" x14ac:dyDescent="0.25">
      <c r="A68" s="587"/>
      <c r="B68" s="363" t="s">
        <v>264</v>
      </c>
      <c r="C68" s="588"/>
      <c r="D68" s="297"/>
      <c r="E68" s="297"/>
      <c r="F68" s="297"/>
      <c r="G68" s="297"/>
      <c r="H68" s="588"/>
      <c r="I68" s="297"/>
      <c r="J68" s="297"/>
    </row>
    <row r="69" spans="1:16" s="11" customFormat="1" ht="15" x14ac:dyDescent="0.25">
      <c r="A69" s="534" t="s">
        <v>89</v>
      </c>
      <c r="B69" s="360" t="s">
        <v>371</v>
      </c>
      <c r="D69" s="589"/>
      <c r="E69" s="144"/>
      <c r="F69" s="589"/>
      <c r="G69" s="226"/>
      <c r="H69" s="590"/>
      <c r="I69" s="589"/>
      <c r="J69" s="144"/>
      <c r="L69" s="2"/>
      <c r="M69" s="591"/>
      <c r="N69" s="2"/>
      <c r="O69" s="2"/>
      <c r="P69" s="2"/>
    </row>
    <row r="70" spans="1:16" x14ac:dyDescent="0.2">
      <c r="C70" s="592"/>
      <c r="D70" s="593"/>
      <c r="E70" s="593"/>
      <c r="F70" s="593"/>
      <c r="G70" s="593"/>
      <c r="H70" s="592"/>
      <c r="I70" s="593"/>
      <c r="J70" s="593"/>
    </row>
    <row r="71" spans="1:16" x14ac:dyDescent="0.2">
      <c r="C71" s="592"/>
      <c r="D71" s="593"/>
      <c r="E71" s="593"/>
      <c r="F71" s="593"/>
      <c r="G71" s="593"/>
      <c r="H71" s="592"/>
      <c r="I71" s="593"/>
      <c r="J71" s="593"/>
    </row>
    <row r="72" spans="1:16" x14ac:dyDescent="0.2">
      <c r="C72" s="592"/>
      <c r="D72" s="593"/>
      <c r="E72" s="593"/>
      <c r="F72" s="593"/>
      <c r="G72" s="593"/>
      <c r="H72" s="592"/>
      <c r="I72" s="593"/>
      <c r="J72" s="593"/>
    </row>
    <row r="73" spans="1:16" x14ac:dyDescent="0.2">
      <c r="C73" s="592"/>
      <c r="D73" s="593"/>
      <c r="E73" s="593"/>
      <c r="F73" s="593"/>
      <c r="G73" s="593"/>
      <c r="H73" s="592"/>
      <c r="I73" s="593"/>
      <c r="J73" s="593"/>
    </row>
    <row r="74" spans="1:16" x14ac:dyDescent="0.2">
      <c r="C74" s="592"/>
      <c r="D74" s="593"/>
      <c r="E74" s="593"/>
      <c r="F74" s="593"/>
      <c r="G74" s="593"/>
      <c r="H74" s="592"/>
      <c r="I74" s="593"/>
      <c r="J74" s="593"/>
    </row>
    <row r="75" spans="1:16" x14ac:dyDescent="0.2">
      <c r="C75" s="592"/>
      <c r="D75" s="593"/>
      <c r="E75" s="593"/>
      <c r="F75" s="593"/>
      <c r="G75" s="593"/>
      <c r="H75" s="592"/>
      <c r="I75" s="593"/>
      <c r="J75" s="593"/>
    </row>
    <row r="76" spans="1:16" x14ac:dyDescent="0.2">
      <c r="C76" s="592"/>
      <c r="D76" s="593"/>
      <c r="E76" s="593"/>
      <c r="F76" s="593"/>
      <c r="G76" s="593"/>
      <c r="H76" s="592"/>
      <c r="I76" s="593"/>
      <c r="J76" s="593"/>
    </row>
    <row r="77" spans="1:16" x14ac:dyDescent="0.2">
      <c r="C77" s="592"/>
      <c r="D77" s="593"/>
      <c r="E77" s="593"/>
      <c r="F77" s="593"/>
      <c r="G77" s="593"/>
      <c r="H77" s="592"/>
      <c r="I77" s="593"/>
      <c r="J77" s="593"/>
    </row>
    <row r="78" spans="1:16" x14ac:dyDescent="0.2">
      <c r="C78" s="592"/>
      <c r="D78" s="593"/>
      <c r="E78" s="593"/>
      <c r="F78" s="593"/>
      <c r="G78" s="593"/>
      <c r="H78" s="592"/>
      <c r="I78" s="593"/>
      <c r="J78" s="593"/>
    </row>
    <row r="79" spans="1:16" x14ac:dyDescent="0.2">
      <c r="C79" s="592"/>
      <c r="D79" s="593"/>
      <c r="E79" s="593"/>
      <c r="F79" s="593"/>
      <c r="G79" s="593"/>
      <c r="H79" s="592"/>
      <c r="I79" s="593"/>
      <c r="J79" s="593"/>
    </row>
    <row r="80" spans="1:16" x14ac:dyDescent="0.2">
      <c r="C80" s="592"/>
      <c r="D80" s="593"/>
      <c r="E80" s="593"/>
      <c r="F80" s="593"/>
      <c r="G80" s="593"/>
      <c r="H80" s="592"/>
      <c r="I80" s="593"/>
      <c r="J80" s="593"/>
    </row>
    <row r="81" spans="3:10" x14ac:dyDescent="0.2">
      <c r="C81" s="592"/>
      <c r="D81" s="593"/>
      <c r="E81" s="593"/>
      <c r="F81" s="593"/>
      <c r="G81" s="593"/>
      <c r="H81" s="592"/>
      <c r="I81" s="593"/>
      <c r="J81" s="593"/>
    </row>
    <row r="82" spans="3:10" x14ac:dyDescent="0.2">
      <c r="C82" s="592"/>
      <c r="D82" s="593"/>
      <c r="E82" s="593"/>
      <c r="F82" s="593"/>
      <c r="G82" s="593"/>
      <c r="H82" s="592"/>
      <c r="I82" s="593"/>
      <c r="J82" s="593"/>
    </row>
    <row r="83" spans="3:10" x14ac:dyDescent="0.2">
      <c r="C83" s="592"/>
      <c r="D83" s="593"/>
      <c r="E83" s="593"/>
      <c r="F83" s="593"/>
      <c r="G83" s="593"/>
      <c r="H83" s="592"/>
      <c r="I83" s="593"/>
      <c r="J83" s="593"/>
    </row>
    <row r="84" spans="3:10" x14ac:dyDescent="0.2">
      <c r="C84" s="592"/>
      <c r="D84" s="593"/>
      <c r="E84" s="593"/>
      <c r="F84" s="593"/>
      <c r="G84" s="593"/>
      <c r="H84" s="592"/>
      <c r="I84" s="593"/>
      <c r="J84" s="593"/>
    </row>
    <row r="85" spans="3:10" x14ac:dyDescent="0.2">
      <c r="C85" s="592"/>
      <c r="D85" s="593"/>
      <c r="E85" s="593"/>
      <c r="F85" s="593"/>
      <c r="G85" s="593"/>
      <c r="H85" s="592"/>
      <c r="I85" s="593"/>
      <c r="J85" s="593"/>
    </row>
    <row r="86" spans="3:10" x14ac:dyDescent="0.2">
      <c r="C86" s="592"/>
      <c r="D86" s="593"/>
      <c r="E86" s="593"/>
      <c r="F86" s="593"/>
      <c r="G86" s="593"/>
      <c r="H86" s="592"/>
      <c r="I86" s="593"/>
      <c r="J86" s="593"/>
    </row>
    <row r="87" spans="3:10" x14ac:dyDescent="0.2">
      <c r="C87" s="592"/>
      <c r="D87" s="593"/>
      <c r="E87" s="593"/>
      <c r="F87" s="593"/>
      <c r="G87" s="593"/>
      <c r="H87" s="592"/>
      <c r="I87" s="593"/>
      <c r="J87" s="593"/>
    </row>
    <row r="88" spans="3:10" x14ac:dyDescent="0.2">
      <c r="C88" s="592"/>
      <c r="D88" s="593"/>
      <c r="E88" s="593"/>
      <c r="F88" s="593"/>
      <c r="G88" s="593"/>
      <c r="H88" s="592"/>
      <c r="I88" s="593"/>
      <c r="J88" s="593"/>
    </row>
    <row r="89" spans="3:10" x14ac:dyDescent="0.2">
      <c r="C89" s="592"/>
      <c r="D89" s="593"/>
      <c r="E89" s="593"/>
      <c r="F89" s="593"/>
      <c r="G89" s="593"/>
      <c r="H89" s="592"/>
      <c r="I89" s="593"/>
      <c r="J89" s="593"/>
    </row>
    <row r="90" spans="3:10" x14ac:dyDescent="0.2">
      <c r="C90" s="592"/>
      <c r="D90" s="593"/>
      <c r="E90" s="593"/>
      <c r="F90" s="593"/>
      <c r="G90" s="593"/>
      <c r="H90" s="592"/>
      <c r="I90" s="593"/>
      <c r="J90" s="593"/>
    </row>
    <row r="91" spans="3:10" x14ac:dyDescent="0.2">
      <c r="C91" s="592"/>
      <c r="D91" s="593"/>
      <c r="E91" s="593"/>
      <c r="F91" s="593"/>
      <c r="G91" s="593"/>
      <c r="H91" s="592"/>
      <c r="I91" s="593"/>
      <c r="J91" s="593"/>
    </row>
    <row r="92" spans="3:10" x14ac:dyDescent="0.2">
      <c r="C92" s="592"/>
      <c r="D92" s="593"/>
      <c r="E92" s="593"/>
      <c r="F92" s="593"/>
      <c r="G92" s="593"/>
      <c r="H92" s="592"/>
      <c r="I92" s="593"/>
      <c r="J92" s="593"/>
    </row>
    <row r="93" spans="3:10" x14ac:dyDescent="0.2">
      <c r="C93" s="592"/>
      <c r="D93" s="593"/>
      <c r="E93" s="593"/>
      <c r="F93" s="593"/>
      <c r="G93" s="593"/>
      <c r="H93" s="592"/>
      <c r="I93" s="593"/>
      <c r="J93" s="593"/>
    </row>
    <row r="94" spans="3:10" x14ac:dyDescent="0.2">
      <c r="C94" s="592"/>
      <c r="D94" s="593"/>
      <c r="E94" s="593"/>
      <c r="F94" s="593"/>
      <c r="G94" s="593"/>
      <c r="H94" s="592"/>
      <c r="I94" s="593"/>
      <c r="J94" s="593"/>
    </row>
    <row r="95" spans="3:10" x14ac:dyDescent="0.2">
      <c r="C95" s="592"/>
      <c r="D95" s="593"/>
      <c r="E95" s="593"/>
      <c r="F95" s="593"/>
      <c r="G95" s="593"/>
      <c r="H95" s="592"/>
      <c r="I95" s="593"/>
      <c r="J95" s="593"/>
    </row>
    <row r="96" spans="3:10" x14ac:dyDescent="0.2">
      <c r="C96" s="592"/>
      <c r="D96" s="593"/>
      <c r="E96" s="593"/>
      <c r="F96" s="593"/>
      <c r="G96" s="593"/>
      <c r="H96" s="592"/>
      <c r="I96" s="593"/>
      <c r="J96" s="593"/>
    </row>
    <row r="97" spans="3:10" x14ac:dyDescent="0.2">
      <c r="C97" s="592"/>
      <c r="D97" s="593"/>
      <c r="E97" s="593"/>
      <c r="F97" s="593"/>
      <c r="G97" s="593"/>
      <c r="H97" s="592"/>
      <c r="I97" s="593"/>
      <c r="J97" s="593"/>
    </row>
    <row r="98" spans="3:10" x14ac:dyDescent="0.2">
      <c r="C98" s="592"/>
      <c r="D98" s="593"/>
      <c r="E98" s="593"/>
      <c r="F98" s="593"/>
      <c r="G98" s="593"/>
      <c r="H98" s="592"/>
      <c r="I98" s="593"/>
      <c r="J98" s="593"/>
    </row>
    <row r="99" spans="3:10" x14ac:dyDescent="0.2">
      <c r="C99" s="592"/>
      <c r="D99" s="593"/>
      <c r="E99" s="593"/>
      <c r="F99" s="593"/>
      <c r="G99" s="593"/>
      <c r="H99" s="592"/>
      <c r="I99" s="593"/>
      <c r="J99" s="593"/>
    </row>
    <row r="100" spans="3:10" x14ac:dyDescent="0.2">
      <c r="C100" s="592"/>
      <c r="D100" s="593"/>
      <c r="E100" s="593"/>
      <c r="F100" s="593"/>
      <c r="G100" s="593"/>
      <c r="H100" s="592"/>
      <c r="I100" s="593"/>
      <c r="J100" s="593"/>
    </row>
    <row r="101" spans="3:10" x14ac:dyDescent="0.2">
      <c r="C101" s="592"/>
      <c r="D101" s="593"/>
      <c r="E101" s="593"/>
      <c r="F101" s="593"/>
      <c r="G101" s="593"/>
      <c r="H101" s="592"/>
      <c r="I101" s="593"/>
      <c r="J101" s="593"/>
    </row>
    <row r="102" spans="3:10" x14ac:dyDescent="0.2">
      <c r="C102" s="592"/>
      <c r="D102" s="593"/>
      <c r="E102" s="593"/>
      <c r="F102" s="593"/>
      <c r="G102" s="593"/>
      <c r="H102" s="592"/>
      <c r="I102" s="593"/>
      <c r="J102" s="593"/>
    </row>
    <row r="103" spans="3:10" x14ac:dyDescent="0.2">
      <c r="C103" s="592"/>
      <c r="D103" s="593"/>
      <c r="E103" s="593"/>
      <c r="F103" s="593"/>
      <c r="G103" s="593"/>
      <c r="H103" s="592"/>
      <c r="I103" s="593"/>
      <c r="J103" s="593"/>
    </row>
    <row r="104" spans="3:10" x14ac:dyDescent="0.2">
      <c r="C104" s="592"/>
      <c r="D104" s="593"/>
      <c r="E104" s="593"/>
      <c r="F104" s="593"/>
      <c r="G104" s="593"/>
      <c r="H104" s="592"/>
      <c r="I104" s="593"/>
      <c r="J104" s="593"/>
    </row>
    <row r="105" spans="3:10" x14ac:dyDescent="0.2">
      <c r="C105" s="730"/>
      <c r="D105" s="731"/>
      <c r="E105" s="593"/>
      <c r="F105" s="594"/>
      <c r="G105" s="593"/>
      <c r="H105" s="730"/>
      <c r="I105" s="731"/>
      <c r="J105" s="593"/>
    </row>
    <row r="106" spans="3:10" x14ac:dyDescent="0.2">
      <c r="C106" s="730"/>
      <c r="D106" s="731"/>
      <c r="E106" s="593"/>
      <c r="F106" s="594"/>
      <c r="G106" s="593"/>
      <c r="H106" s="730"/>
      <c r="I106" s="731"/>
      <c r="J106" s="593"/>
    </row>
    <row r="107" spans="3:10" x14ac:dyDescent="0.2">
      <c r="C107" s="730"/>
      <c r="D107" s="731"/>
      <c r="E107" s="593"/>
      <c r="F107" s="594"/>
      <c r="G107" s="593"/>
      <c r="H107" s="730"/>
      <c r="I107" s="731"/>
      <c r="J107" s="593"/>
    </row>
    <row r="108" spans="3:10" x14ac:dyDescent="0.2">
      <c r="C108" s="730"/>
      <c r="D108" s="731"/>
      <c r="E108" s="593"/>
      <c r="F108" s="594"/>
      <c r="G108" s="593"/>
      <c r="H108" s="730"/>
      <c r="I108" s="731"/>
      <c r="J108" s="593"/>
    </row>
    <row r="109" spans="3:10" x14ac:dyDescent="0.2">
      <c r="C109" s="730"/>
      <c r="D109" s="731"/>
      <c r="E109" s="593"/>
      <c r="F109" s="594"/>
      <c r="G109" s="593"/>
      <c r="H109" s="730"/>
      <c r="I109" s="731"/>
      <c r="J109" s="593"/>
    </row>
    <row r="110" spans="3:10" x14ac:dyDescent="0.2">
      <c r="C110" s="730"/>
      <c r="D110" s="731"/>
      <c r="E110" s="593"/>
      <c r="F110" s="594"/>
      <c r="G110" s="593"/>
      <c r="H110" s="730"/>
      <c r="I110" s="731"/>
      <c r="J110" s="593"/>
    </row>
    <row r="111" spans="3:10" x14ac:dyDescent="0.2">
      <c r="C111" s="730"/>
      <c r="D111" s="731"/>
      <c r="E111" s="593"/>
      <c r="F111" s="594"/>
      <c r="G111" s="593"/>
      <c r="H111" s="730"/>
      <c r="I111" s="731"/>
      <c r="J111" s="593"/>
    </row>
    <row r="112" spans="3:10" x14ac:dyDescent="0.2">
      <c r="C112" s="730"/>
      <c r="D112" s="731"/>
      <c r="E112" s="593"/>
      <c r="F112" s="594"/>
      <c r="G112" s="593"/>
      <c r="H112" s="730"/>
      <c r="I112" s="731"/>
      <c r="J112" s="593"/>
    </row>
    <row r="113" spans="3:10" x14ac:dyDescent="0.2">
      <c r="C113" s="730"/>
      <c r="D113" s="731"/>
      <c r="E113" s="593"/>
      <c r="F113" s="594"/>
      <c r="G113" s="593"/>
      <c r="H113" s="730"/>
      <c r="I113" s="731"/>
      <c r="J113" s="593"/>
    </row>
    <row r="114" spans="3:10" x14ac:dyDescent="0.2">
      <c r="C114" s="730"/>
      <c r="D114" s="731"/>
      <c r="E114" s="593"/>
      <c r="F114" s="594"/>
      <c r="G114" s="593"/>
      <c r="H114" s="730"/>
      <c r="I114" s="731"/>
      <c r="J114" s="593"/>
    </row>
    <row r="115" spans="3:10" x14ac:dyDescent="0.2">
      <c r="C115" s="730"/>
      <c r="D115" s="731"/>
      <c r="E115" s="593"/>
      <c r="F115" s="594"/>
      <c r="G115" s="593"/>
      <c r="H115" s="730"/>
      <c r="I115" s="731"/>
      <c r="J115" s="593"/>
    </row>
    <row r="116" spans="3:10" x14ac:dyDescent="0.2">
      <c r="C116" s="730"/>
      <c r="D116" s="731"/>
      <c r="E116" s="593"/>
      <c r="F116" s="594"/>
      <c r="G116" s="593"/>
      <c r="H116" s="730"/>
      <c r="I116" s="731"/>
      <c r="J116" s="593"/>
    </row>
    <row r="117" spans="3:10" x14ac:dyDescent="0.2">
      <c r="C117" s="730"/>
      <c r="D117" s="731"/>
      <c r="E117" s="593"/>
      <c r="F117" s="594"/>
      <c r="G117" s="593"/>
      <c r="H117" s="730"/>
      <c r="I117" s="731"/>
      <c r="J117" s="593"/>
    </row>
    <row r="118" spans="3:10" x14ac:dyDescent="0.2">
      <c r="C118" s="730"/>
      <c r="D118" s="731"/>
      <c r="E118" s="593"/>
      <c r="F118" s="594"/>
      <c r="G118" s="593"/>
      <c r="H118" s="730"/>
      <c r="I118" s="731"/>
      <c r="J118" s="593"/>
    </row>
    <row r="119" spans="3:10" x14ac:dyDescent="0.2">
      <c r="C119" s="730"/>
      <c r="D119" s="731"/>
      <c r="E119" s="593"/>
      <c r="F119" s="594"/>
      <c r="G119" s="593"/>
      <c r="H119" s="730"/>
      <c r="I119" s="731"/>
      <c r="J119" s="593"/>
    </row>
    <row r="120" spans="3:10" x14ac:dyDescent="0.2">
      <c r="C120" s="730"/>
      <c r="D120" s="731"/>
      <c r="E120" s="593"/>
      <c r="F120" s="594"/>
      <c r="G120" s="593"/>
      <c r="H120" s="730"/>
      <c r="I120" s="731"/>
      <c r="J120" s="593"/>
    </row>
    <row r="121" spans="3:10" x14ac:dyDescent="0.2">
      <c r="C121" s="730"/>
      <c r="D121" s="731"/>
      <c r="E121" s="593"/>
      <c r="F121" s="594"/>
      <c r="G121" s="593"/>
      <c r="H121" s="730"/>
      <c r="I121" s="731"/>
      <c r="J121" s="593"/>
    </row>
    <row r="122" spans="3:10" x14ac:dyDescent="0.2">
      <c r="C122" s="730"/>
      <c r="D122" s="731"/>
      <c r="E122" s="593"/>
      <c r="F122" s="594"/>
      <c r="G122" s="593"/>
      <c r="H122" s="730"/>
      <c r="I122" s="731"/>
      <c r="J122" s="593"/>
    </row>
    <row r="123" spans="3:10" x14ac:dyDescent="0.2">
      <c r="C123" s="730"/>
      <c r="D123" s="731"/>
      <c r="E123" s="593"/>
      <c r="F123" s="594"/>
      <c r="G123" s="593"/>
      <c r="H123" s="730"/>
      <c r="I123" s="731"/>
      <c r="J123" s="593"/>
    </row>
    <row r="124" spans="3:10" x14ac:dyDescent="0.2">
      <c r="C124" s="730"/>
      <c r="D124" s="731"/>
      <c r="E124" s="593"/>
      <c r="F124" s="594"/>
      <c r="G124" s="593"/>
      <c r="H124" s="730"/>
      <c r="I124" s="731"/>
      <c r="J124" s="593"/>
    </row>
    <row r="125" spans="3:10" x14ac:dyDescent="0.2">
      <c r="C125" s="730"/>
      <c r="D125" s="731"/>
      <c r="E125" s="593"/>
      <c r="F125" s="594"/>
      <c r="G125" s="593"/>
      <c r="H125" s="730"/>
      <c r="I125" s="731"/>
      <c r="J125" s="593"/>
    </row>
    <row r="126" spans="3:10" x14ac:dyDescent="0.2">
      <c r="C126" s="730"/>
      <c r="D126" s="731"/>
      <c r="E126" s="593"/>
      <c r="F126" s="594"/>
      <c r="G126" s="593"/>
      <c r="H126" s="730"/>
      <c r="I126" s="731"/>
      <c r="J126" s="593"/>
    </row>
    <row r="127" spans="3:10" x14ac:dyDescent="0.2">
      <c r="C127" s="730"/>
      <c r="D127" s="731"/>
      <c r="E127" s="593"/>
      <c r="F127" s="594"/>
      <c r="G127" s="593"/>
      <c r="H127" s="730"/>
      <c r="I127" s="731"/>
      <c r="J127" s="593"/>
    </row>
    <row r="128" spans="3:10" x14ac:dyDescent="0.2">
      <c r="C128" s="730"/>
      <c r="D128" s="731"/>
      <c r="E128" s="593"/>
      <c r="F128" s="594"/>
      <c r="G128" s="593"/>
      <c r="H128" s="730"/>
      <c r="I128" s="731"/>
      <c r="J128" s="593"/>
    </row>
    <row r="129" spans="3:10" x14ac:dyDescent="0.2">
      <c r="C129" s="730"/>
      <c r="D129" s="731"/>
      <c r="E129" s="593"/>
      <c r="F129" s="594"/>
      <c r="G129" s="593"/>
      <c r="H129" s="730"/>
      <c r="I129" s="731"/>
      <c r="J129" s="593"/>
    </row>
    <row r="130" spans="3:10" x14ac:dyDescent="0.2">
      <c r="C130" s="730"/>
      <c r="D130" s="731"/>
      <c r="E130" s="593"/>
      <c r="F130" s="594"/>
      <c r="G130" s="593"/>
      <c r="H130" s="730"/>
      <c r="I130" s="731"/>
      <c r="J130" s="593"/>
    </row>
    <row r="131" spans="3:10" x14ac:dyDescent="0.2">
      <c r="C131" s="730"/>
      <c r="D131" s="731"/>
      <c r="E131" s="593"/>
      <c r="F131" s="594"/>
      <c r="G131" s="593"/>
      <c r="H131" s="730"/>
      <c r="I131" s="731"/>
      <c r="J131" s="593"/>
    </row>
    <row r="132" spans="3:10" x14ac:dyDescent="0.2">
      <c r="C132" s="730"/>
      <c r="D132" s="731"/>
      <c r="E132" s="593"/>
      <c r="F132" s="594"/>
      <c r="G132" s="593"/>
      <c r="H132" s="730"/>
      <c r="I132" s="731"/>
      <c r="J132" s="593"/>
    </row>
    <row r="133" spans="3:10" x14ac:dyDescent="0.2">
      <c r="C133" s="730"/>
      <c r="D133" s="731"/>
      <c r="E133" s="593"/>
      <c r="F133" s="594"/>
      <c r="G133" s="593"/>
      <c r="H133" s="730"/>
      <c r="I133" s="731"/>
      <c r="J133" s="593"/>
    </row>
    <row r="134" spans="3:10" x14ac:dyDescent="0.2">
      <c r="C134" s="730"/>
      <c r="D134" s="731"/>
      <c r="E134" s="593"/>
      <c r="F134" s="594"/>
      <c r="G134" s="593"/>
      <c r="H134" s="730"/>
      <c r="I134" s="731"/>
      <c r="J134" s="593"/>
    </row>
    <row r="135" spans="3:10" x14ac:dyDescent="0.2">
      <c r="C135" s="730"/>
      <c r="D135" s="731"/>
      <c r="E135" s="593"/>
      <c r="F135" s="594"/>
      <c r="G135" s="593"/>
      <c r="H135" s="730"/>
      <c r="I135" s="731"/>
      <c r="J135" s="593"/>
    </row>
    <row r="136" spans="3:10" x14ac:dyDescent="0.2">
      <c r="C136" s="730"/>
      <c r="D136" s="731"/>
      <c r="E136" s="593"/>
      <c r="F136" s="594"/>
      <c r="G136" s="593"/>
      <c r="H136" s="730"/>
      <c r="I136" s="731"/>
      <c r="J136" s="593"/>
    </row>
    <row r="137" spans="3:10" x14ac:dyDescent="0.2">
      <c r="C137" s="730"/>
      <c r="D137" s="731"/>
      <c r="E137" s="593"/>
      <c r="F137" s="594"/>
      <c r="G137" s="593"/>
      <c r="H137" s="730"/>
      <c r="I137" s="731"/>
      <c r="J137" s="593"/>
    </row>
    <row r="138" spans="3:10" x14ac:dyDescent="0.2">
      <c r="C138" s="730"/>
      <c r="D138" s="731"/>
      <c r="E138" s="593"/>
      <c r="F138" s="594"/>
      <c r="G138" s="593"/>
      <c r="H138" s="730"/>
      <c r="I138" s="731"/>
      <c r="J138" s="593"/>
    </row>
    <row r="139" spans="3:10" x14ac:dyDescent="0.2">
      <c r="C139" s="730"/>
      <c r="D139" s="731"/>
      <c r="E139" s="593"/>
      <c r="F139" s="594"/>
      <c r="G139" s="593"/>
      <c r="H139" s="730"/>
      <c r="I139" s="731"/>
      <c r="J139" s="593"/>
    </row>
    <row r="140" spans="3:10" x14ac:dyDescent="0.2">
      <c r="C140" s="730"/>
      <c r="D140" s="731"/>
      <c r="E140" s="593"/>
      <c r="F140" s="594"/>
      <c r="G140" s="593"/>
      <c r="H140" s="730"/>
      <c r="I140" s="731"/>
      <c r="J140" s="593"/>
    </row>
    <row r="141" spans="3:10" x14ac:dyDescent="0.2">
      <c r="C141" s="730"/>
      <c r="D141" s="731"/>
      <c r="E141" s="593"/>
      <c r="F141" s="594"/>
      <c r="G141" s="593"/>
      <c r="H141" s="730"/>
      <c r="I141" s="731"/>
      <c r="J141" s="593"/>
    </row>
    <row r="142" spans="3:10" x14ac:dyDescent="0.2">
      <c r="C142" s="730"/>
      <c r="D142" s="731"/>
      <c r="E142" s="593"/>
      <c r="F142" s="594"/>
      <c r="G142" s="593"/>
      <c r="H142" s="730"/>
      <c r="I142" s="731"/>
      <c r="J142" s="593"/>
    </row>
    <row r="143" spans="3:10" x14ac:dyDescent="0.2">
      <c r="C143" s="730"/>
      <c r="D143" s="731"/>
      <c r="E143" s="593"/>
      <c r="F143" s="594"/>
      <c r="G143" s="593"/>
      <c r="H143" s="730"/>
      <c r="I143" s="731"/>
      <c r="J143" s="593"/>
    </row>
    <row r="144" spans="3:10" x14ac:dyDescent="0.2">
      <c r="C144" s="730"/>
      <c r="D144" s="731"/>
      <c r="E144" s="593"/>
      <c r="F144" s="594"/>
      <c r="G144" s="593"/>
      <c r="H144" s="730"/>
      <c r="I144" s="731"/>
      <c r="J144" s="593"/>
    </row>
    <row r="145" spans="3:10" x14ac:dyDescent="0.2">
      <c r="C145" s="730"/>
      <c r="D145" s="731"/>
      <c r="E145" s="593"/>
      <c r="F145" s="594"/>
      <c r="G145" s="593"/>
      <c r="H145" s="730"/>
      <c r="I145" s="731"/>
      <c r="J145" s="593"/>
    </row>
    <row r="146" spans="3:10" x14ac:dyDescent="0.2">
      <c r="C146" s="730"/>
      <c r="D146" s="731"/>
      <c r="E146" s="593"/>
      <c r="F146" s="594"/>
      <c r="G146" s="593"/>
      <c r="H146" s="730"/>
      <c r="I146" s="731"/>
      <c r="J146" s="593"/>
    </row>
    <row r="147" spans="3:10" x14ac:dyDescent="0.2">
      <c r="C147" s="730"/>
      <c r="D147" s="731"/>
      <c r="E147" s="593"/>
      <c r="F147" s="594"/>
      <c r="G147" s="593"/>
      <c r="H147" s="730"/>
      <c r="I147" s="731"/>
      <c r="J147" s="593"/>
    </row>
    <row r="148" spans="3:10" x14ac:dyDescent="0.2">
      <c r="C148" s="730"/>
      <c r="D148" s="731"/>
      <c r="E148" s="593"/>
      <c r="F148" s="594"/>
      <c r="G148" s="593"/>
      <c r="H148" s="730"/>
      <c r="I148" s="731"/>
      <c r="J148" s="593"/>
    </row>
    <row r="149" spans="3:10" x14ac:dyDescent="0.2">
      <c r="C149" s="730"/>
      <c r="D149" s="731"/>
      <c r="E149" s="593"/>
      <c r="F149" s="594"/>
      <c r="G149" s="593"/>
      <c r="H149" s="730"/>
      <c r="I149" s="731"/>
      <c r="J149" s="593"/>
    </row>
    <row r="150" spans="3:10" x14ac:dyDescent="0.2">
      <c r="C150" s="730"/>
      <c r="D150" s="731"/>
      <c r="E150" s="593"/>
      <c r="F150" s="594"/>
      <c r="G150" s="593"/>
      <c r="H150" s="730"/>
      <c r="I150" s="731"/>
      <c r="J150" s="593"/>
    </row>
    <row r="151" spans="3:10" x14ac:dyDescent="0.2">
      <c r="C151" s="730"/>
      <c r="D151" s="731"/>
      <c r="E151" s="593"/>
      <c r="F151" s="594"/>
      <c r="G151" s="593"/>
      <c r="H151" s="730"/>
      <c r="I151" s="731"/>
      <c r="J151" s="593"/>
    </row>
    <row r="152" spans="3:10" x14ac:dyDescent="0.2">
      <c r="C152" s="730"/>
      <c r="D152" s="731"/>
      <c r="E152" s="593"/>
      <c r="F152" s="594"/>
      <c r="G152" s="593"/>
      <c r="H152" s="730"/>
      <c r="I152" s="731"/>
      <c r="J152" s="593"/>
    </row>
    <row r="153" spans="3:10" x14ac:dyDescent="0.2">
      <c r="C153" s="730"/>
      <c r="D153" s="731"/>
      <c r="E153" s="593"/>
      <c r="F153" s="594"/>
      <c r="G153" s="593"/>
      <c r="H153" s="730"/>
      <c r="I153" s="731"/>
      <c r="J153" s="593"/>
    </row>
    <row r="154" spans="3:10" x14ac:dyDescent="0.2">
      <c r="C154" s="730"/>
      <c r="D154" s="731"/>
      <c r="E154" s="593"/>
      <c r="F154" s="594"/>
      <c r="G154" s="593"/>
      <c r="H154" s="730"/>
      <c r="I154" s="731"/>
      <c r="J154" s="593"/>
    </row>
    <row r="155" spans="3:10" x14ac:dyDescent="0.2">
      <c r="C155" s="730"/>
      <c r="D155" s="731"/>
      <c r="E155" s="593"/>
      <c r="F155" s="594"/>
      <c r="G155" s="593"/>
      <c r="H155" s="730"/>
      <c r="I155" s="731"/>
      <c r="J155" s="593"/>
    </row>
    <row r="156" spans="3:10" x14ac:dyDescent="0.2">
      <c r="C156" s="730"/>
      <c r="D156" s="731"/>
      <c r="E156" s="593"/>
      <c r="F156" s="594"/>
      <c r="G156" s="593"/>
      <c r="H156" s="730"/>
      <c r="I156" s="731"/>
      <c r="J156" s="593"/>
    </row>
    <row r="157" spans="3:10" x14ac:dyDescent="0.2">
      <c r="C157" s="730"/>
      <c r="D157" s="731"/>
      <c r="E157" s="593"/>
      <c r="F157" s="594"/>
      <c r="G157" s="593"/>
      <c r="H157" s="730"/>
      <c r="I157" s="731"/>
      <c r="J157" s="593"/>
    </row>
    <row r="158" spans="3:10" x14ac:dyDescent="0.2">
      <c r="C158" s="730"/>
      <c r="D158" s="731"/>
      <c r="E158" s="593"/>
      <c r="F158" s="594"/>
      <c r="G158" s="593"/>
      <c r="H158" s="730"/>
      <c r="I158" s="731"/>
      <c r="J158" s="593"/>
    </row>
    <row r="159" spans="3:10" x14ac:dyDescent="0.2">
      <c r="C159" s="730"/>
      <c r="D159" s="731"/>
      <c r="E159" s="593"/>
      <c r="F159" s="594"/>
      <c r="G159" s="593"/>
      <c r="H159" s="730"/>
      <c r="I159" s="731"/>
      <c r="J159" s="593"/>
    </row>
    <row r="160" spans="3:10" x14ac:dyDescent="0.2">
      <c r="C160" s="730"/>
      <c r="D160" s="731"/>
      <c r="E160" s="593"/>
      <c r="F160" s="594"/>
      <c r="G160" s="593"/>
      <c r="H160" s="730"/>
      <c r="I160" s="731"/>
      <c r="J160" s="593"/>
    </row>
    <row r="161" spans="3:10" x14ac:dyDescent="0.2">
      <c r="C161" s="730"/>
      <c r="D161" s="731"/>
      <c r="E161" s="593"/>
      <c r="F161" s="594"/>
      <c r="G161" s="593"/>
      <c r="H161" s="730"/>
      <c r="I161" s="731"/>
      <c r="J161" s="593"/>
    </row>
    <row r="162" spans="3:10" x14ac:dyDescent="0.2">
      <c r="C162" s="730"/>
      <c r="D162" s="731"/>
      <c r="E162" s="593"/>
      <c r="F162" s="594"/>
      <c r="G162" s="593"/>
      <c r="H162" s="730"/>
      <c r="I162" s="731"/>
      <c r="J162" s="593"/>
    </row>
    <row r="163" spans="3:10" x14ac:dyDescent="0.2">
      <c r="C163" s="730"/>
      <c r="D163" s="731"/>
      <c r="E163" s="593"/>
      <c r="F163" s="594"/>
      <c r="G163" s="593"/>
      <c r="H163" s="730"/>
      <c r="I163" s="731"/>
      <c r="J163" s="593"/>
    </row>
    <row r="164" spans="3:10" x14ac:dyDescent="0.2">
      <c r="C164" s="730"/>
      <c r="D164" s="731"/>
      <c r="E164" s="593"/>
      <c r="F164" s="594"/>
      <c r="G164" s="593"/>
      <c r="H164" s="730"/>
      <c r="I164" s="731"/>
      <c r="J164" s="593"/>
    </row>
    <row r="165" spans="3:10" x14ac:dyDescent="0.2">
      <c r="C165" s="730"/>
      <c r="D165" s="731"/>
      <c r="E165" s="593"/>
      <c r="F165" s="594"/>
      <c r="G165" s="593"/>
      <c r="H165" s="730"/>
      <c r="I165" s="731"/>
      <c r="J165" s="593"/>
    </row>
    <row r="166" spans="3:10" x14ac:dyDescent="0.2">
      <c r="C166" s="730"/>
      <c r="D166" s="731"/>
      <c r="E166" s="593"/>
      <c r="F166" s="594"/>
      <c r="G166" s="593"/>
      <c r="H166" s="730"/>
      <c r="I166" s="731"/>
      <c r="J166" s="593"/>
    </row>
    <row r="167" spans="3:10" x14ac:dyDescent="0.2">
      <c r="C167" s="730"/>
      <c r="D167" s="731"/>
      <c r="E167" s="593"/>
      <c r="F167" s="594"/>
      <c r="G167" s="593"/>
      <c r="H167" s="730"/>
      <c r="I167" s="731"/>
      <c r="J167" s="593"/>
    </row>
    <row r="168" spans="3:10" x14ac:dyDescent="0.2">
      <c r="C168" s="730"/>
      <c r="D168" s="731"/>
      <c r="E168" s="593"/>
      <c r="F168" s="594"/>
      <c r="G168" s="593"/>
      <c r="H168" s="730"/>
      <c r="I168" s="731"/>
      <c r="J168" s="593"/>
    </row>
    <row r="169" spans="3:10" x14ac:dyDescent="0.2">
      <c r="C169" s="730"/>
      <c r="D169" s="731"/>
      <c r="E169" s="593"/>
      <c r="F169" s="594"/>
      <c r="G169" s="593"/>
      <c r="H169" s="730"/>
      <c r="I169" s="731"/>
      <c r="J169" s="593"/>
    </row>
  </sheetData>
  <mergeCells count="1">
    <mergeCell ref="A2:C2"/>
  </mergeCells>
  <hyperlinks>
    <hyperlink ref="A2" location="Index!A1" display="Back to Index" xr:uid="{94CF9C41-C6E3-4857-9008-4019249F46C6}"/>
  </hyperlinks>
  <pageMargins left="0.7" right="0.7" top="0.75" bottom="0.75" header="0.3" footer="0.3"/>
  <pageSetup paperSize="9" scale="56" orientation="portrait" verticalDpi="597"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1DE2-F7A1-4723-ABBA-D136692F44F7}">
  <sheetPr>
    <pageSetUpPr fitToPage="1"/>
  </sheetPr>
  <dimension ref="A1:AD161"/>
  <sheetViews>
    <sheetView showGridLines="0" zoomScale="85" zoomScaleNormal="85" workbookViewId="0">
      <pane xSplit="3" ySplit="7" topLeftCell="D8" activePane="bottomRight" state="frozen"/>
      <selection pane="topRight" activeCell="L13" sqref="L13"/>
      <selection pane="bottomLeft" activeCell="L13" sqref="L13"/>
      <selection pane="bottomRight" activeCell="O48" sqref="O48"/>
    </sheetView>
  </sheetViews>
  <sheetFormatPr defaultRowHeight="12.75" x14ac:dyDescent="0.2"/>
  <cols>
    <col min="1" max="1" width="2.42578125" customWidth="1"/>
    <col min="2" max="2" width="46.42578125" customWidth="1"/>
    <col min="3" max="3" width="1.42578125" customWidth="1"/>
    <col min="4" max="6" width="11.42578125" style="11" customWidth="1"/>
    <col min="7" max="7" width="2.5703125" customWidth="1"/>
    <col min="8" max="10" width="11.42578125" style="11" customWidth="1"/>
    <col min="11" max="11" width="11.5703125" customWidth="1"/>
  </cols>
  <sheetData>
    <row r="1" spans="1:19" s="4" customFormat="1" ht="20.25" x14ac:dyDescent="0.3">
      <c r="A1" s="597" t="s">
        <v>265</v>
      </c>
      <c r="B1" s="598"/>
      <c r="C1" s="598"/>
      <c r="D1" s="598"/>
      <c r="E1" s="598"/>
      <c r="F1" s="598"/>
      <c r="G1" s="599"/>
      <c r="H1" s="599"/>
      <c r="I1" s="599"/>
      <c r="J1" s="599"/>
      <c r="K1" s="5"/>
    </row>
    <row r="2" spans="1:19" s="6" customFormat="1" ht="15" x14ac:dyDescent="0.25">
      <c r="A2" s="785" t="s">
        <v>33</v>
      </c>
      <c r="B2" s="785"/>
      <c r="C2" s="785"/>
      <c r="D2" s="600"/>
      <c r="E2" s="600"/>
      <c r="F2" s="600"/>
      <c r="G2" s="601"/>
      <c r="H2" s="601"/>
      <c r="I2" s="601"/>
      <c r="J2" s="601"/>
      <c r="K2" s="7"/>
    </row>
    <row r="3" spans="1:19" ht="15" thickBot="1" x14ac:dyDescent="0.25">
      <c r="A3" s="324"/>
      <c r="B3" s="324"/>
      <c r="C3" s="324"/>
      <c r="D3" s="324"/>
      <c r="E3" s="324"/>
      <c r="F3" s="324"/>
      <c r="G3" s="324"/>
      <c r="H3" s="324"/>
      <c r="I3" s="324"/>
      <c r="J3" s="324"/>
    </row>
    <row r="4" spans="1:19" ht="16.350000000000001" customHeight="1" thickTop="1" x14ac:dyDescent="0.25">
      <c r="A4" s="324"/>
      <c r="B4" s="602"/>
      <c r="C4" s="603"/>
      <c r="D4" s="604"/>
      <c r="E4" s="605" t="s">
        <v>266</v>
      </c>
      <c r="F4" s="604"/>
      <c r="G4" s="606"/>
      <c r="H4" s="604"/>
      <c r="I4" s="607" t="s">
        <v>267</v>
      </c>
      <c r="J4" s="608"/>
      <c r="K4" s="2"/>
      <c r="L4" s="2"/>
      <c r="M4" s="2"/>
      <c r="N4" s="2"/>
      <c r="O4" s="2"/>
      <c r="P4" s="2"/>
      <c r="Q4" s="2"/>
      <c r="R4" s="2"/>
      <c r="S4" s="2"/>
    </row>
    <row r="5" spans="1:19" s="614" customFormat="1" ht="15" x14ac:dyDescent="0.25">
      <c r="A5" s="609"/>
      <c r="B5" s="395"/>
      <c r="C5" s="610"/>
      <c r="D5" s="611" t="s">
        <v>372</v>
      </c>
      <c r="E5" s="611" t="s">
        <v>373</v>
      </c>
      <c r="F5" s="611" t="s">
        <v>372</v>
      </c>
      <c r="G5" s="612"/>
      <c r="H5" s="613" t="s">
        <v>372</v>
      </c>
      <c r="I5" s="613" t="s">
        <v>373</v>
      </c>
      <c r="J5" s="613" t="s">
        <v>372</v>
      </c>
      <c r="K5" s="609"/>
      <c r="L5" s="609"/>
      <c r="M5" s="609"/>
      <c r="N5" s="609"/>
      <c r="O5" s="609"/>
      <c r="P5" s="609"/>
      <c r="Q5" s="609"/>
      <c r="R5" s="609"/>
      <c r="S5" s="609"/>
    </row>
    <row r="6" spans="1:19" s="619" customFormat="1" ht="18" thickBot="1" x14ac:dyDescent="0.3">
      <c r="A6" s="615"/>
      <c r="B6" s="616" t="s">
        <v>243</v>
      </c>
      <c r="C6" s="617"/>
      <c r="D6" s="618">
        <v>2025</v>
      </c>
      <c r="E6" s="618" t="s">
        <v>452</v>
      </c>
      <c r="F6" s="618">
        <v>2024</v>
      </c>
      <c r="G6" s="618"/>
      <c r="H6" s="618">
        <v>2025</v>
      </c>
      <c r="I6" s="618" t="s">
        <v>452</v>
      </c>
      <c r="J6" s="618">
        <v>2024</v>
      </c>
      <c r="K6" s="615"/>
      <c r="L6" s="615"/>
      <c r="M6" s="615"/>
      <c r="N6" s="615"/>
      <c r="O6" s="615"/>
      <c r="P6" s="615"/>
      <c r="Q6" s="615"/>
      <c r="R6" s="615"/>
      <c r="S6" s="615"/>
    </row>
    <row r="7" spans="1:19" ht="15.75" thickTop="1" x14ac:dyDescent="0.25">
      <c r="A7" s="324"/>
      <c r="B7" s="580"/>
      <c r="C7" s="620"/>
      <c r="D7" s="308"/>
      <c r="E7" s="620"/>
      <c r="F7" s="620"/>
      <c r="G7" s="621"/>
      <c r="H7" s="309"/>
      <c r="I7" s="621"/>
      <c r="J7" s="623"/>
      <c r="K7" s="2"/>
      <c r="L7" s="2"/>
      <c r="M7" s="2"/>
      <c r="N7" s="2"/>
      <c r="O7" s="2"/>
      <c r="P7" s="2"/>
      <c r="Q7" s="2"/>
      <c r="R7" s="2"/>
      <c r="S7" s="2"/>
    </row>
    <row r="8" spans="1:19" ht="15" x14ac:dyDescent="0.25">
      <c r="A8" s="324"/>
      <c r="B8" s="580" t="s">
        <v>268</v>
      </c>
      <c r="C8" s="620"/>
      <c r="D8" s="308"/>
      <c r="E8" s="620"/>
      <c r="F8" s="620"/>
      <c r="G8" s="621"/>
      <c r="H8" s="309"/>
      <c r="I8" s="622"/>
      <c r="J8" s="623"/>
      <c r="K8" s="2"/>
      <c r="L8" s="2"/>
      <c r="M8" s="2"/>
      <c r="N8" s="2"/>
      <c r="O8" s="2"/>
      <c r="P8" s="2"/>
      <c r="Q8" s="2"/>
      <c r="R8" s="2"/>
      <c r="S8" s="2"/>
    </row>
    <row r="9" spans="1:19" ht="15" x14ac:dyDescent="0.25">
      <c r="A9" s="324"/>
      <c r="B9" s="577" t="s">
        <v>269</v>
      </c>
      <c r="C9" s="620"/>
      <c r="D9" s="264">
        <v>55844</v>
      </c>
      <c r="E9" s="485">
        <v>57163</v>
      </c>
      <c r="F9" s="624">
        <v>58646</v>
      </c>
      <c r="G9" s="485"/>
      <c r="H9" s="205">
        <v>0</v>
      </c>
      <c r="I9" s="286">
        <v>0</v>
      </c>
      <c r="J9" s="286">
        <v>0</v>
      </c>
      <c r="K9" s="2"/>
      <c r="L9" s="625"/>
      <c r="M9" s="2"/>
      <c r="N9" s="2"/>
      <c r="O9" s="2"/>
      <c r="P9" s="2"/>
      <c r="Q9" s="2"/>
      <c r="R9" s="2"/>
      <c r="S9" s="2"/>
    </row>
    <row r="10" spans="1:19" ht="15" x14ac:dyDescent="0.25">
      <c r="A10" s="324"/>
      <c r="B10" s="395" t="s">
        <v>270</v>
      </c>
      <c r="C10" s="395"/>
      <c r="D10" s="264">
        <v>107361</v>
      </c>
      <c r="E10" s="485">
        <v>93500</v>
      </c>
      <c r="F10" s="624">
        <v>81539</v>
      </c>
      <c r="G10" s="485"/>
      <c r="H10" s="205">
        <v>0</v>
      </c>
      <c r="I10" s="286">
        <v>0</v>
      </c>
      <c r="J10" s="286">
        <v>0</v>
      </c>
      <c r="K10" s="2"/>
      <c r="L10" s="626"/>
      <c r="M10" s="2"/>
      <c r="N10" s="2"/>
      <c r="O10" s="2"/>
      <c r="P10" s="2"/>
      <c r="Q10" s="2"/>
      <c r="R10" s="2"/>
      <c r="S10" s="2"/>
    </row>
    <row r="11" spans="1:19" ht="15" x14ac:dyDescent="0.25">
      <c r="A11" s="324"/>
      <c r="B11" s="395" t="s">
        <v>271</v>
      </c>
      <c r="C11" s="620"/>
      <c r="D11" s="264">
        <v>93881</v>
      </c>
      <c r="E11" s="485">
        <v>84068</v>
      </c>
      <c r="F11" s="624">
        <v>80415</v>
      </c>
      <c r="G11" s="485"/>
      <c r="H11" s="205">
        <v>75</v>
      </c>
      <c r="I11" s="286">
        <v>359</v>
      </c>
      <c r="J11" s="286">
        <v>27</v>
      </c>
      <c r="K11" s="2"/>
      <c r="L11" s="626"/>
      <c r="M11" s="2"/>
      <c r="N11" s="2"/>
      <c r="O11" s="2"/>
      <c r="P11" s="2"/>
      <c r="Q11" s="2"/>
      <c r="R11" s="2"/>
      <c r="S11" s="2"/>
    </row>
    <row r="12" spans="1:19" ht="15" x14ac:dyDescent="0.25">
      <c r="A12" s="324"/>
      <c r="B12" s="395" t="s">
        <v>457</v>
      </c>
      <c r="C12" s="620"/>
      <c r="D12" s="264">
        <v>23621</v>
      </c>
      <c r="E12" s="485">
        <v>24112</v>
      </c>
      <c r="F12" s="624">
        <v>27897</v>
      </c>
      <c r="G12" s="485"/>
      <c r="H12" s="205">
        <v>13</v>
      </c>
      <c r="I12" s="286">
        <v>7</v>
      </c>
      <c r="J12" s="286">
        <v>19</v>
      </c>
      <c r="K12" s="2"/>
      <c r="L12" s="626"/>
      <c r="M12" s="2"/>
      <c r="N12" s="2"/>
      <c r="O12" s="2"/>
      <c r="P12" s="2"/>
      <c r="Q12" s="2"/>
      <c r="R12" s="2"/>
      <c r="S12" s="2"/>
    </row>
    <row r="13" spans="1:19" ht="15" x14ac:dyDescent="0.25">
      <c r="A13" s="324"/>
      <c r="B13" s="395" t="s">
        <v>272</v>
      </c>
      <c r="C13" s="620"/>
      <c r="D13" s="264">
        <v>128380</v>
      </c>
      <c r="E13" s="485">
        <v>109494</v>
      </c>
      <c r="F13" s="624">
        <v>105053</v>
      </c>
      <c r="G13" s="485"/>
      <c r="H13" s="205">
        <v>0</v>
      </c>
      <c r="I13" s="286">
        <v>0</v>
      </c>
      <c r="J13" s="286">
        <v>0</v>
      </c>
      <c r="K13" s="2"/>
      <c r="L13" s="626"/>
      <c r="M13" s="2"/>
      <c r="N13" s="2"/>
      <c r="O13" s="2"/>
      <c r="P13" s="2"/>
      <c r="Q13" s="2"/>
      <c r="R13" s="2"/>
      <c r="S13" s="2"/>
    </row>
    <row r="14" spans="1:19" ht="15" x14ac:dyDescent="0.25">
      <c r="A14" s="324"/>
      <c r="B14" s="395" t="s">
        <v>273</v>
      </c>
      <c r="C14" s="627"/>
      <c r="D14" s="264">
        <v>445011</v>
      </c>
      <c r="E14" s="485">
        <v>433046</v>
      </c>
      <c r="F14" s="624">
        <v>430594</v>
      </c>
      <c r="G14" s="485"/>
      <c r="H14" s="205">
        <v>0</v>
      </c>
      <c r="I14" s="286">
        <v>0</v>
      </c>
      <c r="J14" s="286">
        <v>0</v>
      </c>
      <c r="K14" s="2"/>
      <c r="L14" s="626"/>
      <c r="M14" s="2"/>
      <c r="N14" s="2"/>
      <c r="O14" s="2"/>
      <c r="P14" s="2"/>
      <c r="Q14" s="2"/>
      <c r="R14" s="2"/>
      <c r="S14" s="2"/>
    </row>
    <row r="15" spans="1:19" ht="15" x14ac:dyDescent="0.25">
      <c r="A15" s="324"/>
      <c r="B15" s="395" t="s">
        <v>274</v>
      </c>
      <c r="C15" s="627"/>
      <c r="D15" s="264">
        <v>30100</v>
      </c>
      <c r="E15" s="485">
        <v>27191</v>
      </c>
      <c r="F15" s="624">
        <v>29757</v>
      </c>
      <c r="G15" s="485"/>
      <c r="H15" s="268">
        <v>0</v>
      </c>
      <c r="I15" s="282">
        <v>4</v>
      </c>
      <c r="J15" s="282">
        <v>3</v>
      </c>
      <c r="K15" s="2"/>
      <c r="L15" s="626"/>
      <c r="M15" s="2"/>
      <c r="N15" s="2"/>
      <c r="O15" s="2"/>
      <c r="P15" s="2"/>
      <c r="Q15" s="2"/>
      <c r="R15" s="2"/>
      <c r="S15" s="2"/>
    </row>
    <row r="16" spans="1:19" ht="15" x14ac:dyDescent="0.25">
      <c r="A16" s="324"/>
      <c r="B16" s="395" t="s">
        <v>276</v>
      </c>
      <c r="C16" s="620"/>
      <c r="D16" s="264">
        <v>0</v>
      </c>
      <c r="E16" s="485">
        <v>0</v>
      </c>
      <c r="F16" s="485">
        <v>0</v>
      </c>
      <c r="G16" s="628"/>
      <c r="H16" s="268">
        <v>18835</v>
      </c>
      <c r="I16" s="282">
        <v>19687</v>
      </c>
      <c r="J16" s="282">
        <v>21090</v>
      </c>
      <c r="K16" s="2"/>
      <c r="L16" s="626"/>
      <c r="M16" s="2"/>
      <c r="N16" s="2"/>
      <c r="O16" s="2"/>
      <c r="P16" s="2"/>
      <c r="Q16" s="2"/>
      <c r="R16" s="2"/>
      <c r="S16" s="2"/>
    </row>
    <row r="17" spans="1:19" ht="15" x14ac:dyDescent="0.25">
      <c r="A17" s="324"/>
      <c r="B17" s="395" t="s">
        <v>277</v>
      </c>
      <c r="C17" s="620"/>
      <c r="D17" s="205">
        <v>0</v>
      </c>
      <c r="E17" s="485">
        <v>0</v>
      </c>
      <c r="F17" s="286">
        <v>0</v>
      </c>
      <c r="G17" s="628"/>
      <c r="H17" s="268">
        <v>5087</v>
      </c>
      <c r="I17" s="282">
        <v>6605</v>
      </c>
      <c r="J17" s="282">
        <v>4860</v>
      </c>
      <c r="K17" s="2"/>
      <c r="L17" s="629"/>
      <c r="M17" s="2"/>
      <c r="N17" s="2"/>
      <c r="O17" s="2"/>
      <c r="P17" s="2"/>
      <c r="Q17" s="2"/>
      <c r="R17" s="2"/>
      <c r="S17" s="2"/>
    </row>
    <row r="18" spans="1:19" ht="15" x14ac:dyDescent="0.25">
      <c r="A18" s="324"/>
      <c r="B18" s="395" t="s">
        <v>275</v>
      </c>
      <c r="C18" s="620"/>
      <c r="D18" s="264">
        <v>3490</v>
      </c>
      <c r="E18" s="485">
        <v>3263</v>
      </c>
      <c r="F18" s="624">
        <v>3073</v>
      </c>
      <c r="G18" s="485"/>
      <c r="H18" s="268">
        <v>0</v>
      </c>
      <c r="I18" s="282">
        <v>0</v>
      </c>
      <c r="J18" s="282">
        <v>0</v>
      </c>
      <c r="K18" s="2"/>
      <c r="L18" s="626"/>
      <c r="M18" s="2"/>
      <c r="N18" s="2"/>
      <c r="O18" s="2"/>
      <c r="P18" s="2"/>
      <c r="Q18" s="2"/>
      <c r="R18" s="2"/>
      <c r="S18" s="2"/>
    </row>
    <row r="19" spans="1:19" ht="15" x14ac:dyDescent="0.25">
      <c r="A19" s="324"/>
      <c r="B19" s="395" t="s">
        <v>278</v>
      </c>
      <c r="C19" s="620"/>
      <c r="D19" s="264">
        <v>3486</v>
      </c>
      <c r="E19" s="485">
        <v>3662</v>
      </c>
      <c r="F19" s="624">
        <v>3873</v>
      </c>
      <c r="G19" s="485"/>
      <c r="H19" s="268">
        <v>0</v>
      </c>
      <c r="I19" s="282">
        <v>0</v>
      </c>
      <c r="J19" s="282">
        <v>0</v>
      </c>
      <c r="K19" s="2"/>
      <c r="L19" s="629"/>
      <c r="M19" s="2"/>
      <c r="N19" s="2"/>
      <c r="O19" s="2"/>
      <c r="P19" s="2"/>
      <c r="Q19" s="2"/>
      <c r="R19" s="2"/>
      <c r="S19" s="2"/>
    </row>
    <row r="20" spans="1:19" ht="15" x14ac:dyDescent="0.25">
      <c r="A20" s="324"/>
      <c r="B20" s="581" t="s">
        <v>356</v>
      </c>
      <c r="C20" s="630"/>
      <c r="D20" s="264">
        <v>6314</v>
      </c>
      <c r="E20" s="485">
        <v>6397</v>
      </c>
      <c r="F20" s="624">
        <v>6372</v>
      </c>
      <c r="G20" s="631"/>
      <c r="H20" s="270">
        <v>0</v>
      </c>
      <c r="I20" s="289">
        <v>0</v>
      </c>
      <c r="J20" s="289">
        <v>0</v>
      </c>
      <c r="K20" s="2"/>
      <c r="L20" s="626"/>
      <c r="M20" s="2"/>
      <c r="N20" s="2"/>
      <c r="O20" s="2"/>
      <c r="P20" s="2"/>
      <c r="Q20" s="2"/>
      <c r="R20" s="2"/>
      <c r="S20" s="2"/>
    </row>
    <row r="21" spans="1:19" ht="15.75" thickBot="1" x14ac:dyDescent="0.3">
      <c r="A21" s="324"/>
      <c r="B21" s="616" t="s">
        <v>50</v>
      </c>
      <c r="C21" s="632"/>
      <c r="D21" s="272">
        <v>897488</v>
      </c>
      <c r="E21" s="633">
        <v>841896</v>
      </c>
      <c r="F21" s="634">
        <v>827219</v>
      </c>
      <c r="G21" s="635"/>
      <c r="H21" s="272">
        <v>24010</v>
      </c>
      <c r="I21" s="633">
        <v>26662</v>
      </c>
      <c r="J21" s="633">
        <v>25999</v>
      </c>
      <c r="K21" s="2"/>
      <c r="L21" s="626"/>
      <c r="M21" s="2"/>
      <c r="N21" s="2"/>
      <c r="O21" s="2"/>
      <c r="P21" s="2"/>
      <c r="Q21" s="2"/>
      <c r="R21" s="2"/>
      <c r="S21" s="2"/>
    </row>
    <row r="22" spans="1:19" ht="15.75" thickTop="1" x14ac:dyDescent="0.25">
      <c r="A22" s="324"/>
      <c r="B22" s="486"/>
      <c r="C22" s="636"/>
      <c r="D22" s="310"/>
      <c r="E22" s="637"/>
      <c r="F22" s="638"/>
      <c r="G22" s="485"/>
      <c r="H22" s="268"/>
      <c r="I22" s="282"/>
      <c r="J22" s="282"/>
      <c r="K22" s="2"/>
      <c r="L22" s="626"/>
      <c r="M22" s="2"/>
      <c r="N22" s="2"/>
      <c r="O22" s="2"/>
      <c r="P22" s="2"/>
      <c r="Q22" s="2"/>
      <c r="R22" s="2"/>
      <c r="S22" s="2"/>
    </row>
    <row r="23" spans="1:19" ht="15" x14ac:dyDescent="0.25">
      <c r="A23" s="324"/>
      <c r="B23" s="580" t="s">
        <v>279</v>
      </c>
      <c r="C23" s="620"/>
      <c r="D23" s="311"/>
      <c r="E23" s="640"/>
      <c r="F23" s="639"/>
      <c r="G23" s="485"/>
      <c r="H23" s="205"/>
      <c r="I23" s="316"/>
      <c r="J23" s="286"/>
      <c r="K23" s="2"/>
      <c r="L23" s="629"/>
      <c r="M23" s="2"/>
      <c r="N23" s="2"/>
      <c r="O23" s="2"/>
      <c r="P23" s="2"/>
      <c r="Q23" s="2"/>
      <c r="R23" s="2"/>
      <c r="S23" s="2"/>
    </row>
    <row r="24" spans="1:19" ht="15" x14ac:dyDescent="0.25">
      <c r="A24" s="324"/>
      <c r="B24" s="395" t="s">
        <v>280</v>
      </c>
      <c r="C24" s="620"/>
      <c r="D24" s="264">
        <v>79295</v>
      </c>
      <c r="E24" s="485">
        <v>71290</v>
      </c>
      <c r="F24" s="485">
        <v>64175</v>
      </c>
      <c r="G24" s="485"/>
      <c r="H24" s="268">
        <v>0</v>
      </c>
      <c r="I24" s="282">
        <v>0</v>
      </c>
      <c r="J24" s="282">
        <v>0</v>
      </c>
      <c r="K24" s="2"/>
      <c r="L24" s="629"/>
      <c r="M24" s="2"/>
      <c r="N24" s="2"/>
      <c r="O24" s="2"/>
      <c r="P24" s="2"/>
      <c r="Q24" s="2"/>
      <c r="R24" s="2"/>
      <c r="S24" s="2"/>
    </row>
    <row r="25" spans="1:19" ht="15" x14ac:dyDescent="0.25">
      <c r="A25" s="324"/>
      <c r="B25" s="395" t="s">
        <v>281</v>
      </c>
      <c r="C25" s="620"/>
      <c r="D25" s="264">
        <v>610023</v>
      </c>
      <c r="E25" s="485">
        <v>573965</v>
      </c>
      <c r="F25" s="485">
        <v>561730</v>
      </c>
      <c r="G25" s="485"/>
      <c r="H25" s="268">
        <v>0</v>
      </c>
      <c r="I25" s="282">
        <v>0</v>
      </c>
      <c r="J25" s="282">
        <v>0</v>
      </c>
      <c r="K25" s="2"/>
      <c r="L25" s="626"/>
      <c r="M25" s="2"/>
      <c r="N25" s="2"/>
      <c r="O25" s="2"/>
      <c r="P25" s="2"/>
      <c r="Q25" s="2"/>
      <c r="R25" s="2"/>
      <c r="S25" s="2"/>
    </row>
    <row r="26" spans="1:19" ht="15" x14ac:dyDescent="0.25">
      <c r="A26" s="324"/>
      <c r="B26" s="395" t="s">
        <v>458</v>
      </c>
      <c r="C26" s="620"/>
      <c r="D26" s="264">
        <v>23197</v>
      </c>
      <c r="E26" s="485">
        <v>25194</v>
      </c>
      <c r="F26" s="485">
        <v>26670</v>
      </c>
      <c r="G26" s="485"/>
      <c r="H26" s="268">
        <v>48</v>
      </c>
      <c r="I26" s="282">
        <v>89</v>
      </c>
      <c r="J26" s="282">
        <v>70</v>
      </c>
      <c r="K26" s="2"/>
      <c r="L26" s="626"/>
      <c r="M26" s="2"/>
      <c r="N26" s="2"/>
      <c r="O26" s="2"/>
      <c r="P26" s="2"/>
      <c r="Q26" s="2"/>
      <c r="R26" s="2"/>
      <c r="S26" s="2"/>
    </row>
    <row r="27" spans="1:19" ht="15" x14ac:dyDescent="0.25">
      <c r="A27" s="324"/>
      <c r="B27" s="395" t="s">
        <v>282</v>
      </c>
      <c r="C27" s="627"/>
      <c r="D27" s="264">
        <v>36506</v>
      </c>
      <c r="E27" s="485">
        <v>26540</v>
      </c>
      <c r="F27" s="485">
        <v>36643</v>
      </c>
      <c r="G27" s="485"/>
      <c r="H27" s="268">
        <v>48</v>
      </c>
      <c r="I27" s="282">
        <v>64</v>
      </c>
      <c r="J27" s="282">
        <v>55</v>
      </c>
      <c r="K27" s="2"/>
      <c r="L27" s="626"/>
      <c r="M27" s="2"/>
      <c r="N27" s="2"/>
      <c r="O27" s="2"/>
      <c r="P27" s="2"/>
      <c r="Q27" s="2"/>
      <c r="R27" s="2"/>
      <c r="S27" s="2"/>
    </row>
    <row r="28" spans="1:19" ht="15" x14ac:dyDescent="0.25">
      <c r="A28" s="324"/>
      <c r="B28" s="395" t="s">
        <v>283</v>
      </c>
      <c r="C28" s="627"/>
      <c r="D28" s="267">
        <v>0</v>
      </c>
      <c r="E28" s="286" t="s">
        <v>46</v>
      </c>
      <c r="F28" s="286">
        <v>0</v>
      </c>
      <c r="G28" s="485"/>
      <c r="H28" s="268">
        <v>1004</v>
      </c>
      <c r="I28" s="282">
        <v>1008</v>
      </c>
      <c r="J28" s="282">
        <v>1488</v>
      </c>
      <c r="K28" s="2"/>
      <c r="L28" s="626"/>
      <c r="M28" s="2"/>
      <c r="N28" s="2"/>
      <c r="O28" s="2"/>
      <c r="P28" s="2"/>
      <c r="Q28" s="2"/>
      <c r="R28" s="2"/>
      <c r="S28" s="2"/>
    </row>
    <row r="29" spans="1:19" ht="15" x14ac:dyDescent="0.25">
      <c r="A29" s="324"/>
      <c r="B29" s="395" t="s">
        <v>284</v>
      </c>
      <c r="C29" s="620"/>
      <c r="D29" s="264">
        <v>78275</v>
      </c>
      <c r="E29" s="485">
        <v>75037</v>
      </c>
      <c r="F29" s="485">
        <v>67850</v>
      </c>
      <c r="G29" s="485"/>
      <c r="H29" s="268">
        <v>3991</v>
      </c>
      <c r="I29" s="282">
        <v>5708</v>
      </c>
      <c r="J29" s="282">
        <v>3374</v>
      </c>
      <c r="K29" s="2"/>
      <c r="L29" s="626"/>
      <c r="M29" s="2"/>
      <c r="N29" s="2"/>
      <c r="O29" s="2"/>
      <c r="P29" s="2"/>
      <c r="Q29" s="2"/>
      <c r="R29" s="2"/>
      <c r="S29" s="2"/>
    </row>
    <row r="30" spans="1:19" ht="15" x14ac:dyDescent="0.25">
      <c r="A30" s="324"/>
      <c r="B30" s="581" t="s">
        <v>285</v>
      </c>
      <c r="C30" s="641"/>
      <c r="D30" s="264">
        <v>1276</v>
      </c>
      <c r="E30" s="485">
        <v>1260</v>
      </c>
      <c r="F30" s="485">
        <v>1318</v>
      </c>
      <c r="G30" s="631"/>
      <c r="H30" s="270">
        <v>1276</v>
      </c>
      <c r="I30" s="289">
        <v>1260</v>
      </c>
      <c r="J30" s="289">
        <v>1318</v>
      </c>
      <c r="K30" s="2"/>
      <c r="L30" s="626"/>
      <c r="M30" s="2"/>
      <c r="N30" s="2"/>
      <c r="O30" s="2"/>
      <c r="P30" s="2"/>
      <c r="Q30" s="2"/>
      <c r="R30" s="2"/>
      <c r="S30" s="2"/>
    </row>
    <row r="31" spans="1:19" ht="15" x14ac:dyDescent="0.25">
      <c r="A31" s="324"/>
      <c r="B31" s="582" t="s">
        <v>51</v>
      </c>
      <c r="C31" s="642"/>
      <c r="D31" s="266">
        <v>828572</v>
      </c>
      <c r="E31" s="643">
        <v>773286</v>
      </c>
      <c r="F31" s="643">
        <v>758386</v>
      </c>
      <c r="G31" s="631"/>
      <c r="H31" s="270">
        <v>6367</v>
      </c>
      <c r="I31" s="289">
        <v>8129</v>
      </c>
      <c r="J31" s="289">
        <v>6305</v>
      </c>
      <c r="K31" s="2"/>
      <c r="L31" s="626"/>
      <c r="M31" s="2"/>
      <c r="N31" s="2"/>
      <c r="O31" s="2"/>
      <c r="P31" s="2"/>
      <c r="Q31" s="2"/>
      <c r="R31" s="2"/>
      <c r="S31" s="2"/>
    </row>
    <row r="32" spans="1:19" ht="15.75" thickBot="1" x14ac:dyDescent="0.3">
      <c r="A32" s="324"/>
      <c r="B32" s="616" t="s">
        <v>286</v>
      </c>
      <c r="C32" s="644"/>
      <c r="D32" s="312">
        <v>68916</v>
      </c>
      <c r="E32" s="635">
        <v>68610</v>
      </c>
      <c r="F32" s="635">
        <v>68833</v>
      </c>
      <c r="G32" s="635"/>
      <c r="H32" s="312">
        <v>17643</v>
      </c>
      <c r="I32" s="635">
        <v>18533</v>
      </c>
      <c r="J32" s="635">
        <v>19694</v>
      </c>
      <c r="K32" s="2"/>
      <c r="L32" s="626"/>
      <c r="M32" s="2"/>
      <c r="N32" s="2"/>
      <c r="O32" s="2"/>
      <c r="P32" s="2"/>
      <c r="Q32" s="2"/>
      <c r="R32" s="2"/>
      <c r="S32" s="2"/>
    </row>
    <row r="33" spans="1:19" ht="15.75" thickTop="1" x14ac:dyDescent="0.25">
      <c r="A33" s="324"/>
      <c r="B33" s="645"/>
      <c r="C33" s="646"/>
      <c r="D33" s="264"/>
      <c r="E33" s="647"/>
      <c r="F33" s="485"/>
      <c r="G33" s="485"/>
      <c r="H33" s="268"/>
      <c r="I33" s="317"/>
      <c r="J33" s="282"/>
      <c r="K33" s="2"/>
      <c r="L33" s="626"/>
      <c r="M33" s="2"/>
      <c r="N33" s="2"/>
      <c r="O33" s="2"/>
      <c r="P33" s="2"/>
      <c r="Q33" s="2"/>
      <c r="R33" s="2"/>
      <c r="S33" s="2"/>
    </row>
    <row r="34" spans="1:19" ht="15" x14ac:dyDescent="0.25">
      <c r="A34" s="324"/>
      <c r="B34" s="580" t="s">
        <v>287</v>
      </c>
      <c r="C34" s="610"/>
      <c r="D34" s="264"/>
      <c r="E34" s="647"/>
      <c r="F34" s="485"/>
      <c r="G34" s="485"/>
      <c r="H34" s="268"/>
      <c r="I34" s="317"/>
      <c r="J34" s="282"/>
      <c r="K34" s="2"/>
      <c r="L34" s="629"/>
      <c r="M34" s="2"/>
      <c r="N34" s="2"/>
      <c r="O34" s="2"/>
      <c r="P34" s="2"/>
      <c r="Q34" s="2"/>
      <c r="R34" s="2"/>
      <c r="S34" s="2"/>
    </row>
    <row r="35" spans="1:19" ht="15" x14ac:dyDescent="0.25">
      <c r="A35" s="324"/>
      <c r="B35" s="395" t="s">
        <v>288</v>
      </c>
      <c r="C35" s="646"/>
      <c r="D35" s="205">
        <v>11761</v>
      </c>
      <c r="E35" s="286">
        <v>11769</v>
      </c>
      <c r="F35" s="220">
        <v>11537</v>
      </c>
      <c r="G35" s="485"/>
      <c r="H35" s="268">
        <v>11822</v>
      </c>
      <c r="I35" s="282">
        <v>11818</v>
      </c>
      <c r="J35" s="282">
        <v>11586</v>
      </c>
      <c r="K35" s="2"/>
      <c r="L35" s="629"/>
      <c r="M35" s="2"/>
      <c r="N35" s="2"/>
      <c r="O35" s="2"/>
      <c r="P35" s="2"/>
      <c r="Q35" s="2"/>
      <c r="R35" s="2"/>
      <c r="S35" s="2"/>
    </row>
    <row r="36" spans="1:19" ht="15" x14ac:dyDescent="0.25">
      <c r="A36" s="324"/>
      <c r="B36" s="395" t="s">
        <v>289</v>
      </c>
      <c r="C36" s="646"/>
      <c r="D36" s="205">
        <v>0</v>
      </c>
      <c r="E36" s="286">
        <v>1000</v>
      </c>
      <c r="F36" s="220">
        <v>2392</v>
      </c>
      <c r="G36" s="485"/>
      <c r="H36" s="268">
        <v>0</v>
      </c>
      <c r="I36" s="282">
        <v>1000</v>
      </c>
      <c r="J36" s="282">
        <v>2392</v>
      </c>
      <c r="K36" s="2"/>
      <c r="L36" s="626"/>
      <c r="M36" s="2"/>
      <c r="N36" s="2"/>
      <c r="O36" s="2"/>
      <c r="P36" s="2"/>
      <c r="Q36" s="2"/>
      <c r="R36" s="2"/>
      <c r="S36" s="2"/>
    </row>
    <row r="37" spans="1:19" ht="15" x14ac:dyDescent="0.25">
      <c r="A37" s="324"/>
      <c r="B37" s="395" t="s">
        <v>290</v>
      </c>
      <c r="C37" s="646"/>
      <c r="D37" s="205">
        <v>1723</v>
      </c>
      <c r="E37" s="286">
        <v>1173</v>
      </c>
      <c r="F37" s="220">
        <v>1694</v>
      </c>
      <c r="G37" s="485"/>
      <c r="H37" s="268">
        <v>145</v>
      </c>
      <c r="I37" s="282">
        <v>23</v>
      </c>
      <c r="J37" s="282">
        <v>170</v>
      </c>
      <c r="K37" s="2"/>
      <c r="L37" s="626"/>
      <c r="M37" s="2"/>
      <c r="N37" s="2"/>
      <c r="O37" s="2"/>
      <c r="P37" s="2"/>
      <c r="Q37" s="2"/>
      <c r="R37" s="2"/>
      <c r="S37" s="2"/>
    </row>
    <row r="38" spans="1:19" ht="15" x14ac:dyDescent="0.25">
      <c r="A38" s="324"/>
      <c r="B38" s="581" t="s">
        <v>291</v>
      </c>
      <c r="C38" s="648"/>
      <c r="D38" s="205">
        <v>55383</v>
      </c>
      <c r="E38" s="286">
        <v>54622</v>
      </c>
      <c r="F38" s="220">
        <v>53163</v>
      </c>
      <c r="G38" s="631"/>
      <c r="H38" s="274">
        <v>5676</v>
      </c>
      <c r="I38" s="287">
        <v>5692</v>
      </c>
      <c r="J38" s="287">
        <v>5546</v>
      </c>
      <c r="K38" s="2"/>
      <c r="L38" s="626"/>
      <c r="M38" s="2"/>
      <c r="N38" s="2"/>
      <c r="O38" s="2"/>
      <c r="P38" s="2"/>
      <c r="Q38" s="2"/>
      <c r="R38" s="2"/>
      <c r="S38" s="2"/>
    </row>
    <row r="39" spans="1:19" ht="15.75" thickBot="1" x14ac:dyDescent="0.3">
      <c r="A39" s="324"/>
      <c r="B39" s="583" t="s">
        <v>292</v>
      </c>
      <c r="C39" s="649"/>
      <c r="D39" s="272">
        <v>68867</v>
      </c>
      <c r="E39" s="633">
        <v>68564</v>
      </c>
      <c r="F39" s="633">
        <v>68786</v>
      </c>
      <c r="G39" s="633"/>
      <c r="H39" s="272">
        <v>17643</v>
      </c>
      <c r="I39" s="633">
        <v>18533</v>
      </c>
      <c r="J39" s="633">
        <v>19694</v>
      </c>
      <c r="K39" s="2"/>
      <c r="L39" s="626"/>
      <c r="M39" s="2"/>
      <c r="N39" s="2"/>
      <c r="O39" s="2"/>
      <c r="P39" s="2"/>
      <c r="Q39" s="2"/>
      <c r="R39" s="2"/>
      <c r="S39" s="2"/>
    </row>
    <row r="40" spans="1:19" ht="15.75" thickTop="1" x14ac:dyDescent="0.25">
      <c r="A40" s="324"/>
      <c r="B40" s="581" t="s">
        <v>293</v>
      </c>
      <c r="C40" s="650"/>
      <c r="D40" s="313">
        <v>49</v>
      </c>
      <c r="E40" s="631">
        <v>46</v>
      </c>
      <c r="F40" s="631">
        <v>47</v>
      </c>
      <c r="G40" s="631"/>
      <c r="H40" s="274">
        <v>0</v>
      </c>
      <c r="I40" s="287">
        <v>0</v>
      </c>
      <c r="J40" s="287">
        <v>0</v>
      </c>
      <c r="K40" s="2"/>
      <c r="L40" s="626"/>
      <c r="M40" s="2"/>
      <c r="N40" s="2"/>
      <c r="O40" s="2"/>
      <c r="P40" s="2"/>
      <c r="Q40" s="2"/>
      <c r="R40" s="2"/>
      <c r="S40" s="2"/>
    </row>
    <row r="41" spans="1:19" ht="15.75" thickBot="1" x14ac:dyDescent="0.3">
      <c r="A41" s="324"/>
      <c r="B41" s="583" t="s">
        <v>294</v>
      </c>
      <c r="C41" s="649"/>
      <c r="D41" s="272">
        <v>68916</v>
      </c>
      <c r="E41" s="633">
        <v>68610</v>
      </c>
      <c r="F41" s="633">
        <v>68833</v>
      </c>
      <c r="G41" s="633"/>
      <c r="H41" s="272">
        <v>17643</v>
      </c>
      <c r="I41" s="633">
        <v>18533</v>
      </c>
      <c r="J41" s="633">
        <v>19694</v>
      </c>
      <c r="K41" s="2"/>
      <c r="L41" s="629"/>
      <c r="M41" s="2"/>
      <c r="N41" s="2"/>
      <c r="O41" s="2"/>
      <c r="P41" s="2"/>
      <c r="Q41" s="2"/>
      <c r="R41" s="2"/>
      <c r="S41" s="2"/>
    </row>
    <row r="42" spans="1:19" ht="15.75" thickTop="1" x14ac:dyDescent="0.25">
      <c r="A42" s="324"/>
      <c r="B42" s="651"/>
      <c r="C42" s="646"/>
      <c r="D42" s="207"/>
      <c r="E42" s="439"/>
      <c r="F42" s="438"/>
      <c r="G42" s="645"/>
      <c r="H42" s="120"/>
      <c r="I42" s="318"/>
      <c r="J42" s="161"/>
      <c r="K42" s="2"/>
      <c r="L42" s="626"/>
      <c r="M42" s="2"/>
      <c r="N42" s="2"/>
      <c r="O42" s="2"/>
      <c r="P42" s="2"/>
      <c r="Q42" s="2"/>
      <c r="R42" s="2"/>
      <c r="S42" s="2"/>
    </row>
    <row r="43" spans="1:19" ht="15" x14ac:dyDescent="0.25">
      <c r="A43" s="324"/>
      <c r="B43" s="652"/>
      <c r="C43" s="646"/>
      <c r="D43" s="207"/>
      <c r="E43" s="438"/>
      <c r="F43" s="438"/>
      <c r="G43" s="645"/>
      <c r="H43" s="120"/>
      <c r="I43" s="318"/>
      <c r="J43" s="161"/>
      <c r="K43" s="2"/>
      <c r="L43" s="653"/>
      <c r="M43" s="2"/>
      <c r="N43" s="2"/>
      <c r="O43" s="2"/>
      <c r="P43" s="2"/>
      <c r="Q43" s="2"/>
      <c r="R43" s="2"/>
      <c r="S43" s="2"/>
    </row>
    <row r="44" spans="1:19" ht="15" x14ac:dyDescent="0.25">
      <c r="A44" s="324"/>
      <c r="B44" s="580" t="s">
        <v>295</v>
      </c>
      <c r="C44" s="646"/>
      <c r="D44" s="207"/>
      <c r="E44" s="438"/>
      <c r="F44" s="438"/>
      <c r="G44" s="621"/>
      <c r="H44" s="207"/>
      <c r="I44" s="439"/>
      <c r="J44" s="645"/>
      <c r="K44" s="2"/>
      <c r="L44" s="653"/>
      <c r="M44" s="2"/>
      <c r="N44" s="2"/>
      <c r="O44" s="2"/>
      <c r="P44" s="2"/>
      <c r="Q44" s="2"/>
      <c r="R44" s="2"/>
      <c r="S44" s="2"/>
    </row>
    <row r="45" spans="1:19" ht="15" x14ac:dyDescent="0.25">
      <c r="A45" s="324"/>
      <c r="B45" s="652" t="s">
        <v>296</v>
      </c>
      <c r="C45" s="646"/>
      <c r="D45" s="314">
        <v>24.29</v>
      </c>
      <c r="E45" s="388">
        <v>23.82</v>
      </c>
      <c r="F45" s="162">
        <v>23.38</v>
      </c>
      <c r="G45" s="654"/>
      <c r="H45" s="315">
        <v>6.22</v>
      </c>
      <c r="I45" s="162">
        <v>6.18</v>
      </c>
      <c r="J45" s="162">
        <v>6.09</v>
      </c>
      <c r="K45" s="2"/>
      <c r="L45" s="653"/>
      <c r="M45" s="2"/>
      <c r="N45" s="2"/>
      <c r="O45" s="2"/>
      <c r="P45" s="2"/>
      <c r="Q45" s="2"/>
      <c r="R45" s="2"/>
      <c r="S45" s="2"/>
    </row>
    <row r="46" spans="1:19" ht="5.0999999999999996" customHeight="1" thickBot="1" x14ac:dyDescent="0.3">
      <c r="A46" s="324"/>
      <c r="B46" s="655"/>
      <c r="C46" s="656"/>
      <c r="D46" s="657"/>
      <c r="E46" s="658"/>
      <c r="F46" s="659"/>
      <c r="G46" s="660"/>
      <c r="H46" s="618"/>
      <c r="I46" s="660"/>
      <c r="J46" s="661"/>
      <c r="K46" s="2"/>
      <c r="L46" s="653"/>
      <c r="M46" s="2"/>
      <c r="N46" s="2"/>
      <c r="O46" s="2"/>
      <c r="P46" s="2"/>
      <c r="Q46" s="2"/>
      <c r="R46" s="2"/>
      <c r="S46" s="2"/>
    </row>
    <row r="47" spans="1:19" ht="15.75" thickTop="1" x14ac:dyDescent="0.25">
      <c r="A47" s="324"/>
      <c r="B47" s="2"/>
      <c r="C47" s="2"/>
      <c r="D47" s="587"/>
      <c r="E47" s="662"/>
      <c r="F47" s="662"/>
      <c r="G47" s="2"/>
      <c r="H47" s="663"/>
      <c r="I47" s="1"/>
      <c r="J47" s="662"/>
      <c r="K47" s="2"/>
      <c r="L47" s="664"/>
      <c r="M47" s="2"/>
      <c r="N47" s="2"/>
      <c r="O47" s="2"/>
      <c r="P47" s="2"/>
      <c r="Q47" s="2"/>
      <c r="R47" s="2"/>
      <c r="S47" s="2"/>
    </row>
    <row r="48" spans="1:19" ht="15" x14ac:dyDescent="0.25">
      <c r="A48" s="360" t="s">
        <v>89</v>
      </c>
      <c r="B48" s="11" t="s">
        <v>371</v>
      </c>
      <c r="C48" s="2"/>
      <c r="D48" s="587"/>
      <c r="E48" s="2"/>
      <c r="F48" s="2"/>
      <c r="G48" s="2"/>
      <c r="H48" s="663"/>
      <c r="I48" s="1"/>
      <c r="J48" s="662"/>
      <c r="K48" s="2"/>
      <c r="L48" s="2"/>
      <c r="M48" s="2"/>
      <c r="N48" s="2"/>
      <c r="O48" s="2"/>
      <c r="P48" s="2"/>
      <c r="Q48" s="2"/>
      <c r="R48" s="2"/>
      <c r="S48" s="2"/>
    </row>
    <row r="49" spans="1:19" ht="15" x14ac:dyDescent="0.25">
      <c r="A49" s="324"/>
      <c r="B49" s="2"/>
      <c r="C49" s="2"/>
      <c r="D49" s="665"/>
      <c r="E49" s="2"/>
      <c r="F49" s="2"/>
      <c r="G49" s="2"/>
      <c r="H49" s="663"/>
      <c r="I49" s="1"/>
      <c r="J49" s="662"/>
      <c r="K49" s="2"/>
      <c r="L49" s="2"/>
      <c r="M49" s="2"/>
      <c r="N49" s="2"/>
      <c r="O49" s="2"/>
      <c r="P49" s="2"/>
      <c r="Q49" s="2"/>
      <c r="R49" s="2"/>
      <c r="S49" s="2"/>
    </row>
    <row r="50" spans="1:19" ht="15" x14ac:dyDescent="0.25">
      <c r="A50" s="324"/>
      <c r="B50" s="2"/>
      <c r="C50" s="2"/>
      <c r="D50" s="665"/>
      <c r="E50" s="2"/>
      <c r="F50" s="2"/>
      <c r="G50" s="2"/>
      <c r="H50" s="663"/>
      <c r="I50" s="1"/>
      <c r="J50" s="2"/>
      <c r="K50" s="2"/>
      <c r="L50" s="2"/>
      <c r="M50" s="2"/>
      <c r="N50" s="2"/>
      <c r="O50" s="2"/>
      <c r="P50" s="2"/>
      <c r="Q50" s="2"/>
      <c r="R50" s="2"/>
      <c r="S50" s="2"/>
    </row>
    <row r="51" spans="1:19" ht="14.25" customHeight="1" x14ac:dyDescent="0.25">
      <c r="B51" s="2"/>
      <c r="C51" s="2"/>
      <c r="D51" s="665"/>
      <c r="E51" s="2"/>
      <c r="F51" s="2"/>
      <c r="G51" s="2"/>
      <c r="H51" s="663"/>
      <c r="I51" s="1"/>
      <c r="J51" s="2"/>
      <c r="K51" s="2"/>
      <c r="L51" s="2"/>
      <c r="M51" s="2"/>
      <c r="N51" s="2"/>
      <c r="O51" s="2"/>
      <c r="P51" s="2"/>
      <c r="Q51" s="2"/>
      <c r="R51" s="2"/>
      <c r="S51" s="2"/>
    </row>
    <row r="52" spans="1:19" ht="15" x14ac:dyDescent="0.25">
      <c r="B52" s="2"/>
      <c r="C52" s="2"/>
      <c r="D52" s="665"/>
      <c r="E52" s="2"/>
      <c r="F52" s="2"/>
      <c r="G52" s="2"/>
      <c r="H52" s="663"/>
      <c r="I52" s="1"/>
      <c r="J52" s="2"/>
      <c r="K52" s="2"/>
      <c r="L52" s="2"/>
      <c r="M52" s="2"/>
      <c r="N52" s="2"/>
      <c r="O52" s="2"/>
      <c r="P52" s="2"/>
      <c r="Q52" s="2"/>
      <c r="R52" s="2"/>
      <c r="S52" s="2"/>
    </row>
    <row r="53" spans="1:19" ht="15" x14ac:dyDescent="0.25">
      <c r="B53" s="2"/>
      <c r="C53" s="2"/>
      <c r="D53" s="2"/>
      <c r="E53" s="2"/>
      <c r="F53" s="2"/>
      <c r="G53" s="2"/>
      <c r="H53" s="663"/>
      <c r="I53" s="1"/>
      <c r="J53" s="2"/>
      <c r="K53" s="2"/>
      <c r="L53" s="2"/>
      <c r="M53" s="2"/>
      <c r="N53" s="2"/>
      <c r="O53" s="2"/>
      <c r="P53" s="2"/>
      <c r="Q53" s="2"/>
      <c r="R53" s="2"/>
      <c r="S53" s="2"/>
    </row>
    <row r="54" spans="1:19" ht="15" x14ac:dyDescent="0.25">
      <c r="B54" s="2"/>
      <c r="C54" s="2"/>
      <c r="D54" s="2"/>
      <c r="E54" s="2"/>
      <c r="F54" s="2"/>
      <c r="G54" s="2"/>
      <c r="H54" s="663"/>
      <c r="I54" s="1"/>
      <c r="J54" s="2"/>
      <c r="K54" s="2"/>
      <c r="L54" s="2"/>
      <c r="M54" s="2"/>
      <c r="N54" s="2"/>
      <c r="O54" s="2"/>
      <c r="P54" s="2"/>
      <c r="Q54" s="2"/>
      <c r="R54" s="2"/>
      <c r="S54" s="2"/>
    </row>
    <row r="55" spans="1:19" ht="15" x14ac:dyDescent="0.25">
      <c r="B55" s="2"/>
      <c r="C55" s="2"/>
      <c r="D55" s="2"/>
      <c r="E55" s="2"/>
      <c r="F55" s="2"/>
      <c r="G55" s="2"/>
      <c r="H55" s="663"/>
      <c r="I55" s="1"/>
      <c r="J55" s="2"/>
      <c r="K55" s="2"/>
      <c r="L55" s="2"/>
      <c r="M55" s="2"/>
      <c r="N55" s="2"/>
      <c r="O55" s="2"/>
      <c r="P55" s="2"/>
      <c r="Q55" s="2"/>
      <c r="R55" s="2"/>
      <c r="S55" s="2"/>
    </row>
    <row r="56" spans="1:19" ht="15" x14ac:dyDescent="0.25">
      <c r="B56" s="2"/>
      <c r="C56" s="2"/>
      <c r="D56" s="2"/>
      <c r="E56" s="2"/>
      <c r="F56" s="2"/>
      <c r="G56" s="2"/>
      <c r="H56" s="663"/>
      <c r="I56" s="1"/>
      <c r="J56" s="2"/>
      <c r="K56" s="2"/>
      <c r="L56" s="2"/>
      <c r="M56" s="2"/>
      <c r="N56" s="2"/>
      <c r="O56" s="2"/>
      <c r="P56" s="2"/>
      <c r="Q56" s="2"/>
      <c r="R56" s="2"/>
      <c r="S56" s="2"/>
    </row>
    <row r="57" spans="1:19" ht="15" x14ac:dyDescent="0.25">
      <c r="B57" s="2"/>
      <c r="C57" s="2"/>
      <c r="D57" s="2"/>
      <c r="E57" s="2"/>
      <c r="F57" s="2"/>
      <c r="G57" s="2"/>
      <c r="H57" s="663"/>
      <c r="I57" s="1"/>
      <c r="J57" s="2"/>
      <c r="K57" s="2"/>
      <c r="L57" s="2"/>
      <c r="M57" s="2"/>
      <c r="N57" s="2"/>
      <c r="O57" s="2"/>
      <c r="P57" s="2"/>
      <c r="Q57" s="2"/>
      <c r="R57" s="2"/>
      <c r="S57" s="2"/>
    </row>
    <row r="58" spans="1:19" ht="15" x14ac:dyDescent="0.25">
      <c r="B58" s="2"/>
      <c r="C58" s="2"/>
      <c r="D58" s="2"/>
      <c r="E58" s="2"/>
      <c r="F58" s="2"/>
      <c r="G58" s="2"/>
      <c r="H58" s="663"/>
      <c r="I58" s="1"/>
      <c r="J58" s="2"/>
      <c r="K58" s="2"/>
      <c r="L58" s="2"/>
      <c r="M58" s="2"/>
      <c r="N58" s="2"/>
      <c r="O58" s="2"/>
      <c r="P58" s="2"/>
      <c r="Q58" s="2"/>
      <c r="R58" s="2"/>
      <c r="S58" s="2"/>
    </row>
    <row r="59" spans="1:19" ht="15" x14ac:dyDescent="0.25">
      <c r="B59" s="2"/>
      <c r="C59" s="2"/>
      <c r="D59" s="2"/>
      <c r="E59" s="2"/>
      <c r="F59" s="2"/>
      <c r="G59" s="2"/>
      <c r="H59" s="663"/>
      <c r="I59" s="1"/>
      <c r="J59" s="2"/>
      <c r="K59" s="2"/>
      <c r="L59" s="2"/>
      <c r="M59" s="2"/>
      <c r="N59" s="2"/>
      <c r="O59" s="2"/>
      <c r="P59" s="2"/>
      <c r="Q59" s="2"/>
      <c r="R59" s="2"/>
      <c r="S59" s="2"/>
    </row>
    <row r="60" spans="1:19" ht="15" x14ac:dyDescent="0.25">
      <c r="B60" s="2"/>
      <c r="C60" s="2"/>
      <c r="D60" s="2"/>
      <c r="E60" s="2"/>
      <c r="F60" s="2"/>
      <c r="G60" s="2"/>
      <c r="H60" s="663"/>
      <c r="I60" s="1"/>
      <c r="J60" s="2"/>
      <c r="K60" s="2"/>
      <c r="L60" s="2"/>
      <c r="M60" s="2"/>
      <c r="N60" s="2"/>
      <c r="O60" s="2"/>
      <c r="P60" s="2"/>
      <c r="Q60" s="2"/>
      <c r="R60" s="2"/>
      <c r="S60" s="2"/>
    </row>
    <row r="61" spans="1:19" ht="15" x14ac:dyDescent="0.25">
      <c r="B61" s="2"/>
      <c r="C61" s="2"/>
      <c r="D61" s="2"/>
      <c r="E61" s="2"/>
      <c r="F61" s="2"/>
      <c r="G61" s="2"/>
      <c r="H61" s="663"/>
      <c r="I61" s="1"/>
      <c r="J61" s="2"/>
      <c r="K61" s="2"/>
      <c r="L61" s="2"/>
      <c r="M61" s="2"/>
      <c r="N61" s="2"/>
      <c r="O61" s="2"/>
      <c r="P61" s="2"/>
      <c r="Q61" s="2"/>
      <c r="R61" s="2"/>
      <c r="S61" s="2"/>
    </row>
    <row r="62" spans="1:19" ht="15" x14ac:dyDescent="0.25">
      <c r="B62" s="2"/>
      <c r="C62" s="2"/>
      <c r="D62" s="2"/>
      <c r="E62" s="2"/>
      <c r="F62" s="2"/>
      <c r="G62" s="2"/>
      <c r="H62" s="663"/>
      <c r="I62" s="1"/>
      <c r="J62" s="2"/>
      <c r="K62" s="2"/>
      <c r="L62" s="2"/>
      <c r="M62" s="2"/>
      <c r="N62" s="2"/>
      <c r="O62" s="2"/>
      <c r="P62" s="2"/>
      <c r="Q62" s="2"/>
      <c r="R62" s="2"/>
      <c r="S62" s="2"/>
    </row>
    <row r="63" spans="1:19" ht="15" x14ac:dyDescent="0.25">
      <c r="B63" s="2"/>
      <c r="C63" s="2"/>
      <c r="D63" s="2"/>
      <c r="E63" s="2"/>
      <c r="F63" s="2"/>
      <c r="G63" s="2"/>
      <c r="H63" s="663"/>
      <c r="I63" s="1"/>
      <c r="J63" s="2"/>
      <c r="K63" s="2"/>
      <c r="L63" s="2"/>
      <c r="M63" s="2"/>
      <c r="N63" s="2"/>
      <c r="O63" s="2"/>
      <c r="P63" s="2"/>
      <c r="Q63" s="2"/>
      <c r="R63" s="2"/>
      <c r="S63" s="2"/>
    </row>
    <row r="64" spans="1:19" ht="15" x14ac:dyDescent="0.25">
      <c r="B64" s="2"/>
      <c r="C64" s="2"/>
      <c r="D64" s="2"/>
      <c r="E64" s="2"/>
      <c r="F64" s="2"/>
      <c r="G64" s="2"/>
      <c r="H64" s="663"/>
      <c r="I64" s="1"/>
      <c r="J64" s="2"/>
      <c r="K64" s="2"/>
      <c r="L64" s="2"/>
      <c r="M64" s="2"/>
      <c r="N64" s="2"/>
      <c r="O64" s="2"/>
      <c r="P64" s="2"/>
      <c r="Q64" s="2"/>
      <c r="R64" s="2"/>
      <c r="S64" s="2"/>
    </row>
    <row r="65" spans="2:19" ht="15" x14ac:dyDescent="0.25">
      <c r="B65" s="2"/>
      <c r="C65" s="2"/>
      <c r="D65" s="2"/>
      <c r="E65" s="2"/>
      <c r="F65" s="2"/>
      <c r="G65" s="2"/>
      <c r="H65" s="663"/>
      <c r="I65" s="1"/>
      <c r="J65" s="2"/>
      <c r="K65" s="2"/>
      <c r="L65" s="2"/>
      <c r="M65" s="2"/>
      <c r="N65" s="2"/>
      <c r="O65" s="2"/>
      <c r="P65" s="2"/>
      <c r="Q65" s="2"/>
      <c r="R65" s="2"/>
      <c r="S65" s="2"/>
    </row>
    <row r="66" spans="2:19" ht="15" x14ac:dyDescent="0.25">
      <c r="B66" s="2"/>
      <c r="C66" s="2"/>
      <c r="D66" s="2"/>
      <c r="E66" s="2"/>
      <c r="F66" s="2"/>
      <c r="G66" s="2"/>
      <c r="H66" s="663"/>
      <c r="I66" s="1"/>
      <c r="J66" s="2"/>
      <c r="K66" s="2"/>
      <c r="L66" s="2"/>
      <c r="M66" s="2"/>
      <c r="N66" s="2"/>
      <c r="O66" s="2"/>
      <c r="P66" s="2"/>
      <c r="Q66" s="2"/>
      <c r="R66" s="2"/>
      <c r="S66" s="2"/>
    </row>
    <row r="67" spans="2:19" ht="15" x14ac:dyDescent="0.25">
      <c r="B67" s="2"/>
      <c r="C67" s="2"/>
      <c r="D67" s="2"/>
      <c r="E67" s="2"/>
      <c r="F67" s="2"/>
      <c r="G67" s="2"/>
      <c r="H67" s="663"/>
      <c r="I67" s="1"/>
      <c r="J67" s="2"/>
      <c r="K67" s="2"/>
      <c r="L67" s="2"/>
      <c r="M67" s="2"/>
      <c r="N67" s="2"/>
      <c r="O67" s="2"/>
      <c r="P67" s="2"/>
      <c r="Q67" s="2"/>
      <c r="R67" s="2"/>
      <c r="S67" s="2"/>
    </row>
    <row r="68" spans="2:19" ht="15" x14ac:dyDescent="0.25">
      <c r="B68" s="2"/>
      <c r="C68" s="2"/>
      <c r="D68" s="2"/>
      <c r="E68" s="2"/>
      <c r="F68" s="2"/>
      <c r="G68" s="2"/>
      <c r="H68" s="663"/>
      <c r="I68" s="1"/>
      <c r="J68" s="2"/>
      <c r="K68" s="2"/>
      <c r="L68" s="2"/>
      <c r="M68" s="2"/>
      <c r="N68" s="2"/>
      <c r="O68" s="2"/>
      <c r="P68" s="2"/>
      <c r="Q68" s="2"/>
      <c r="R68" s="2"/>
      <c r="S68" s="2"/>
    </row>
    <row r="69" spans="2:19" ht="15" x14ac:dyDescent="0.25">
      <c r="B69" s="2"/>
      <c r="C69" s="2"/>
      <c r="D69" s="2"/>
      <c r="E69" s="2"/>
      <c r="F69" s="2"/>
      <c r="G69" s="2"/>
      <c r="H69" s="663"/>
      <c r="I69" s="1"/>
      <c r="J69" s="2"/>
      <c r="K69" s="2"/>
      <c r="L69" s="2"/>
      <c r="M69" s="2"/>
      <c r="N69" s="2"/>
      <c r="O69" s="2"/>
      <c r="P69" s="2"/>
      <c r="Q69" s="2"/>
      <c r="R69" s="2"/>
      <c r="S69" s="2"/>
    </row>
    <row r="70" spans="2:19" ht="15" x14ac:dyDescent="0.25">
      <c r="B70" s="2"/>
      <c r="C70" s="2"/>
      <c r="D70" s="2"/>
      <c r="E70" s="2"/>
      <c r="F70" s="2"/>
      <c r="G70" s="2"/>
      <c r="H70" s="663"/>
      <c r="I70" s="1"/>
      <c r="J70" s="2"/>
      <c r="K70" s="2"/>
      <c r="L70" s="2"/>
      <c r="M70" s="2"/>
      <c r="N70" s="2"/>
      <c r="O70" s="2"/>
      <c r="P70" s="2"/>
      <c r="Q70" s="2"/>
      <c r="R70" s="2"/>
      <c r="S70" s="2"/>
    </row>
    <row r="71" spans="2:19" ht="15" x14ac:dyDescent="0.25">
      <c r="B71" s="2"/>
      <c r="C71" s="2"/>
      <c r="D71" s="2"/>
      <c r="E71" s="2"/>
      <c r="F71" s="2"/>
      <c r="G71" s="2"/>
      <c r="H71" s="663"/>
      <c r="I71" s="1"/>
      <c r="J71" s="2"/>
      <c r="K71" s="2"/>
      <c r="L71" s="2"/>
      <c r="M71" s="2"/>
      <c r="N71" s="2"/>
      <c r="O71" s="2"/>
      <c r="P71" s="2"/>
      <c r="Q71" s="2"/>
      <c r="R71" s="2"/>
      <c r="S71" s="2"/>
    </row>
    <row r="72" spans="2:19" ht="15" x14ac:dyDescent="0.25">
      <c r="B72" s="2"/>
      <c r="C72" s="2"/>
      <c r="D72" s="2"/>
      <c r="E72" s="2"/>
      <c r="F72" s="2"/>
      <c r="G72" s="2"/>
      <c r="H72" s="663"/>
      <c r="I72" s="1"/>
      <c r="J72" s="2"/>
      <c r="K72" s="2"/>
      <c r="L72" s="2"/>
      <c r="M72" s="2"/>
      <c r="N72" s="2"/>
      <c r="O72" s="2"/>
      <c r="P72" s="2"/>
      <c r="Q72" s="2"/>
      <c r="R72" s="2"/>
      <c r="S72" s="2"/>
    </row>
    <row r="73" spans="2:19" ht="15" x14ac:dyDescent="0.25">
      <c r="B73" s="2"/>
      <c r="C73" s="2"/>
      <c r="D73" s="2"/>
      <c r="E73" s="2"/>
      <c r="F73" s="2"/>
      <c r="G73" s="2"/>
      <c r="H73" s="663"/>
      <c r="I73" s="1"/>
      <c r="J73" s="2"/>
      <c r="K73" s="2"/>
      <c r="L73" s="2"/>
      <c r="M73" s="2"/>
      <c r="N73" s="2"/>
      <c r="O73" s="2"/>
      <c r="P73" s="2"/>
      <c r="Q73" s="2"/>
      <c r="R73" s="2"/>
      <c r="S73" s="2"/>
    </row>
    <row r="74" spans="2:19" ht="15" x14ac:dyDescent="0.25">
      <c r="B74" s="2"/>
      <c r="C74" s="2"/>
      <c r="D74" s="2"/>
      <c r="E74" s="2"/>
      <c r="F74" s="2"/>
      <c r="G74" s="2"/>
      <c r="H74" s="663"/>
      <c r="I74" s="1"/>
      <c r="J74" s="2"/>
      <c r="K74" s="2"/>
      <c r="L74" s="2"/>
      <c r="M74" s="2"/>
      <c r="N74" s="2"/>
      <c r="O74" s="2"/>
      <c r="P74" s="2"/>
      <c r="Q74" s="2"/>
      <c r="R74" s="2"/>
      <c r="S74" s="2"/>
    </row>
    <row r="75" spans="2:19" ht="15" x14ac:dyDescent="0.25">
      <c r="B75" s="2"/>
      <c r="C75" s="2"/>
      <c r="D75" s="2"/>
      <c r="E75" s="2"/>
      <c r="F75" s="2"/>
      <c r="G75" s="2"/>
      <c r="H75" s="663"/>
      <c r="I75" s="1"/>
      <c r="J75" s="2"/>
      <c r="K75" s="2"/>
      <c r="L75" s="2"/>
      <c r="M75" s="2"/>
      <c r="N75" s="2"/>
      <c r="O75" s="2"/>
      <c r="P75" s="2"/>
      <c r="Q75" s="2"/>
      <c r="R75" s="2"/>
      <c r="S75" s="2"/>
    </row>
    <row r="76" spans="2:19" ht="15" x14ac:dyDescent="0.25">
      <c r="B76" s="2"/>
      <c r="C76" s="2"/>
      <c r="D76" s="2"/>
      <c r="E76" s="2"/>
      <c r="F76" s="2"/>
      <c r="G76" s="2"/>
      <c r="H76" s="663"/>
      <c r="I76" s="1"/>
      <c r="J76" s="2"/>
      <c r="K76" s="2"/>
      <c r="L76" s="2"/>
      <c r="M76" s="2"/>
      <c r="N76" s="2"/>
      <c r="O76" s="2"/>
      <c r="P76" s="2"/>
      <c r="Q76" s="2"/>
      <c r="R76" s="2"/>
      <c r="S76" s="2"/>
    </row>
    <row r="77" spans="2:19" ht="15" x14ac:dyDescent="0.25">
      <c r="B77" s="2"/>
      <c r="C77" s="2"/>
      <c r="D77" s="2"/>
      <c r="E77" s="2"/>
      <c r="F77" s="2"/>
      <c r="G77" s="2"/>
      <c r="H77" s="663"/>
      <c r="I77" s="1"/>
      <c r="J77" s="2"/>
      <c r="K77" s="2"/>
      <c r="L77" s="2"/>
      <c r="M77" s="2"/>
      <c r="N77" s="2"/>
      <c r="O77" s="2"/>
      <c r="P77" s="2"/>
      <c r="Q77" s="2"/>
      <c r="R77" s="2"/>
      <c r="S77" s="2"/>
    </row>
    <row r="78" spans="2:19" ht="15" x14ac:dyDescent="0.25">
      <c r="B78" s="2"/>
      <c r="C78" s="2"/>
      <c r="D78" s="2"/>
      <c r="E78" s="2"/>
      <c r="F78" s="2"/>
      <c r="G78" s="2"/>
      <c r="H78" s="663"/>
      <c r="I78" s="1"/>
      <c r="J78" s="2"/>
      <c r="K78" s="2"/>
      <c r="L78" s="2"/>
      <c r="M78" s="2"/>
      <c r="N78" s="2"/>
      <c r="O78" s="2"/>
      <c r="P78" s="2"/>
      <c r="Q78" s="2"/>
      <c r="R78" s="2"/>
      <c r="S78" s="2"/>
    </row>
    <row r="79" spans="2:19" ht="15" x14ac:dyDescent="0.25">
      <c r="B79" s="2"/>
      <c r="C79" s="2"/>
      <c r="D79" s="2"/>
      <c r="E79" s="2"/>
      <c r="F79" s="2"/>
      <c r="G79" s="2"/>
      <c r="H79" s="663"/>
      <c r="I79" s="1"/>
      <c r="J79" s="2"/>
      <c r="K79" s="2"/>
      <c r="L79" s="2"/>
      <c r="M79" s="2"/>
      <c r="N79" s="2"/>
      <c r="O79" s="2"/>
      <c r="P79" s="2"/>
      <c r="Q79" s="2"/>
      <c r="R79" s="2"/>
      <c r="S79" s="2"/>
    </row>
    <row r="80" spans="2:19" ht="15" x14ac:dyDescent="0.25">
      <c r="B80" s="2"/>
      <c r="C80" s="2"/>
      <c r="D80" s="2"/>
      <c r="E80" s="2"/>
      <c r="F80" s="2"/>
      <c r="G80" s="2"/>
      <c r="H80" s="663"/>
      <c r="I80" s="1"/>
      <c r="J80" s="2"/>
      <c r="K80" s="2"/>
      <c r="L80" s="2"/>
      <c r="M80" s="2"/>
      <c r="N80" s="2"/>
      <c r="O80" s="2"/>
      <c r="P80" s="2"/>
      <c r="Q80" s="2"/>
      <c r="R80" s="2"/>
      <c r="S80" s="2"/>
    </row>
    <row r="81" spans="2:30" ht="15" x14ac:dyDescent="0.25">
      <c r="B81" s="2"/>
      <c r="C81" s="2"/>
      <c r="D81" s="2"/>
      <c r="E81" s="2"/>
      <c r="F81" s="2"/>
      <c r="G81" s="2"/>
      <c r="H81" s="1"/>
      <c r="I81" s="1"/>
      <c r="J81" s="2"/>
      <c r="K81" s="2"/>
      <c r="L81" s="2"/>
      <c r="M81" s="2"/>
      <c r="N81" s="2"/>
      <c r="O81" s="2"/>
      <c r="P81" s="2"/>
      <c r="Q81" s="2"/>
      <c r="R81" s="2"/>
      <c r="S81" s="2"/>
    </row>
    <row r="82" spans="2:30" ht="15" x14ac:dyDescent="0.25">
      <c r="B82" s="2"/>
      <c r="C82" s="2"/>
      <c r="D82" s="2"/>
      <c r="E82" s="2"/>
      <c r="F82" s="2"/>
      <c r="G82" s="2"/>
      <c r="H82" s="1"/>
      <c r="I82" s="1"/>
      <c r="J82" s="2"/>
      <c r="K82" s="2"/>
      <c r="L82" s="2"/>
      <c r="M82" s="2"/>
      <c r="N82" s="2"/>
      <c r="O82" s="2"/>
      <c r="P82" s="2"/>
      <c r="Q82" s="2"/>
      <c r="R82" s="2"/>
      <c r="S82" s="2"/>
    </row>
    <row r="83" spans="2:30" ht="15" x14ac:dyDescent="0.25">
      <c r="B83" s="2"/>
      <c r="C83" s="2"/>
      <c r="D83" s="2"/>
      <c r="E83" s="2"/>
      <c r="F83" s="2"/>
      <c r="G83" s="2"/>
      <c r="H83" s="1"/>
      <c r="I83" s="1"/>
      <c r="J83" s="2"/>
      <c r="K83" s="2"/>
      <c r="L83" s="2"/>
      <c r="M83" s="2"/>
      <c r="N83" s="2"/>
      <c r="O83" s="2"/>
      <c r="P83" s="2"/>
      <c r="Q83" s="2"/>
      <c r="R83" s="2"/>
      <c r="S83" s="2"/>
    </row>
    <row r="84" spans="2:30" ht="15" x14ac:dyDescent="0.25">
      <c r="B84" s="2"/>
      <c r="C84" s="2"/>
      <c r="D84" s="2"/>
      <c r="E84" s="2"/>
      <c r="F84" s="2"/>
      <c r="G84" s="2"/>
      <c r="H84" s="1"/>
      <c r="I84" s="1"/>
      <c r="J84" s="2"/>
      <c r="K84" s="2"/>
      <c r="L84" s="2"/>
      <c r="M84" s="2"/>
      <c r="N84" s="2"/>
      <c r="O84" s="2"/>
      <c r="P84" s="2"/>
      <c r="Q84" s="2"/>
      <c r="R84" s="2"/>
      <c r="S84" s="2"/>
    </row>
    <row r="85" spans="2:30" ht="15" x14ac:dyDescent="0.25">
      <c r="B85" s="2"/>
      <c r="C85" s="2"/>
      <c r="D85" s="2"/>
      <c r="E85" s="2"/>
      <c r="F85" s="2"/>
      <c r="G85" s="2"/>
      <c r="H85" s="1"/>
      <c r="I85" s="1"/>
      <c r="J85" s="2"/>
      <c r="K85" s="2"/>
      <c r="L85" s="2"/>
      <c r="M85" s="2"/>
      <c r="N85" s="2"/>
      <c r="O85" s="2"/>
      <c r="P85" s="2"/>
      <c r="Q85" s="2"/>
      <c r="R85" s="2"/>
      <c r="S85" s="2"/>
    </row>
    <row r="86" spans="2:30" ht="15" x14ac:dyDescent="0.25">
      <c r="B86" s="2"/>
      <c r="C86" s="2"/>
      <c r="D86" s="2"/>
      <c r="E86" s="2"/>
      <c r="F86" s="2"/>
      <c r="G86" s="2"/>
      <c r="H86" s="1"/>
      <c r="I86" s="1"/>
      <c r="J86" s="2"/>
      <c r="K86" s="2"/>
      <c r="L86" s="2"/>
      <c r="M86" s="2"/>
      <c r="N86" s="2"/>
      <c r="O86" s="2"/>
      <c r="P86" s="2"/>
      <c r="Q86" s="2"/>
      <c r="R86" s="2"/>
      <c r="S86" s="2"/>
    </row>
    <row r="87" spans="2:30" ht="15" x14ac:dyDescent="0.25">
      <c r="B87" s="2"/>
      <c r="C87" s="2"/>
      <c r="D87" s="2"/>
      <c r="E87" s="2"/>
      <c r="F87" s="2"/>
      <c r="G87" s="2"/>
      <c r="H87" s="1"/>
      <c r="I87" s="1"/>
      <c r="J87" s="2"/>
      <c r="K87" s="2"/>
      <c r="L87" s="2"/>
      <c r="M87" s="2"/>
      <c r="N87" s="2"/>
      <c r="O87" s="2"/>
      <c r="P87" s="2"/>
      <c r="Q87" s="2"/>
      <c r="R87" s="2"/>
      <c r="S87" s="2"/>
    </row>
    <row r="88" spans="2:30" ht="14.25" x14ac:dyDescent="0.2">
      <c r="H88" s="666"/>
      <c r="I88" s="666"/>
      <c r="K88" s="2"/>
      <c r="L88" s="2"/>
      <c r="M88" s="2"/>
      <c r="N88" s="2"/>
      <c r="O88" s="2"/>
      <c r="P88" s="2"/>
      <c r="Q88" s="2"/>
      <c r="R88" s="2"/>
      <c r="S88" s="2"/>
      <c r="T88" s="2"/>
      <c r="U88" s="2"/>
      <c r="V88" s="2"/>
      <c r="W88" s="2"/>
      <c r="X88" s="2"/>
      <c r="Y88" s="2"/>
      <c r="Z88" s="2"/>
      <c r="AA88" s="2"/>
      <c r="AB88" s="2"/>
      <c r="AC88" s="2"/>
      <c r="AD88" s="2"/>
    </row>
    <row r="89" spans="2:30" ht="14.25" x14ac:dyDescent="0.2">
      <c r="H89" s="666"/>
      <c r="I89" s="666"/>
      <c r="K89" s="2"/>
      <c r="L89" s="2"/>
      <c r="M89" s="2"/>
      <c r="N89" s="2"/>
      <c r="O89" s="2"/>
      <c r="P89" s="2"/>
      <c r="Q89" s="2"/>
      <c r="R89" s="2"/>
      <c r="S89" s="2"/>
      <c r="T89" s="2"/>
      <c r="U89" s="2"/>
      <c r="V89" s="2"/>
      <c r="W89" s="2"/>
      <c r="X89" s="2"/>
      <c r="Y89" s="2"/>
      <c r="Z89" s="2"/>
      <c r="AA89" s="2"/>
      <c r="AB89" s="2"/>
      <c r="AC89" s="2"/>
      <c r="AD89" s="2"/>
    </row>
    <row r="90" spans="2:30" ht="14.25" x14ac:dyDescent="0.2">
      <c r="K90" s="2"/>
      <c r="L90" s="2"/>
      <c r="M90" s="2"/>
      <c r="N90" s="2"/>
      <c r="O90" s="2"/>
      <c r="P90" s="2"/>
      <c r="Q90" s="2"/>
      <c r="R90" s="2"/>
      <c r="S90" s="2"/>
      <c r="T90" s="2"/>
      <c r="U90" s="2"/>
      <c r="V90" s="2"/>
      <c r="W90" s="2"/>
      <c r="X90" s="2"/>
      <c r="Y90" s="2"/>
      <c r="Z90" s="2"/>
      <c r="AA90" s="2"/>
      <c r="AB90" s="2"/>
      <c r="AC90" s="2"/>
      <c r="AD90" s="2"/>
    </row>
    <row r="91" spans="2:30" ht="14.25" x14ac:dyDescent="0.2">
      <c r="K91" s="2"/>
      <c r="L91" s="2"/>
      <c r="M91" s="2"/>
      <c r="N91" s="2"/>
      <c r="O91" s="2"/>
      <c r="P91" s="2"/>
      <c r="Q91" s="2"/>
      <c r="R91" s="2"/>
      <c r="S91" s="2"/>
      <c r="T91" s="2"/>
      <c r="U91" s="2"/>
      <c r="V91" s="2"/>
      <c r="W91" s="2"/>
      <c r="X91" s="2"/>
      <c r="Y91" s="2"/>
      <c r="Z91" s="2"/>
      <c r="AA91" s="2"/>
      <c r="AB91" s="2"/>
      <c r="AC91" s="2"/>
      <c r="AD91" s="2"/>
    </row>
    <row r="92" spans="2:30" ht="14.25" x14ac:dyDescent="0.2">
      <c r="K92" s="2"/>
      <c r="L92" s="2"/>
      <c r="M92" s="2"/>
      <c r="N92" s="2"/>
      <c r="O92" s="2"/>
      <c r="P92" s="2"/>
      <c r="Q92" s="2"/>
      <c r="R92" s="2"/>
      <c r="S92" s="2"/>
      <c r="T92" s="2"/>
      <c r="U92" s="2"/>
      <c r="V92" s="2"/>
      <c r="W92" s="2"/>
      <c r="X92" s="2"/>
      <c r="Y92" s="2"/>
      <c r="Z92" s="2"/>
      <c r="AA92" s="2"/>
      <c r="AB92" s="2"/>
      <c r="AC92" s="2"/>
      <c r="AD92" s="2"/>
    </row>
    <row r="93" spans="2:30" ht="14.25" x14ac:dyDescent="0.2">
      <c r="K93" s="2"/>
      <c r="L93" s="2"/>
      <c r="M93" s="2"/>
      <c r="N93" s="2"/>
      <c r="O93" s="2"/>
      <c r="P93" s="2"/>
      <c r="Q93" s="2"/>
      <c r="R93" s="2"/>
      <c r="S93" s="2"/>
      <c r="T93" s="2"/>
      <c r="U93" s="2"/>
      <c r="V93" s="2"/>
      <c r="W93" s="2"/>
      <c r="X93" s="2"/>
      <c r="Y93" s="2"/>
      <c r="Z93" s="2"/>
      <c r="AA93" s="2"/>
      <c r="AB93" s="2"/>
      <c r="AC93" s="2"/>
      <c r="AD93" s="2"/>
    </row>
    <row r="94" spans="2:30" ht="14.25" x14ac:dyDescent="0.2">
      <c r="K94" s="2"/>
      <c r="L94" s="2"/>
      <c r="M94" s="2"/>
      <c r="N94" s="2"/>
      <c r="O94" s="2"/>
      <c r="P94" s="2"/>
      <c r="Q94" s="2"/>
      <c r="R94" s="2"/>
      <c r="S94" s="2"/>
      <c r="T94" s="2"/>
      <c r="U94" s="2"/>
      <c r="V94" s="2"/>
      <c r="W94" s="2"/>
      <c r="X94" s="2"/>
      <c r="Y94" s="2"/>
      <c r="Z94" s="2"/>
      <c r="AA94" s="2"/>
      <c r="AB94" s="2"/>
      <c r="AC94" s="2"/>
      <c r="AD94" s="2"/>
    </row>
    <row r="95" spans="2:30" ht="14.25" x14ac:dyDescent="0.2">
      <c r="K95" s="2"/>
      <c r="L95" s="2"/>
      <c r="M95" s="2"/>
      <c r="N95" s="2"/>
      <c r="O95" s="2"/>
      <c r="P95" s="2"/>
      <c r="Q95" s="2"/>
      <c r="R95" s="2"/>
      <c r="S95" s="2"/>
      <c r="T95" s="2"/>
      <c r="U95" s="2"/>
      <c r="V95" s="2"/>
      <c r="W95" s="2"/>
      <c r="X95" s="2"/>
      <c r="Y95" s="2"/>
      <c r="Z95" s="2"/>
      <c r="AA95" s="2"/>
      <c r="AB95" s="2"/>
      <c r="AC95" s="2"/>
      <c r="AD95" s="2"/>
    </row>
    <row r="96" spans="2:30" ht="14.25" x14ac:dyDescent="0.2">
      <c r="K96" s="2"/>
      <c r="L96" s="2"/>
      <c r="M96" s="2"/>
      <c r="N96" s="2"/>
      <c r="O96" s="2"/>
      <c r="P96" s="2"/>
      <c r="Q96" s="2"/>
      <c r="R96" s="2"/>
      <c r="S96" s="2"/>
      <c r="T96" s="2"/>
      <c r="U96" s="2"/>
      <c r="V96" s="2"/>
      <c r="W96" s="2"/>
      <c r="X96" s="2"/>
      <c r="Y96" s="2"/>
      <c r="Z96" s="2"/>
      <c r="AA96" s="2"/>
      <c r="AB96" s="2"/>
      <c r="AC96" s="2"/>
      <c r="AD96" s="2"/>
    </row>
    <row r="97" spans="11:30" ht="14.25" x14ac:dyDescent="0.2">
      <c r="K97" s="2"/>
      <c r="L97" s="2"/>
      <c r="M97" s="2"/>
      <c r="N97" s="2"/>
      <c r="O97" s="2"/>
      <c r="P97" s="2"/>
      <c r="Q97" s="2"/>
      <c r="R97" s="2"/>
      <c r="S97" s="2"/>
      <c r="T97" s="2"/>
      <c r="U97" s="2"/>
      <c r="V97" s="2"/>
      <c r="W97" s="2"/>
      <c r="X97" s="2"/>
      <c r="Y97" s="2"/>
      <c r="Z97" s="2"/>
      <c r="AA97" s="2"/>
      <c r="AB97" s="2"/>
      <c r="AC97" s="2"/>
      <c r="AD97" s="2"/>
    </row>
    <row r="98" spans="11:30" ht="14.25" x14ac:dyDescent="0.2">
      <c r="K98" s="2"/>
      <c r="L98" s="2"/>
      <c r="M98" s="2"/>
      <c r="N98" s="2"/>
      <c r="O98" s="2"/>
      <c r="P98" s="2"/>
      <c r="Q98" s="2"/>
      <c r="R98" s="2"/>
      <c r="S98" s="2"/>
      <c r="T98" s="2"/>
      <c r="U98" s="2"/>
      <c r="V98" s="2"/>
      <c r="W98" s="2"/>
      <c r="X98" s="2"/>
      <c r="Y98" s="2"/>
      <c r="Z98" s="2"/>
      <c r="AA98" s="2"/>
      <c r="AB98" s="2"/>
      <c r="AC98" s="2"/>
      <c r="AD98" s="2"/>
    </row>
    <row r="99" spans="11:30" ht="14.25" x14ac:dyDescent="0.2">
      <c r="K99" s="2"/>
      <c r="L99" s="2"/>
      <c r="M99" s="2"/>
      <c r="N99" s="2"/>
      <c r="O99" s="2"/>
      <c r="P99" s="2"/>
      <c r="Q99" s="2"/>
      <c r="R99" s="2"/>
      <c r="S99" s="2"/>
      <c r="T99" s="2"/>
      <c r="U99" s="2"/>
      <c r="V99" s="2"/>
      <c r="W99" s="2"/>
      <c r="X99" s="2"/>
      <c r="Y99" s="2"/>
      <c r="Z99" s="2"/>
      <c r="AA99" s="2"/>
      <c r="AB99" s="2"/>
      <c r="AC99" s="2"/>
      <c r="AD99" s="2"/>
    </row>
    <row r="100" spans="11:30" ht="14.25" x14ac:dyDescent="0.2">
      <c r="K100" s="2"/>
      <c r="L100" s="2"/>
      <c r="M100" s="2"/>
      <c r="N100" s="2"/>
      <c r="O100" s="2"/>
      <c r="P100" s="2"/>
      <c r="Q100" s="2"/>
      <c r="R100" s="2"/>
      <c r="S100" s="2"/>
      <c r="T100" s="2"/>
      <c r="U100" s="2"/>
      <c r="V100" s="2"/>
      <c r="W100" s="2"/>
      <c r="X100" s="2"/>
      <c r="Y100" s="2"/>
      <c r="Z100" s="2"/>
      <c r="AA100" s="2"/>
      <c r="AB100" s="2"/>
      <c r="AC100" s="2"/>
      <c r="AD100" s="2"/>
    </row>
    <row r="101" spans="11:30" ht="14.25" x14ac:dyDescent="0.2">
      <c r="K101" s="2"/>
      <c r="L101" s="2"/>
      <c r="M101" s="2"/>
      <c r="N101" s="2"/>
      <c r="O101" s="2"/>
      <c r="P101" s="2"/>
      <c r="Q101" s="2"/>
      <c r="R101" s="2"/>
      <c r="S101" s="2"/>
      <c r="T101" s="2"/>
      <c r="U101" s="2"/>
      <c r="V101" s="2"/>
      <c r="W101" s="2"/>
      <c r="X101" s="2"/>
      <c r="Y101" s="2"/>
      <c r="Z101" s="2"/>
      <c r="AA101" s="2"/>
      <c r="AB101" s="2"/>
      <c r="AC101" s="2"/>
      <c r="AD101" s="2"/>
    </row>
    <row r="102" spans="11:30" ht="14.25" x14ac:dyDescent="0.2">
      <c r="K102" s="2"/>
      <c r="L102" s="2"/>
      <c r="M102" s="2"/>
      <c r="N102" s="2"/>
      <c r="O102" s="2"/>
      <c r="P102" s="2"/>
      <c r="Q102" s="2"/>
      <c r="R102" s="2"/>
      <c r="S102" s="2"/>
      <c r="T102" s="2"/>
      <c r="U102" s="2"/>
      <c r="V102" s="2"/>
      <c r="W102" s="2"/>
      <c r="X102" s="2"/>
      <c r="Y102" s="2"/>
      <c r="Z102" s="2"/>
      <c r="AA102" s="2"/>
      <c r="AB102" s="2"/>
      <c r="AC102" s="2"/>
      <c r="AD102" s="2"/>
    </row>
    <row r="103" spans="11:30" ht="14.25" x14ac:dyDescent="0.2">
      <c r="K103" s="2"/>
      <c r="L103" s="2"/>
      <c r="M103" s="2"/>
      <c r="N103" s="2"/>
      <c r="O103" s="2"/>
      <c r="P103" s="2"/>
      <c r="Q103" s="2"/>
      <c r="R103" s="2"/>
      <c r="S103" s="2"/>
      <c r="T103" s="2"/>
      <c r="U103" s="2"/>
      <c r="V103" s="2"/>
      <c r="W103" s="2"/>
      <c r="X103" s="2"/>
      <c r="Y103" s="2"/>
      <c r="Z103" s="2"/>
      <c r="AA103" s="2"/>
      <c r="AB103" s="2"/>
      <c r="AC103" s="2"/>
      <c r="AD103" s="2"/>
    </row>
    <row r="104" spans="11:30" ht="14.25" x14ac:dyDescent="0.2">
      <c r="K104" s="2"/>
      <c r="L104" s="2"/>
      <c r="M104" s="2"/>
      <c r="N104" s="2"/>
      <c r="O104" s="2"/>
      <c r="P104" s="2"/>
      <c r="Q104" s="2"/>
      <c r="R104" s="2"/>
      <c r="S104" s="2"/>
      <c r="T104" s="2"/>
      <c r="U104" s="2"/>
      <c r="V104" s="2"/>
      <c r="W104" s="2"/>
      <c r="X104" s="2"/>
      <c r="Y104" s="2"/>
      <c r="Z104" s="2"/>
      <c r="AA104" s="2"/>
      <c r="AB104" s="2"/>
      <c r="AC104" s="2"/>
      <c r="AD104" s="2"/>
    </row>
    <row r="105" spans="11:30" ht="14.25" x14ac:dyDescent="0.2">
      <c r="K105" s="2"/>
      <c r="L105" s="2"/>
      <c r="M105" s="2"/>
      <c r="N105" s="2"/>
      <c r="O105" s="2"/>
      <c r="P105" s="2"/>
      <c r="Q105" s="2"/>
      <c r="R105" s="2"/>
      <c r="S105" s="2"/>
      <c r="T105" s="2"/>
      <c r="U105" s="2"/>
      <c r="V105" s="2"/>
      <c r="W105" s="2"/>
      <c r="X105" s="2"/>
      <c r="Y105" s="2"/>
      <c r="Z105" s="2"/>
      <c r="AA105" s="2"/>
      <c r="AB105" s="2"/>
      <c r="AC105" s="2"/>
      <c r="AD105" s="2"/>
    </row>
    <row r="106" spans="11:30" ht="14.25" x14ac:dyDescent="0.2">
      <c r="K106" s="2"/>
      <c r="L106" s="2"/>
      <c r="M106" s="2"/>
      <c r="N106" s="2"/>
      <c r="O106" s="2"/>
      <c r="P106" s="2"/>
      <c r="Q106" s="2"/>
      <c r="R106" s="2"/>
      <c r="S106" s="2"/>
      <c r="T106" s="2"/>
      <c r="U106" s="2"/>
      <c r="V106" s="2"/>
      <c r="W106" s="2"/>
      <c r="X106" s="2"/>
      <c r="Y106" s="2"/>
      <c r="Z106" s="2"/>
      <c r="AA106" s="2"/>
      <c r="AB106" s="2"/>
      <c r="AC106" s="2"/>
      <c r="AD106" s="2"/>
    </row>
    <row r="107" spans="11:30" ht="14.25" x14ac:dyDescent="0.2">
      <c r="K107" s="2"/>
      <c r="L107" s="2"/>
      <c r="M107" s="2"/>
      <c r="N107" s="2"/>
      <c r="O107" s="2"/>
      <c r="P107" s="2"/>
      <c r="Q107" s="2"/>
      <c r="R107" s="2"/>
      <c r="S107" s="2"/>
      <c r="T107" s="2"/>
      <c r="U107" s="2"/>
      <c r="V107" s="2"/>
      <c r="W107" s="2"/>
      <c r="X107" s="2"/>
      <c r="Y107" s="2"/>
      <c r="Z107" s="2"/>
      <c r="AA107" s="2"/>
      <c r="AB107" s="2"/>
      <c r="AC107" s="2"/>
      <c r="AD107" s="2"/>
    </row>
    <row r="108" spans="11:30" ht="14.25" x14ac:dyDescent="0.2">
      <c r="K108" s="2"/>
      <c r="L108" s="2"/>
      <c r="M108" s="2"/>
      <c r="N108" s="2"/>
      <c r="O108" s="2"/>
      <c r="P108" s="2"/>
      <c r="Q108" s="2"/>
      <c r="R108" s="2"/>
      <c r="S108" s="2"/>
      <c r="T108" s="2"/>
      <c r="U108" s="2"/>
      <c r="V108" s="2"/>
      <c r="W108" s="2"/>
      <c r="X108" s="2"/>
      <c r="Y108" s="2"/>
      <c r="Z108" s="2"/>
      <c r="AA108" s="2"/>
      <c r="AB108" s="2"/>
      <c r="AC108" s="2"/>
      <c r="AD108" s="2"/>
    </row>
    <row r="109" spans="11:30" ht="14.25" x14ac:dyDescent="0.2">
      <c r="K109" s="2"/>
      <c r="L109" s="2"/>
      <c r="M109" s="2"/>
      <c r="N109" s="2"/>
      <c r="O109" s="2"/>
      <c r="P109" s="2"/>
      <c r="Q109" s="2"/>
      <c r="R109" s="2"/>
      <c r="S109" s="2"/>
      <c r="T109" s="2"/>
      <c r="U109" s="2"/>
      <c r="V109" s="2"/>
      <c r="W109" s="2"/>
      <c r="X109" s="2"/>
      <c r="Y109" s="2"/>
      <c r="Z109" s="2"/>
      <c r="AA109" s="2"/>
      <c r="AB109" s="2"/>
      <c r="AC109" s="2"/>
      <c r="AD109" s="2"/>
    </row>
    <row r="110" spans="11:30" ht="14.25" x14ac:dyDescent="0.2">
      <c r="K110" s="2"/>
      <c r="L110" s="2"/>
      <c r="M110" s="2"/>
      <c r="N110" s="2"/>
      <c r="O110" s="2"/>
      <c r="P110" s="2"/>
      <c r="Q110" s="2"/>
      <c r="R110" s="2"/>
      <c r="S110" s="2"/>
      <c r="T110" s="2"/>
      <c r="U110" s="2"/>
      <c r="V110" s="2"/>
      <c r="W110" s="2"/>
      <c r="X110" s="2"/>
      <c r="Y110" s="2"/>
      <c r="Z110" s="2"/>
      <c r="AA110" s="2"/>
      <c r="AB110" s="2"/>
      <c r="AC110" s="2"/>
      <c r="AD110" s="2"/>
    </row>
    <row r="111" spans="11:30" ht="14.25" x14ac:dyDescent="0.2">
      <c r="K111" s="2"/>
      <c r="L111" s="2"/>
      <c r="M111" s="2"/>
      <c r="N111" s="2"/>
      <c r="O111" s="2"/>
      <c r="P111" s="2"/>
      <c r="Q111" s="2"/>
      <c r="R111" s="2"/>
      <c r="S111" s="2"/>
      <c r="T111" s="2"/>
      <c r="U111" s="2"/>
      <c r="V111" s="2"/>
      <c r="W111" s="2"/>
      <c r="X111" s="2"/>
      <c r="Y111" s="2"/>
      <c r="Z111" s="2"/>
      <c r="AA111" s="2"/>
      <c r="AB111" s="2"/>
      <c r="AC111" s="2"/>
      <c r="AD111" s="2"/>
    </row>
    <row r="112" spans="11:30" ht="14.25" x14ac:dyDescent="0.2">
      <c r="K112" s="2"/>
      <c r="L112" s="2"/>
      <c r="M112" s="2"/>
      <c r="N112" s="2"/>
      <c r="O112" s="2"/>
      <c r="P112" s="2"/>
      <c r="Q112" s="2"/>
      <c r="R112" s="2"/>
      <c r="S112" s="2"/>
      <c r="T112" s="2"/>
      <c r="U112" s="2"/>
      <c r="V112" s="2"/>
      <c r="W112" s="2"/>
      <c r="X112" s="2"/>
      <c r="Y112" s="2"/>
      <c r="Z112" s="2"/>
      <c r="AA112" s="2"/>
      <c r="AB112" s="2"/>
      <c r="AC112" s="2"/>
      <c r="AD112" s="2"/>
    </row>
    <row r="113" spans="11:30" ht="14.25" x14ac:dyDescent="0.2">
      <c r="K113" s="2"/>
      <c r="L113" s="2"/>
      <c r="M113" s="2"/>
      <c r="N113" s="2"/>
      <c r="O113" s="2"/>
      <c r="P113" s="2"/>
      <c r="Q113" s="2"/>
      <c r="R113" s="2"/>
      <c r="S113" s="2"/>
      <c r="T113" s="2"/>
      <c r="U113" s="2"/>
      <c r="V113" s="2"/>
      <c r="W113" s="2"/>
      <c r="X113" s="2"/>
      <c r="Y113" s="2"/>
      <c r="Z113" s="2"/>
      <c r="AA113" s="2"/>
      <c r="AB113" s="2"/>
      <c r="AC113" s="2"/>
      <c r="AD113" s="2"/>
    </row>
    <row r="114" spans="11:30" ht="14.25" x14ac:dyDescent="0.2">
      <c r="K114" s="2"/>
      <c r="L114" s="2"/>
      <c r="M114" s="2"/>
      <c r="N114" s="2"/>
      <c r="O114" s="2"/>
      <c r="P114" s="2"/>
      <c r="Q114" s="2"/>
      <c r="R114" s="2"/>
      <c r="S114" s="2"/>
      <c r="T114" s="2"/>
      <c r="U114" s="2"/>
      <c r="V114" s="2"/>
      <c r="W114" s="2"/>
      <c r="X114" s="2"/>
      <c r="Y114" s="2"/>
      <c r="Z114" s="2"/>
      <c r="AA114" s="2"/>
      <c r="AB114" s="2"/>
      <c r="AC114" s="2"/>
      <c r="AD114" s="2"/>
    </row>
    <row r="115" spans="11:30" ht="14.25" x14ac:dyDescent="0.2">
      <c r="K115" s="2"/>
      <c r="L115" s="2"/>
      <c r="M115" s="2"/>
      <c r="N115" s="2"/>
      <c r="O115" s="2"/>
      <c r="P115" s="2"/>
      <c r="Q115" s="2"/>
      <c r="R115" s="2"/>
      <c r="S115" s="2"/>
      <c r="T115" s="2"/>
      <c r="U115" s="2"/>
      <c r="V115" s="2"/>
      <c r="W115" s="2"/>
      <c r="X115" s="2"/>
      <c r="Y115" s="2"/>
      <c r="Z115" s="2"/>
      <c r="AA115" s="2"/>
      <c r="AB115" s="2"/>
      <c r="AC115" s="2"/>
      <c r="AD115" s="2"/>
    </row>
    <row r="116" spans="11:30" ht="14.25" x14ac:dyDescent="0.2">
      <c r="K116" s="2"/>
      <c r="L116" s="2"/>
      <c r="M116" s="2"/>
      <c r="N116" s="2"/>
      <c r="O116" s="2"/>
      <c r="P116" s="2"/>
      <c r="Q116" s="2"/>
      <c r="R116" s="2"/>
      <c r="S116" s="2"/>
      <c r="T116" s="2"/>
      <c r="U116" s="2"/>
      <c r="V116" s="2"/>
      <c r="W116" s="2"/>
      <c r="X116" s="2"/>
      <c r="Y116" s="2"/>
      <c r="Z116" s="2"/>
      <c r="AA116" s="2"/>
      <c r="AB116" s="2"/>
      <c r="AC116" s="2"/>
      <c r="AD116" s="2"/>
    </row>
    <row r="117" spans="11:30" ht="14.25" x14ac:dyDescent="0.2">
      <c r="K117" s="2"/>
      <c r="L117" s="2"/>
      <c r="M117" s="2"/>
      <c r="N117" s="2"/>
      <c r="O117" s="2"/>
      <c r="P117" s="2"/>
      <c r="Q117" s="2"/>
      <c r="R117" s="2"/>
      <c r="S117" s="2"/>
      <c r="T117" s="2"/>
      <c r="U117" s="2"/>
      <c r="V117" s="2"/>
      <c r="W117" s="2"/>
      <c r="X117" s="2"/>
      <c r="Y117" s="2"/>
      <c r="Z117" s="2"/>
      <c r="AA117" s="2"/>
      <c r="AB117" s="2"/>
      <c r="AC117" s="2"/>
      <c r="AD117" s="2"/>
    </row>
    <row r="118" spans="11:30" ht="14.25" x14ac:dyDescent="0.2">
      <c r="K118" s="2"/>
      <c r="L118" s="2"/>
      <c r="M118" s="2"/>
      <c r="N118" s="2"/>
      <c r="O118" s="2"/>
      <c r="P118" s="2"/>
      <c r="Q118" s="2"/>
      <c r="R118" s="2"/>
      <c r="S118" s="2"/>
      <c r="T118" s="2"/>
      <c r="U118" s="2"/>
      <c r="V118" s="2"/>
      <c r="W118" s="2"/>
      <c r="X118" s="2"/>
      <c r="Y118" s="2"/>
      <c r="Z118" s="2"/>
      <c r="AA118" s="2"/>
      <c r="AB118" s="2"/>
      <c r="AC118" s="2"/>
      <c r="AD118" s="2"/>
    </row>
    <row r="119" spans="11:30" ht="14.25" x14ac:dyDescent="0.2">
      <c r="K119" s="2"/>
      <c r="L119" s="2"/>
      <c r="M119" s="2"/>
      <c r="N119" s="2"/>
      <c r="O119" s="2"/>
      <c r="P119" s="2"/>
      <c r="Q119" s="2"/>
      <c r="R119" s="2"/>
      <c r="S119" s="2"/>
      <c r="T119" s="2"/>
      <c r="U119" s="2"/>
      <c r="V119" s="2"/>
      <c r="W119" s="2"/>
      <c r="X119" s="2"/>
      <c r="Y119" s="2"/>
      <c r="Z119" s="2"/>
      <c r="AA119" s="2"/>
      <c r="AB119" s="2"/>
      <c r="AC119" s="2"/>
      <c r="AD119" s="2"/>
    </row>
    <row r="120" spans="11:30" ht="14.25" x14ac:dyDescent="0.2">
      <c r="K120" s="2"/>
      <c r="L120" s="2"/>
      <c r="M120" s="2"/>
      <c r="N120" s="2"/>
      <c r="O120" s="2"/>
      <c r="P120" s="2"/>
      <c r="Q120" s="2"/>
      <c r="R120" s="2"/>
      <c r="S120" s="2"/>
      <c r="T120" s="2"/>
      <c r="U120" s="2"/>
      <c r="V120" s="2"/>
      <c r="W120" s="2"/>
      <c r="X120" s="2"/>
      <c r="Y120" s="2"/>
      <c r="Z120" s="2"/>
      <c r="AA120" s="2"/>
      <c r="AB120" s="2"/>
      <c r="AC120" s="2"/>
      <c r="AD120" s="2"/>
    </row>
    <row r="121" spans="11:30" ht="14.25" x14ac:dyDescent="0.2">
      <c r="K121" s="2"/>
      <c r="L121" s="2"/>
      <c r="M121" s="2"/>
      <c r="N121" s="2"/>
      <c r="O121" s="2"/>
      <c r="P121" s="2"/>
      <c r="Q121" s="2"/>
      <c r="R121" s="2"/>
      <c r="S121" s="2"/>
      <c r="T121" s="2"/>
      <c r="U121" s="2"/>
      <c r="V121" s="2"/>
      <c r="W121" s="2"/>
      <c r="X121" s="2"/>
      <c r="Y121" s="2"/>
      <c r="Z121" s="2"/>
      <c r="AA121" s="2"/>
      <c r="AB121" s="2"/>
      <c r="AC121" s="2"/>
      <c r="AD121" s="2"/>
    </row>
    <row r="122" spans="11:30" ht="14.25" x14ac:dyDescent="0.2">
      <c r="K122" s="2"/>
      <c r="L122" s="2"/>
      <c r="M122" s="2"/>
      <c r="N122" s="2"/>
      <c r="O122" s="2"/>
      <c r="P122" s="2"/>
      <c r="Q122" s="2"/>
      <c r="R122" s="2"/>
      <c r="S122" s="2"/>
      <c r="T122" s="2"/>
      <c r="U122" s="2"/>
      <c r="V122" s="2"/>
      <c r="W122" s="2"/>
      <c r="X122" s="2"/>
      <c r="Y122" s="2"/>
      <c r="Z122" s="2"/>
      <c r="AA122" s="2"/>
      <c r="AB122" s="2"/>
      <c r="AC122" s="2"/>
      <c r="AD122" s="2"/>
    </row>
    <row r="123" spans="11:30" ht="14.25" x14ac:dyDescent="0.2">
      <c r="K123" s="2"/>
      <c r="L123" s="2"/>
      <c r="M123" s="2"/>
      <c r="N123" s="2"/>
      <c r="O123" s="2"/>
      <c r="P123" s="2"/>
      <c r="Q123" s="2"/>
      <c r="R123" s="2"/>
      <c r="S123" s="2"/>
      <c r="T123" s="2"/>
      <c r="U123" s="2"/>
      <c r="V123" s="2"/>
      <c r="W123" s="2"/>
      <c r="X123" s="2"/>
      <c r="Y123" s="2"/>
      <c r="Z123" s="2"/>
      <c r="AA123" s="2"/>
      <c r="AB123" s="2"/>
      <c r="AC123" s="2"/>
      <c r="AD123" s="2"/>
    </row>
    <row r="124" spans="11:30" ht="14.25" x14ac:dyDescent="0.2">
      <c r="K124" s="2"/>
      <c r="L124" s="2"/>
      <c r="M124" s="2"/>
      <c r="N124" s="2"/>
      <c r="O124" s="2"/>
      <c r="P124" s="2"/>
      <c r="Q124" s="2"/>
      <c r="R124" s="2"/>
      <c r="S124" s="2"/>
      <c r="T124" s="2"/>
      <c r="U124" s="2"/>
      <c r="V124" s="2"/>
      <c r="W124" s="2"/>
      <c r="X124" s="2"/>
      <c r="Y124" s="2"/>
      <c r="Z124" s="2"/>
      <c r="AA124" s="2"/>
      <c r="AB124" s="2"/>
      <c r="AC124" s="2"/>
      <c r="AD124" s="2"/>
    </row>
    <row r="125" spans="11:30" ht="14.25" x14ac:dyDescent="0.2">
      <c r="K125" s="2"/>
      <c r="L125" s="2"/>
      <c r="M125" s="2"/>
      <c r="N125" s="2"/>
      <c r="O125" s="2"/>
      <c r="P125" s="2"/>
      <c r="Q125" s="2"/>
      <c r="R125" s="2"/>
      <c r="S125" s="2"/>
      <c r="T125" s="2"/>
      <c r="U125" s="2"/>
      <c r="V125" s="2"/>
      <c r="W125" s="2"/>
      <c r="X125" s="2"/>
      <c r="Y125" s="2"/>
      <c r="Z125" s="2"/>
      <c r="AA125" s="2"/>
      <c r="AB125" s="2"/>
      <c r="AC125" s="2"/>
      <c r="AD125" s="2"/>
    </row>
    <row r="126" spans="11:30" ht="14.25" x14ac:dyDescent="0.2">
      <c r="K126" s="2"/>
      <c r="L126" s="2"/>
      <c r="M126" s="2"/>
      <c r="N126" s="2"/>
      <c r="O126" s="2"/>
      <c r="P126" s="2"/>
      <c r="Q126" s="2"/>
      <c r="R126" s="2"/>
      <c r="S126" s="2"/>
      <c r="T126" s="2"/>
      <c r="U126" s="2"/>
      <c r="V126" s="2"/>
      <c r="W126" s="2"/>
      <c r="X126" s="2"/>
      <c r="Y126" s="2"/>
      <c r="Z126" s="2"/>
      <c r="AA126" s="2"/>
      <c r="AB126" s="2"/>
      <c r="AC126" s="2"/>
      <c r="AD126" s="2"/>
    </row>
    <row r="127" spans="11:30" ht="14.25" x14ac:dyDescent="0.2">
      <c r="K127" s="2"/>
      <c r="L127" s="2"/>
      <c r="M127" s="2"/>
      <c r="N127" s="2"/>
      <c r="O127" s="2"/>
      <c r="P127" s="2"/>
      <c r="Q127" s="2"/>
      <c r="R127" s="2"/>
      <c r="S127" s="2"/>
      <c r="T127" s="2"/>
      <c r="U127" s="2"/>
      <c r="V127" s="2"/>
      <c r="W127" s="2"/>
      <c r="X127" s="2"/>
      <c r="Y127" s="2"/>
      <c r="Z127" s="2"/>
      <c r="AA127" s="2"/>
      <c r="AB127" s="2"/>
      <c r="AC127" s="2"/>
      <c r="AD127" s="2"/>
    </row>
    <row r="128" spans="11:30" ht="14.25" x14ac:dyDescent="0.2">
      <c r="K128" s="2"/>
      <c r="L128" s="2"/>
      <c r="M128" s="2"/>
      <c r="N128" s="2"/>
      <c r="O128" s="2"/>
      <c r="P128" s="2"/>
      <c r="Q128" s="2"/>
      <c r="R128" s="2"/>
      <c r="S128" s="2"/>
      <c r="T128" s="2"/>
      <c r="U128" s="2"/>
      <c r="V128" s="2"/>
      <c r="W128" s="2"/>
      <c r="X128" s="2"/>
      <c r="Y128" s="2"/>
      <c r="Z128" s="2"/>
      <c r="AA128" s="2"/>
      <c r="AB128" s="2"/>
      <c r="AC128" s="2"/>
      <c r="AD128" s="2"/>
    </row>
    <row r="129" spans="11:30" ht="14.25" x14ac:dyDescent="0.2">
      <c r="K129" s="2"/>
      <c r="L129" s="2"/>
      <c r="M129" s="2"/>
      <c r="N129" s="2"/>
      <c r="O129" s="2"/>
      <c r="P129" s="2"/>
      <c r="Q129" s="2"/>
      <c r="R129" s="2"/>
      <c r="S129" s="2"/>
      <c r="T129" s="2"/>
      <c r="U129" s="2"/>
      <c r="V129" s="2"/>
      <c r="W129" s="2"/>
      <c r="X129" s="2"/>
      <c r="Y129" s="2"/>
      <c r="Z129" s="2"/>
      <c r="AA129" s="2"/>
      <c r="AB129" s="2"/>
      <c r="AC129" s="2"/>
      <c r="AD129" s="2"/>
    </row>
    <row r="130" spans="11:30" ht="14.25" x14ac:dyDescent="0.2">
      <c r="K130" s="2"/>
      <c r="L130" s="2"/>
      <c r="M130" s="2"/>
      <c r="N130" s="2"/>
      <c r="O130" s="2"/>
      <c r="P130" s="2"/>
      <c r="Q130" s="2"/>
      <c r="R130" s="2"/>
      <c r="S130" s="2"/>
      <c r="T130" s="2"/>
      <c r="U130" s="2"/>
      <c r="V130" s="2"/>
      <c r="W130" s="2"/>
      <c r="X130" s="2"/>
      <c r="Y130" s="2"/>
      <c r="Z130" s="2"/>
      <c r="AA130" s="2"/>
      <c r="AB130" s="2"/>
      <c r="AC130" s="2"/>
      <c r="AD130" s="2"/>
    </row>
    <row r="131" spans="11:30" ht="14.25" x14ac:dyDescent="0.2">
      <c r="K131" s="2"/>
      <c r="L131" s="2"/>
      <c r="M131" s="2"/>
      <c r="N131" s="2"/>
      <c r="O131" s="2"/>
      <c r="P131" s="2"/>
      <c r="Q131" s="2"/>
      <c r="R131" s="2"/>
      <c r="S131" s="2"/>
      <c r="T131" s="2"/>
      <c r="U131" s="2"/>
      <c r="V131" s="2"/>
      <c r="W131" s="2"/>
      <c r="X131" s="2"/>
      <c r="Y131" s="2"/>
      <c r="Z131" s="2"/>
      <c r="AA131" s="2"/>
      <c r="AB131" s="2"/>
      <c r="AC131" s="2"/>
      <c r="AD131" s="2"/>
    </row>
    <row r="132" spans="11:30" ht="14.25" x14ac:dyDescent="0.2">
      <c r="K132" s="2"/>
      <c r="L132" s="2"/>
      <c r="M132" s="2"/>
      <c r="N132" s="2"/>
      <c r="O132" s="2"/>
      <c r="P132" s="2"/>
      <c r="Q132" s="2"/>
      <c r="R132" s="2"/>
      <c r="S132" s="2"/>
      <c r="T132" s="2"/>
      <c r="U132" s="2"/>
      <c r="V132" s="2"/>
      <c r="W132" s="2"/>
      <c r="X132" s="2"/>
      <c r="Y132" s="2"/>
      <c r="Z132" s="2"/>
      <c r="AA132" s="2"/>
      <c r="AB132" s="2"/>
      <c r="AC132" s="2"/>
      <c r="AD132" s="2"/>
    </row>
    <row r="133" spans="11:30" ht="14.25" x14ac:dyDescent="0.2">
      <c r="K133" s="2"/>
      <c r="L133" s="2"/>
      <c r="M133" s="2"/>
      <c r="N133" s="2"/>
      <c r="O133" s="2"/>
      <c r="P133" s="2"/>
      <c r="Q133" s="2"/>
      <c r="R133" s="2"/>
      <c r="S133" s="2"/>
      <c r="T133" s="2"/>
      <c r="U133" s="2"/>
      <c r="V133" s="2"/>
      <c r="W133" s="2"/>
      <c r="X133" s="2"/>
      <c r="Y133" s="2"/>
      <c r="Z133" s="2"/>
      <c r="AA133" s="2"/>
      <c r="AB133" s="2"/>
      <c r="AC133" s="2"/>
      <c r="AD133" s="2"/>
    </row>
    <row r="134" spans="11:30" ht="14.25" x14ac:dyDescent="0.2">
      <c r="K134" s="2"/>
      <c r="L134" s="2"/>
      <c r="M134" s="2"/>
      <c r="N134" s="2"/>
      <c r="O134" s="2"/>
      <c r="P134" s="2"/>
      <c r="Q134" s="2"/>
      <c r="R134" s="2"/>
      <c r="S134" s="2"/>
      <c r="T134" s="2"/>
      <c r="U134" s="2"/>
      <c r="V134" s="2"/>
      <c r="W134" s="2"/>
      <c r="X134" s="2"/>
      <c r="Y134" s="2"/>
      <c r="Z134" s="2"/>
      <c r="AA134" s="2"/>
      <c r="AB134" s="2"/>
      <c r="AC134" s="2"/>
      <c r="AD134" s="2"/>
    </row>
    <row r="135" spans="11:30" ht="14.25" x14ac:dyDescent="0.2">
      <c r="K135" s="2"/>
      <c r="L135" s="2"/>
      <c r="M135" s="2"/>
      <c r="N135" s="2"/>
      <c r="O135" s="2"/>
      <c r="P135" s="2"/>
      <c r="Q135" s="2"/>
      <c r="R135" s="2"/>
      <c r="S135" s="2"/>
      <c r="T135" s="2"/>
      <c r="U135" s="2"/>
      <c r="V135" s="2"/>
      <c r="W135" s="2"/>
      <c r="X135" s="2"/>
      <c r="Y135" s="2"/>
      <c r="Z135" s="2"/>
      <c r="AA135" s="2"/>
      <c r="AB135" s="2"/>
      <c r="AC135" s="2"/>
      <c r="AD135" s="2"/>
    </row>
    <row r="136" spans="11:30" ht="14.25" x14ac:dyDescent="0.2">
      <c r="K136" s="2"/>
      <c r="L136" s="2"/>
      <c r="M136" s="2"/>
      <c r="N136" s="2"/>
      <c r="O136" s="2"/>
      <c r="P136" s="2"/>
      <c r="Q136" s="2"/>
      <c r="R136" s="2"/>
      <c r="S136" s="2"/>
      <c r="T136" s="2"/>
      <c r="U136" s="2"/>
      <c r="V136" s="2"/>
      <c r="W136" s="2"/>
      <c r="X136" s="2"/>
      <c r="Y136" s="2"/>
      <c r="Z136" s="2"/>
      <c r="AA136" s="2"/>
      <c r="AB136" s="2"/>
      <c r="AC136" s="2"/>
      <c r="AD136" s="2"/>
    </row>
    <row r="137" spans="11:30" ht="14.25" x14ac:dyDescent="0.2">
      <c r="K137" s="2"/>
      <c r="L137" s="2"/>
      <c r="M137" s="2"/>
      <c r="N137" s="2"/>
      <c r="O137" s="2"/>
      <c r="P137" s="2"/>
      <c r="Q137" s="2"/>
      <c r="R137" s="2"/>
      <c r="S137" s="2"/>
      <c r="T137" s="2"/>
      <c r="U137" s="2"/>
      <c r="V137" s="2"/>
      <c r="W137" s="2"/>
      <c r="X137" s="2"/>
      <c r="Y137" s="2"/>
      <c r="Z137" s="2"/>
      <c r="AA137" s="2"/>
      <c r="AB137" s="2"/>
      <c r="AC137" s="2"/>
      <c r="AD137" s="2"/>
    </row>
    <row r="138" spans="11:30" ht="14.25" x14ac:dyDescent="0.2">
      <c r="K138" s="2"/>
      <c r="L138" s="2"/>
      <c r="M138" s="2"/>
      <c r="N138" s="2"/>
      <c r="O138" s="2"/>
      <c r="P138" s="2"/>
      <c r="Q138" s="2"/>
      <c r="R138" s="2"/>
      <c r="S138" s="2"/>
      <c r="T138" s="2"/>
      <c r="U138" s="2"/>
      <c r="V138" s="2"/>
      <c r="W138" s="2"/>
      <c r="X138" s="2"/>
      <c r="Y138" s="2"/>
      <c r="Z138" s="2"/>
      <c r="AA138" s="2"/>
      <c r="AB138" s="2"/>
      <c r="AC138" s="2"/>
      <c r="AD138" s="2"/>
    </row>
    <row r="139" spans="11:30" ht="14.25" x14ac:dyDescent="0.2">
      <c r="K139" s="2"/>
      <c r="L139" s="2"/>
      <c r="M139" s="2"/>
      <c r="N139" s="2"/>
      <c r="O139" s="2"/>
      <c r="P139" s="2"/>
      <c r="Q139" s="2"/>
      <c r="R139" s="2"/>
      <c r="S139" s="2"/>
      <c r="T139" s="2"/>
      <c r="U139" s="2"/>
      <c r="V139" s="2"/>
      <c r="W139" s="2"/>
      <c r="X139" s="2"/>
      <c r="Y139" s="2"/>
      <c r="Z139" s="2"/>
      <c r="AA139" s="2"/>
      <c r="AB139" s="2"/>
      <c r="AC139" s="2"/>
      <c r="AD139" s="2"/>
    </row>
    <row r="140" spans="11:30" ht="14.25" x14ac:dyDescent="0.2">
      <c r="K140" s="2"/>
      <c r="L140" s="2"/>
      <c r="M140" s="2"/>
      <c r="N140" s="2"/>
      <c r="O140" s="2"/>
      <c r="P140" s="2"/>
      <c r="Q140" s="2"/>
      <c r="R140" s="2"/>
      <c r="S140" s="2"/>
      <c r="T140" s="2"/>
      <c r="U140" s="2"/>
      <c r="V140" s="2"/>
      <c r="W140" s="2"/>
      <c r="X140" s="2"/>
      <c r="Y140" s="2"/>
      <c r="Z140" s="2"/>
      <c r="AA140" s="2"/>
      <c r="AB140" s="2"/>
      <c r="AC140" s="2"/>
      <c r="AD140" s="2"/>
    </row>
    <row r="141" spans="11:30" ht="14.25" x14ac:dyDescent="0.2">
      <c r="K141" s="2"/>
      <c r="L141" s="2"/>
      <c r="M141" s="2"/>
      <c r="N141" s="2"/>
      <c r="O141" s="2"/>
      <c r="P141" s="2"/>
      <c r="Q141" s="2"/>
      <c r="R141" s="2"/>
      <c r="S141" s="2"/>
      <c r="T141" s="2"/>
      <c r="U141" s="2"/>
      <c r="V141" s="2"/>
      <c r="W141" s="2"/>
      <c r="X141" s="2"/>
      <c r="Y141" s="2"/>
      <c r="Z141" s="2"/>
      <c r="AA141" s="2"/>
      <c r="AB141" s="2"/>
      <c r="AC141" s="2"/>
      <c r="AD141" s="2"/>
    </row>
    <row r="142" spans="11:30" ht="14.25" x14ac:dyDescent="0.2">
      <c r="K142" s="2"/>
      <c r="L142" s="2"/>
      <c r="M142" s="2"/>
      <c r="N142" s="2"/>
      <c r="O142" s="2"/>
      <c r="P142" s="2"/>
      <c r="Q142" s="2"/>
      <c r="R142" s="2"/>
      <c r="S142" s="2"/>
      <c r="T142" s="2"/>
      <c r="U142" s="2"/>
      <c r="V142" s="2"/>
      <c r="W142" s="2"/>
      <c r="X142" s="2"/>
      <c r="Y142" s="2"/>
      <c r="Z142" s="2"/>
      <c r="AA142" s="2"/>
      <c r="AB142" s="2"/>
      <c r="AC142" s="2"/>
      <c r="AD142" s="2"/>
    </row>
    <row r="143" spans="11:30" ht="14.25" x14ac:dyDescent="0.2">
      <c r="K143" s="2"/>
      <c r="L143" s="2"/>
      <c r="M143" s="2"/>
      <c r="N143" s="2"/>
      <c r="O143" s="2"/>
      <c r="P143" s="2"/>
      <c r="Q143" s="2"/>
      <c r="R143" s="2"/>
      <c r="S143" s="2"/>
      <c r="T143" s="2"/>
      <c r="U143" s="2"/>
      <c r="V143" s="2"/>
      <c r="W143" s="2"/>
      <c r="X143" s="2"/>
      <c r="Y143" s="2"/>
      <c r="Z143" s="2"/>
      <c r="AA143" s="2"/>
      <c r="AB143" s="2"/>
      <c r="AC143" s="2"/>
      <c r="AD143" s="2"/>
    </row>
    <row r="144" spans="11:30" ht="14.25" x14ac:dyDescent="0.2">
      <c r="K144" s="2"/>
      <c r="L144" s="2"/>
      <c r="M144" s="2"/>
      <c r="N144" s="2"/>
      <c r="O144" s="2"/>
      <c r="P144" s="2"/>
      <c r="Q144" s="2"/>
      <c r="R144" s="2"/>
      <c r="S144" s="2"/>
      <c r="T144" s="2"/>
      <c r="U144" s="2"/>
      <c r="V144" s="2"/>
      <c r="W144" s="2"/>
      <c r="X144" s="2"/>
      <c r="Y144" s="2"/>
      <c r="Z144" s="2"/>
      <c r="AA144" s="2"/>
      <c r="AB144" s="2"/>
      <c r="AC144" s="2"/>
      <c r="AD144" s="2"/>
    </row>
    <row r="145" spans="11:30" ht="14.25" x14ac:dyDescent="0.2">
      <c r="K145" s="2"/>
      <c r="L145" s="2"/>
      <c r="M145" s="2"/>
      <c r="N145" s="2"/>
      <c r="O145" s="2"/>
      <c r="P145" s="2"/>
      <c r="Q145" s="2"/>
      <c r="R145" s="2"/>
      <c r="S145" s="2"/>
      <c r="T145" s="2"/>
      <c r="U145" s="2"/>
      <c r="V145" s="2"/>
      <c r="W145" s="2"/>
      <c r="X145" s="2"/>
      <c r="Y145" s="2"/>
      <c r="Z145" s="2"/>
      <c r="AA145" s="2"/>
      <c r="AB145" s="2"/>
      <c r="AC145" s="2"/>
      <c r="AD145" s="2"/>
    </row>
    <row r="146" spans="11:30" ht="14.25" x14ac:dyDescent="0.2">
      <c r="K146" s="2"/>
      <c r="L146" s="2"/>
      <c r="M146" s="2"/>
      <c r="N146" s="2"/>
      <c r="O146" s="2"/>
      <c r="P146" s="2"/>
      <c r="Q146" s="2"/>
      <c r="R146" s="2"/>
      <c r="S146" s="2"/>
      <c r="T146" s="2"/>
      <c r="U146" s="2"/>
      <c r="V146" s="2"/>
      <c r="W146" s="2"/>
      <c r="X146" s="2"/>
      <c r="Y146" s="2"/>
      <c r="Z146" s="2"/>
      <c r="AA146" s="2"/>
      <c r="AB146" s="2"/>
      <c r="AC146" s="2"/>
      <c r="AD146" s="2"/>
    </row>
    <row r="147" spans="11:30" ht="14.25" x14ac:dyDescent="0.2">
      <c r="K147" s="2"/>
      <c r="L147" s="2"/>
      <c r="M147" s="2"/>
      <c r="N147" s="2"/>
      <c r="O147" s="2"/>
      <c r="P147" s="2"/>
      <c r="Q147" s="2"/>
      <c r="R147" s="2"/>
      <c r="S147" s="2"/>
      <c r="T147" s="2"/>
      <c r="U147" s="2"/>
      <c r="V147" s="2"/>
      <c r="W147" s="2"/>
      <c r="X147" s="2"/>
      <c r="Y147" s="2"/>
      <c r="Z147" s="2"/>
      <c r="AA147" s="2"/>
      <c r="AB147" s="2"/>
      <c r="AC147" s="2"/>
      <c r="AD147" s="2"/>
    </row>
    <row r="148" spans="11:30" ht="14.25" x14ac:dyDescent="0.2">
      <c r="K148" s="2"/>
      <c r="L148" s="2"/>
      <c r="M148" s="2"/>
      <c r="N148" s="2"/>
      <c r="O148" s="2"/>
      <c r="P148" s="2"/>
      <c r="Q148" s="2"/>
      <c r="R148" s="2"/>
      <c r="S148" s="2"/>
      <c r="T148" s="2"/>
      <c r="U148" s="2"/>
      <c r="V148" s="2"/>
      <c r="W148" s="2"/>
      <c r="X148" s="2"/>
      <c r="Y148" s="2"/>
      <c r="Z148" s="2"/>
      <c r="AA148" s="2"/>
      <c r="AB148" s="2"/>
      <c r="AC148" s="2"/>
      <c r="AD148" s="2"/>
    </row>
    <row r="149" spans="11:30" ht="14.25" x14ac:dyDescent="0.2">
      <c r="K149" s="2"/>
      <c r="L149" s="2"/>
      <c r="M149" s="2"/>
      <c r="N149" s="2"/>
      <c r="O149" s="2"/>
      <c r="P149" s="2"/>
      <c r="Q149" s="2"/>
      <c r="R149" s="2"/>
      <c r="S149" s="2"/>
      <c r="T149" s="2"/>
      <c r="U149" s="2"/>
      <c r="V149" s="2"/>
      <c r="W149" s="2"/>
      <c r="X149" s="2"/>
      <c r="Y149" s="2"/>
      <c r="Z149" s="2"/>
      <c r="AA149" s="2"/>
      <c r="AB149" s="2"/>
      <c r="AC149" s="2"/>
      <c r="AD149" s="2"/>
    </row>
    <row r="150" spans="11:30" ht="14.25" x14ac:dyDescent="0.2">
      <c r="K150" s="2"/>
      <c r="L150" s="2"/>
      <c r="M150" s="2"/>
      <c r="N150" s="2"/>
      <c r="O150" s="2"/>
      <c r="P150" s="2"/>
      <c r="Q150" s="2"/>
      <c r="R150" s="2"/>
      <c r="S150" s="2"/>
      <c r="T150" s="2"/>
      <c r="U150" s="2"/>
      <c r="V150" s="2"/>
      <c r="W150" s="2"/>
      <c r="X150" s="2"/>
      <c r="Y150" s="2"/>
      <c r="Z150" s="2"/>
      <c r="AA150" s="2"/>
      <c r="AB150" s="2"/>
      <c r="AC150" s="2"/>
      <c r="AD150" s="2"/>
    </row>
    <row r="151" spans="11:30" ht="14.25" x14ac:dyDescent="0.2">
      <c r="K151" s="2"/>
      <c r="L151" s="2"/>
      <c r="M151" s="2"/>
      <c r="N151" s="2"/>
      <c r="O151" s="2"/>
      <c r="P151" s="2"/>
      <c r="Q151" s="2"/>
      <c r="R151" s="2"/>
      <c r="S151" s="2"/>
      <c r="T151" s="2"/>
      <c r="U151" s="2"/>
      <c r="V151" s="2"/>
      <c r="W151" s="2"/>
      <c r="X151" s="2"/>
      <c r="Y151" s="2"/>
      <c r="Z151" s="2"/>
      <c r="AA151" s="2"/>
      <c r="AB151" s="2"/>
      <c r="AC151" s="2"/>
      <c r="AD151" s="2"/>
    </row>
    <row r="152" spans="11:30" ht="14.25" x14ac:dyDescent="0.2">
      <c r="K152" s="2"/>
      <c r="L152" s="2"/>
      <c r="M152" s="2"/>
      <c r="N152" s="2"/>
      <c r="O152" s="2"/>
      <c r="P152" s="2"/>
      <c r="Q152" s="2"/>
      <c r="R152" s="2"/>
      <c r="S152" s="2"/>
      <c r="T152" s="2"/>
      <c r="U152" s="2"/>
      <c r="V152" s="2"/>
      <c r="W152" s="2"/>
      <c r="X152" s="2"/>
      <c r="Y152" s="2"/>
      <c r="Z152" s="2"/>
      <c r="AA152" s="2"/>
      <c r="AB152" s="2"/>
      <c r="AC152" s="2"/>
      <c r="AD152" s="2"/>
    </row>
    <row r="153" spans="11:30" ht="14.25" x14ac:dyDescent="0.2">
      <c r="K153" s="2"/>
      <c r="L153" s="2"/>
      <c r="M153" s="2"/>
      <c r="N153" s="2"/>
      <c r="O153" s="2"/>
      <c r="P153" s="2"/>
      <c r="Q153" s="2"/>
      <c r="R153" s="2"/>
      <c r="S153" s="2"/>
      <c r="T153" s="2"/>
      <c r="U153" s="2"/>
      <c r="V153" s="2"/>
      <c r="W153" s="2"/>
      <c r="X153" s="2"/>
      <c r="Y153" s="2"/>
      <c r="Z153" s="2"/>
      <c r="AA153" s="2"/>
      <c r="AB153" s="2"/>
      <c r="AC153" s="2"/>
      <c r="AD153" s="2"/>
    </row>
    <row r="154" spans="11:30" ht="14.25" x14ac:dyDescent="0.2">
      <c r="K154" s="2"/>
      <c r="L154" s="2"/>
      <c r="M154" s="2"/>
      <c r="N154" s="2"/>
      <c r="O154" s="2"/>
      <c r="P154" s="2"/>
      <c r="Q154" s="2"/>
      <c r="R154" s="2"/>
      <c r="S154" s="2"/>
      <c r="T154" s="2"/>
      <c r="U154" s="2"/>
      <c r="V154" s="2"/>
      <c r="W154" s="2"/>
      <c r="X154" s="2"/>
      <c r="Y154" s="2"/>
      <c r="Z154" s="2"/>
      <c r="AA154" s="2"/>
      <c r="AB154" s="2"/>
      <c r="AC154" s="2"/>
      <c r="AD154" s="2"/>
    </row>
    <row r="155" spans="11:30" ht="14.25" x14ac:dyDescent="0.2">
      <c r="K155" s="2"/>
      <c r="L155" s="2"/>
      <c r="M155" s="2"/>
      <c r="N155" s="2"/>
      <c r="O155" s="2"/>
      <c r="P155" s="2"/>
      <c r="Q155" s="2"/>
      <c r="R155" s="2"/>
      <c r="S155" s="2"/>
      <c r="T155" s="2"/>
      <c r="U155" s="2"/>
      <c r="V155" s="2"/>
      <c r="W155" s="2"/>
      <c r="X155" s="2"/>
      <c r="Y155" s="2"/>
      <c r="Z155" s="2"/>
      <c r="AA155" s="2"/>
      <c r="AB155" s="2"/>
      <c r="AC155" s="2"/>
      <c r="AD155" s="2"/>
    </row>
    <row r="156" spans="11:30" ht="14.25" x14ac:dyDescent="0.2">
      <c r="K156" s="2"/>
      <c r="L156" s="2"/>
      <c r="M156" s="2"/>
      <c r="N156" s="2"/>
      <c r="O156" s="2"/>
      <c r="P156" s="2"/>
      <c r="Q156" s="2"/>
      <c r="R156" s="2"/>
      <c r="S156" s="2"/>
      <c r="T156" s="2"/>
      <c r="U156" s="2"/>
      <c r="V156" s="2"/>
      <c r="W156" s="2"/>
      <c r="X156" s="2"/>
      <c r="Y156" s="2"/>
      <c r="Z156" s="2"/>
      <c r="AA156" s="2"/>
      <c r="AB156" s="2"/>
      <c r="AC156" s="2"/>
      <c r="AD156" s="2"/>
    </row>
    <row r="157" spans="11:30" ht="14.25" x14ac:dyDescent="0.2">
      <c r="K157" s="2"/>
      <c r="L157" s="2"/>
      <c r="M157" s="2"/>
      <c r="N157" s="2"/>
      <c r="O157" s="2"/>
      <c r="P157" s="2"/>
      <c r="Q157" s="2"/>
      <c r="R157" s="2"/>
      <c r="S157" s="2"/>
      <c r="T157" s="2"/>
      <c r="U157" s="2"/>
      <c r="V157" s="2"/>
      <c r="W157" s="2"/>
      <c r="X157" s="2"/>
      <c r="Y157" s="2"/>
      <c r="Z157" s="2"/>
      <c r="AA157" s="2"/>
      <c r="AB157" s="2"/>
      <c r="AC157" s="2"/>
      <c r="AD157" s="2"/>
    </row>
    <row r="158" spans="11:30" ht="14.25" x14ac:dyDescent="0.2">
      <c r="K158" s="2"/>
      <c r="L158" s="2"/>
      <c r="M158" s="2"/>
      <c r="N158" s="2"/>
      <c r="O158" s="2"/>
      <c r="P158" s="2"/>
      <c r="Q158" s="2"/>
      <c r="R158" s="2"/>
      <c r="S158" s="2"/>
      <c r="T158" s="2"/>
      <c r="U158" s="2"/>
      <c r="V158" s="2"/>
      <c r="W158" s="2"/>
      <c r="X158" s="2"/>
      <c r="Y158" s="2"/>
      <c r="Z158" s="2"/>
      <c r="AA158" s="2"/>
      <c r="AB158" s="2"/>
      <c r="AC158" s="2"/>
      <c r="AD158" s="2"/>
    </row>
    <row r="159" spans="11:30" ht="14.25" x14ac:dyDescent="0.2">
      <c r="K159" s="2"/>
      <c r="L159" s="2"/>
      <c r="M159" s="2"/>
      <c r="N159" s="2"/>
      <c r="O159" s="2"/>
      <c r="P159" s="2"/>
      <c r="Q159" s="2"/>
      <c r="R159" s="2"/>
      <c r="S159" s="2"/>
      <c r="T159" s="2"/>
      <c r="U159" s="2"/>
      <c r="V159" s="2"/>
      <c r="W159" s="2"/>
      <c r="X159" s="2"/>
      <c r="Y159" s="2"/>
      <c r="Z159" s="2"/>
      <c r="AA159" s="2"/>
      <c r="AB159" s="2"/>
      <c r="AC159" s="2"/>
      <c r="AD159" s="2"/>
    </row>
    <row r="160" spans="11:30" ht="14.25" x14ac:dyDescent="0.2">
      <c r="K160" s="2"/>
      <c r="L160" s="2"/>
      <c r="M160" s="2"/>
      <c r="N160" s="2"/>
      <c r="O160" s="2"/>
      <c r="P160" s="2"/>
      <c r="Q160" s="2"/>
      <c r="R160" s="2"/>
      <c r="S160" s="2"/>
      <c r="T160" s="2"/>
      <c r="U160" s="2"/>
      <c r="V160" s="2"/>
      <c r="W160" s="2"/>
      <c r="X160" s="2"/>
      <c r="Y160" s="2"/>
      <c r="Z160" s="2"/>
      <c r="AA160" s="2"/>
      <c r="AB160" s="2"/>
      <c r="AC160" s="2"/>
      <c r="AD160" s="2"/>
    </row>
    <row r="161" spans="11:30" ht="14.25" x14ac:dyDescent="0.2">
      <c r="K161" s="2"/>
      <c r="L161" s="2"/>
      <c r="M161" s="2"/>
      <c r="N161" s="2"/>
      <c r="O161" s="2"/>
      <c r="P161" s="2"/>
      <c r="Q161" s="2"/>
      <c r="R161" s="2"/>
      <c r="S161" s="2"/>
      <c r="T161" s="2"/>
      <c r="U161" s="2"/>
      <c r="V161" s="2"/>
      <c r="W161" s="2"/>
      <c r="X161" s="2"/>
      <c r="Y161" s="2"/>
      <c r="Z161" s="2"/>
      <c r="AA161" s="2"/>
      <c r="AB161" s="2"/>
      <c r="AC161" s="2"/>
      <c r="AD161" s="2"/>
    </row>
  </sheetData>
  <mergeCells count="1">
    <mergeCell ref="A2:C2"/>
  </mergeCells>
  <phoneticPr fontId="2" type="noConversion"/>
  <hyperlinks>
    <hyperlink ref="A2" location="Index!A1" display="Back to Index" xr:uid="{97FE3B74-BEB3-422C-AB43-DB1B17BE13E3}"/>
  </hyperlinks>
  <pageMargins left="0.75" right="0.75" top="0.69" bottom="1" header="0.5" footer="0.5"/>
  <pageSetup scale="74" orientation="portrait" r:id="rId1"/>
  <headerFooter alignWithMargins="0">
    <oddFooter>&amp;L&amp;F &amp;A&amp;R&amp;D&amp;T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1244-047B-4601-84D3-4DCC3738659A}">
  <sheetPr>
    <pageSetUpPr fitToPage="1"/>
  </sheetPr>
  <dimension ref="A1:D65"/>
  <sheetViews>
    <sheetView showGridLines="0" zoomScale="85" zoomScaleNormal="85" workbookViewId="0">
      <pane xSplit="2" ySplit="6" topLeftCell="C7" activePane="bottomRight" state="frozen"/>
      <selection pane="topRight" activeCell="L13" sqref="L13"/>
      <selection pane="bottomLeft" activeCell="L13" sqref="L13"/>
      <selection pane="bottomRight"/>
    </sheetView>
  </sheetViews>
  <sheetFormatPr defaultColWidth="9.42578125" defaultRowHeight="14.25" x14ac:dyDescent="0.2"/>
  <cols>
    <col min="1" max="1" width="3.42578125" style="21" customWidth="1"/>
    <col min="2" max="2" width="75.42578125" style="21" customWidth="1"/>
    <col min="3" max="3" width="11.42578125" style="30" customWidth="1"/>
    <col min="4" max="4" width="11.42578125" style="10" customWidth="1"/>
    <col min="5" max="16384" width="9.42578125" style="21"/>
  </cols>
  <sheetData>
    <row r="1" spans="1:4" s="19" customFormat="1" ht="20.25" x14ac:dyDescent="0.3">
      <c r="A1" s="3" t="s">
        <v>31</v>
      </c>
      <c r="B1" s="4"/>
      <c r="C1" s="31"/>
      <c r="D1" s="34"/>
    </row>
    <row r="2" spans="1:4" s="20" customFormat="1" ht="15" x14ac:dyDescent="0.25">
      <c r="A2" s="781" t="s">
        <v>33</v>
      </c>
      <c r="B2" s="781"/>
      <c r="C2" s="781"/>
      <c r="D2" s="35"/>
    </row>
    <row r="3" spans="1:4" ht="15" thickBot="1" x14ac:dyDescent="0.25">
      <c r="A3" s="2"/>
      <c r="B3" s="2"/>
    </row>
    <row r="4" spans="1:4" ht="15.75" thickTop="1" x14ac:dyDescent="0.2">
      <c r="A4" s="2"/>
      <c r="B4" s="786" t="s">
        <v>297</v>
      </c>
      <c r="C4" s="76" t="s">
        <v>367</v>
      </c>
      <c r="D4" s="76" t="s">
        <v>367</v>
      </c>
    </row>
    <row r="5" spans="1:4" ht="15.75" thickBot="1" x14ac:dyDescent="0.25">
      <c r="A5" s="2"/>
      <c r="B5" s="787"/>
      <c r="C5" s="77">
        <v>2025</v>
      </c>
      <c r="D5" s="77">
        <v>2024</v>
      </c>
    </row>
    <row r="6" spans="1:4" ht="15.75" thickTop="1" x14ac:dyDescent="0.2">
      <c r="A6" s="2"/>
      <c r="B6" s="48"/>
      <c r="C6" s="32"/>
      <c r="D6" s="36"/>
    </row>
    <row r="7" spans="1:4" ht="15" x14ac:dyDescent="0.25">
      <c r="A7" s="2"/>
      <c r="B7" s="49" t="s">
        <v>298</v>
      </c>
      <c r="C7" s="24"/>
      <c r="D7" s="8"/>
    </row>
    <row r="8" spans="1:4" ht="15" x14ac:dyDescent="0.25">
      <c r="A8" s="2"/>
      <c r="B8" s="26" t="s">
        <v>44</v>
      </c>
      <c r="C8" s="88">
        <v>12999</v>
      </c>
      <c r="D8" s="9">
        <v>12884</v>
      </c>
    </row>
    <row r="9" spans="1:4" ht="15" x14ac:dyDescent="0.25">
      <c r="A9" s="2"/>
      <c r="B9" s="48"/>
      <c r="C9" s="69"/>
      <c r="D9" s="9"/>
    </row>
    <row r="10" spans="1:4" ht="15" x14ac:dyDescent="0.25">
      <c r="A10" s="2"/>
      <c r="B10" s="49" t="s">
        <v>299</v>
      </c>
      <c r="C10" s="69"/>
      <c r="D10" s="9"/>
    </row>
    <row r="11" spans="1:4" ht="15" x14ac:dyDescent="0.25">
      <c r="A11" s="2"/>
      <c r="B11" s="26" t="s">
        <v>8</v>
      </c>
      <c r="C11" s="88">
        <v>791</v>
      </c>
      <c r="D11" s="9">
        <v>622</v>
      </c>
    </row>
    <row r="12" spans="1:4" ht="15" x14ac:dyDescent="0.25">
      <c r="A12" s="2"/>
      <c r="B12" s="26" t="s">
        <v>42</v>
      </c>
      <c r="C12" s="88">
        <v>23</v>
      </c>
      <c r="D12" s="9">
        <v>23</v>
      </c>
    </row>
    <row r="13" spans="1:4" ht="15" x14ac:dyDescent="0.25">
      <c r="A13" s="2"/>
      <c r="B13" s="26" t="s">
        <v>300</v>
      </c>
      <c r="C13" s="69">
        <v>824</v>
      </c>
      <c r="D13" s="9">
        <v>806</v>
      </c>
    </row>
    <row r="14" spans="1:4" ht="15" x14ac:dyDescent="0.25">
      <c r="A14" s="2"/>
      <c r="B14" s="26" t="s">
        <v>301</v>
      </c>
      <c r="C14" s="88">
        <v>-262</v>
      </c>
      <c r="D14" s="9">
        <v>-250</v>
      </c>
    </row>
    <row r="15" spans="1:4" ht="15" x14ac:dyDescent="0.25">
      <c r="A15" s="2"/>
      <c r="B15" s="26" t="s">
        <v>459</v>
      </c>
      <c r="C15" s="88">
        <v>-1</v>
      </c>
      <c r="D15" s="9">
        <v>0</v>
      </c>
    </row>
    <row r="16" spans="1:4" ht="28.5" x14ac:dyDescent="0.25">
      <c r="A16" s="2"/>
      <c r="B16" s="26" t="s">
        <v>460</v>
      </c>
      <c r="C16" s="88">
        <v>15</v>
      </c>
      <c r="D16" s="9">
        <v>-85</v>
      </c>
    </row>
    <row r="17" spans="1:4" ht="15" x14ac:dyDescent="0.25">
      <c r="A17" s="2"/>
      <c r="B17" s="26" t="s">
        <v>88</v>
      </c>
      <c r="C17" s="88">
        <v>-100</v>
      </c>
      <c r="D17" s="9">
        <v>-163</v>
      </c>
    </row>
    <row r="18" spans="1:4" ht="15" x14ac:dyDescent="0.25">
      <c r="A18" s="2"/>
      <c r="B18" s="27" t="s">
        <v>302</v>
      </c>
      <c r="C18" s="88">
        <v>203</v>
      </c>
      <c r="D18" s="9">
        <v>177</v>
      </c>
    </row>
    <row r="19" spans="1:4" ht="15" x14ac:dyDescent="0.25">
      <c r="A19" s="2"/>
      <c r="B19" s="27" t="s">
        <v>303</v>
      </c>
      <c r="C19" s="89">
        <v>39</v>
      </c>
      <c r="D19" s="9">
        <v>43</v>
      </c>
    </row>
    <row r="20" spans="1:4" ht="15" x14ac:dyDescent="0.25">
      <c r="A20" s="2"/>
      <c r="B20" s="55" t="s">
        <v>304</v>
      </c>
      <c r="C20" s="88">
        <v>22</v>
      </c>
      <c r="D20" s="9">
        <v>23</v>
      </c>
    </row>
    <row r="21" spans="1:4" s="22" customFormat="1" ht="15" x14ac:dyDescent="0.25">
      <c r="A21" s="1"/>
      <c r="B21" s="50" t="s">
        <v>305</v>
      </c>
      <c r="C21" s="91">
        <v>14553</v>
      </c>
      <c r="D21" s="81">
        <v>14080</v>
      </c>
    </row>
    <row r="22" spans="1:4" ht="15" x14ac:dyDescent="0.25">
      <c r="A22" s="2"/>
      <c r="B22" s="51"/>
      <c r="C22" s="88"/>
      <c r="D22" s="68"/>
    </row>
    <row r="23" spans="1:4" ht="15" x14ac:dyDescent="0.25">
      <c r="A23" s="2"/>
      <c r="B23" s="49" t="s">
        <v>497</v>
      </c>
      <c r="C23" s="69"/>
      <c r="D23" s="68"/>
    </row>
    <row r="24" spans="1:4" ht="15" x14ac:dyDescent="0.25">
      <c r="A24" s="2"/>
      <c r="B24" s="26" t="s">
        <v>280</v>
      </c>
      <c r="C24" s="92">
        <v>20686</v>
      </c>
      <c r="D24" s="9">
        <v>15898</v>
      </c>
    </row>
    <row r="25" spans="1:4" ht="15" x14ac:dyDescent="0.25">
      <c r="A25" s="2"/>
      <c r="B25" s="26" t="s">
        <v>281</v>
      </c>
      <c r="C25" s="92">
        <v>58856</v>
      </c>
      <c r="D25" s="9">
        <v>23075</v>
      </c>
    </row>
    <row r="26" spans="1:4" ht="15" x14ac:dyDescent="0.25">
      <c r="A26" s="2"/>
      <c r="B26" s="26" t="s">
        <v>461</v>
      </c>
      <c r="C26" s="93">
        <v>-1190</v>
      </c>
      <c r="D26" s="9">
        <v>19026</v>
      </c>
    </row>
    <row r="27" spans="1:4" ht="15" x14ac:dyDescent="0.25">
      <c r="A27" s="2"/>
      <c r="B27" s="26" t="s">
        <v>374</v>
      </c>
      <c r="C27" s="92">
        <v>11773</v>
      </c>
      <c r="D27" s="9">
        <v>19485</v>
      </c>
    </row>
    <row r="28" spans="1:4" ht="15" x14ac:dyDescent="0.25">
      <c r="A28" s="2"/>
      <c r="B28" s="48"/>
      <c r="C28" s="92"/>
      <c r="D28" s="82"/>
    </row>
    <row r="29" spans="1:4" ht="15" x14ac:dyDescent="0.25">
      <c r="A29" s="2"/>
      <c r="B29" s="49" t="s">
        <v>498</v>
      </c>
      <c r="C29" s="92"/>
      <c r="D29" s="82"/>
    </row>
    <row r="30" spans="1:4" ht="15" x14ac:dyDescent="0.25">
      <c r="A30" s="2"/>
      <c r="B30" s="26" t="s">
        <v>306</v>
      </c>
      <c r="C30" s="92">
        <v>1671</v>
      </c>
      <c r="D30" s="9">
        <v>-997</v>
      </c>
    </row>
    <row r="31" spans="1:4" ht="15" x14ac:dyDescent="0.25">
      <c r="A31" s="2"/>
      <c r="B31" s="26" t="s">
        <v>270</v>
      </c>
      <c r="C31" s="92">
        <v>-28746</v>
      </c>
      <c r="D31" s="9">
        <v>-10000</v>
      </c>
    </row>
    <row r="32" spans="1:4" ht="15" x14ac:dyDescent="0.25">
      <c r="A32" s="2"/>
      <c r="B32" s="26" t="s">
        <v>271</v>
      </c>
      <c r="C32" s="92">
        <v>-16645</v>
      </c>
      <c r="D32" s="9">
        <v>-11830</v>
      </c>
    </row>
    <row r="33" spans="1:4" ht="15" x14ac:dyDescent="0.25">
      <c r="A33" s="2"/>
      <c r="B33" s="52" t="s">
        <v>272</v>
      </c>
      <c r="C33" s="92">
        <v>-25863</v>
      </c>
      <c r="D33" s="9">
        <v>-22016</v>
      </c>
    </row>
    <row r="34" spans="1:4" ht="15" x14ac:dyDescent="0.25">
      <c r="A34" s="2"/>
      <c r="B34" s="26" t="s">
        <v>307</v>
      </c>
      <c r="C34" s="92">
        <v>-23317</v>
      </c>
      <c r="D34" s="9">
        <v>-13582</v>
      </c>
    </row>
    <row r="35" spans="1:4" ht="15" x14ac:dyDescent="0.25">
      <c r="A35" s="2"/>
      <c r="B35" s="26" t="s">
        <v>462</v>
      </c>
      <c r="C35" s="92">
        <v>879</v>
      </c>
      <c r="D35" s="9">
        <v>-16360</v>
      </c>
    </row>
    <row r="36" spans="1:4" ht="6.95" customHeight="1" x14ac:dyDescent="0.25">
      <c r="A36" s="2"/>
      <c r="B36" s="26"/>
      <c r="C36" s="92"/>
      <c r="D36" s="82"/>
    </row>
    <row r="37" spans="1:4" ht="15" x14ac:dyDescent="0.25">
      <c r="A37" s="2"/>
      <c r="B37" s="53" t="s">
        <v>463</v>
      </c>
      <c r="C37" s="744">
        <v>-1633</v>
      </c>
      <c r="D37" s="9">
        <v>-1438</v>
      </c>
    </row>
    <row r="38" spans="1:4" ht="17.45" customHeight="1" x14ac:dyDescent="0.25">
      <c r="A38" s="2"/>
      <c r="B38" s="29" t="s">
        <v>375</v>
      </c>
      <c r="C38" s="95">
        <v>11024</v>
      </c>
      <c r="D38" s="83">
        <v>15341</v>
      </c>
    </row>
    <row r="39" spans="1:4" ht="15" x14ac:dyDescent="0.25">
      <c r="A39" s="2"/>
      <c r="B39" s="48"/>
      <c r="C39" s="92"/>
      <c r="D39" s="82"/>
    </row>
    <row r="40" spans="1:4" ht="15" x14ac:dyDescent="0.25">
      <c r="A40" s="2"/>
      <c r="B40" s="49" t="s">
        <v>308</v>
      </c>
      <c r="C40" s="92"/>
      <c r="D40" s="82"/>
    </row>
    <row r="41" spans="1:4" ht="15" x14ac:dyDescent="0.25">
      <c r="A41" s="2"/>
      <c r="B41" s="26" t="s">
        <v>376</v>
      </c>
      <c r="C41" s="92">
        <v>117</v>
      </c>
      <c r="D41" s="9">
        <v>122</v>
      </c>
    </row>
    <row r="42" spans="1:4" ht="15" x14ac:dyDescent="0.25">
      <c r="A42" s="2"/>
      <c r="B42" s="26" t="s">
        <v>464</v>
      </c>
      <c r="C42" s="92">
        <v>-426</v>
      </c>
      <c r="D42" s="9">
        <v>-517</v>
      </c>
    </row>
    <row r="43" spans="1:4" ht="15" x14ac:dyDescent="0.25">
      <c r="A43" s="2"/>
      <c r="B43" s="26" t="s">
        <v>490</v>
      </c>
      <c r="C43" s="92">
        <v>80</v>
      </c>
      <c r="D43" s="9">
        <v>86</v>
      </c>
    </row>
    <row r="44" spans="1:4" ht="15" x14ac:dyDescent="0.25">
      <c r="A44" s="2"/>
      <c r="B44" s="26" t="s">
        <v>309</v>
      </c>
      <c r="C44" s="96">
        <v>14</v>
      </c>
      <c r="D44" s="9">
        <v>134</v>
      </c>
    </row>
    <row r="45" spans="1:4" ht="15" x14ac:dyDescent="0.25">
      <c r="A45" s="2"/>
      <c r="B45" s="26" t="s">
        <v>465</v>
      </c>
      <c r="C45" s="92">
        <v>32</v>
      </c>
      <c r="D45" s="9">
        <v>0</v>
      </c>
    </row>
    <row r="46" spans="1:4" ht="15" x14ac:dyDescent="0.25">
      <c r="A46" s="2"/>
      <c r="B46" s="26" t="s">
        <v>310</v>
      </c>
      <c r="C46" s="92">
        <v>-525</v>
      </c>
      <c r="D46" s="9">
        <v>-916</v>
      </c>
    </row>
    <row r="47" spans="1:4" ht="15" x14ac:dyDescent="0.25">
      <c r="A47" s="2"/>
      <c r="B47" s="100" t="s">
        <v>466</v>
      </c>
      <c r="C47" s="92">
        <v>0</v>
      </c>
      <c r="D47" s="9">
        <v>-152</v>
      </c>
    </row>
    <row r="48" spans="1:4" s="28" customFormat="1" ht="18" customHeight="1" x14ac:dyDescent="0.2">
      <c r="A48" s="54"/>
      <c r="B48" s="99" t="s">
        <v>480</v>
      </c>
      <c r="C48" s="97">
        <v>-708</v>
      </c>
      <c r="D48" s="84">
        <v>-1243</v>
      </c>
    </row>
    <row r="49" spans="1:4" ht="15" x14ac:dyDescent="0.25">
      <c r="A49" s="2"/>
      <c r="B49" s="51"/>
      <c r="C49" s="92"/>
      <c r="D49" s="82"/>
    </row>
    <row r="50" spans="1:4" ht="15" x14ac:dyDescent="0.25">
      <c r="A50" s="2"/>
      <c r="B50" s="50" t="s">
        <v>311</v>
      </c>
      <c r="C50" s="92"/>
      <c r="D50" s="85"/>
    </row>
    <row r="51" spans="1:4" ht="15" x14ac:dyDescent="0.25">
      <c r="A51" s="2"/>
      <c r="B51" s="27" t="s">
        <v>312</v>
      </c>
      <c r="C51" s="96">
        <v>-40</v>
      </c>
      <c r="D51" s="9">
        <v>-43</v>
      </c>
    </row>
    <row r="52" spans="1:4" ht="15" x14ac:dyDescent="0.25">
      <c r="A52" s="2"/>
      <c r="B52" s="26" t="s">
        <v>313</v>
      </c>
      <c r="C52" s="96">
        <v>-26</v>
      </c>
      <c r="D52" s="68">
        <v>-213</v>
      </c>
    </row>
    <row r="53" spans="1:4" ht="16.5" x14ac:dyDescent="0.25">
      <c r="A53" s="2"/>
      <c r="B53" s="27" t="s">
        <v>314</v>
      </c>
      <c r="C53" s="92">
        <v>-8151</v>
      </c>
      <c r="D53" s="68">
        <v>-6083</v>
      </c>
    </row>
    <row r="54" spans="1:4" ht="15" x14ac:dyDescent="0.25">
      <c r="A54" s="2"/>
      <c r="B54" s="26" t="s">
        <v>377</v>
      </c>
      <c r="C54" s="92">
        <v>-251</v>
      </c>
      <c r="D54" s="68">
        <v>-265</v>
      </c>
    </row>
    <row r="55" spans="1:4" ht="15" x14ac:dyDescent="0.25">
      <c r="A55" s="2"/>
      <c r="B55" s="26" t="s">
        <v>467</v>
      </c>
      <c r="C55" s="92">
        <v>-2341</v>
      </c>
      <c r="D55" s="68">
        <v>0</v>
      </c>
    </row>
    <row r="56" spans="1:4" ht="15" x14ac:dyDescent="0.25">
      <c r="A56" s="2"/>
      <c r="B56" s="26" t="s">
        <v>468</v>
      </c>
      <c r="C56" s="92">
        <v>-371</v>
      </c>
      <c r="D56" s="68">
        <v>0</v>
      </c>
    </row>
    <row r="57" spans="1:4" ht="18" customHeight="1" x14ac:dyDescent="0.25">
      <c r="A57" s="2"/>
      <c r="B57" s="79" t="s">
        <v>315</v>
      </c>
      <c r="C57" s="98">
        <v>-11180</v>
      </c>
      <c r="D57" s="73">
        <v>-6604</v>
      </c>
    </row>
    <row r="58" spans="1:4" ht="18.75" customHeight="1" x14ac:dyDescent="0.25">
      <c r="A58" s="2"/>
      <c r="B58" s="78" t="s">
        <v>316</v>
      </c>
      <c r="C58" s="94">
        <v>-106</v>
      </c>
      <c r="D58" s="68">
        <v>-17</v>
      </c>
    </row>
    <row r="59" spans="1:4" ht="18" customHeight="1" x14ac:dyDescent="0.25">
      <c r="A59" s="2"/>
      <c r="B59" s="50" t="s">
        <v>317</v>
      </c>
      <c r="C59" s="88">
        <v>-970</v>
      </c>
      <c r="D59" s="81">
        <v>7477</v>
      </c>
    </row>
    <row r="60" spans="1:4" ht="18" customHeight="1" x14ac:dyDescent="0.25">
      <c r="A60" s="2"/>
      <c r="B60" s="29" t="s">
        <v>481</v>
      </c>
      <c r="C60" s="87">
        <v>47352</v>
      </c>
      <c r="D60" s="72">
        <v>39875</v>
      </c>
    </row>
    <row r="61" spans="1:4" ht="18.75" customHeight="1" thickBot="1" x14ac:dyDescent="0.3">
      <c r="A61" s="2"/>
      <c r="B61" s="80" t="s">
        <v>482</v>
      </c>
      <c r="C61" s="90">
        <v>46382</v>
      </c>
      <c r="D61" s="74">
        <v>47352</v>
      </c>
    </row>
    <row r="62" spans="1:4" ht="15" thickTop="1" x14ac:dyDescent="0.2">
      <c r="A62" s="2"/>
      <c r="B62" s="23"/>
      <c r="C62" s="33"/>
      <c r="D62" s="37"/>
    </row>
    <row r="63" spans="1:4" s="11" customFormat="1" x14ac:dyDescent="0.2">
      <c r="B63" s="532" t="s">
        <v>491</v>
      </c>
      <c r="C63" s="10"/>
      <c r="D63" s="25"/>
    </row>
    <row r="64" spans="1:4" s="11" customFormat="1" x14ac:dyDescent="0.2">
      <c r="B64" s="70" t="s">
        <v>318</v>
      </c>
      <c r="C64" s="10"/>
      <c r="D64" s="25"/>
    </row>
    <row r="65" spans="1:2" x14ac:dyDescent="0.2">
      <c r="A65" s="75"/>
      <c r="B65" s="86"/>
    </row>
  </sheetData>
  <mergeCells count="2">
    <mergeCell ref="A2:C2"/>
    <mergeCell ref="B4:B5"/>
  </mergeCells>
  <phoneticPr fontId="2" type="noConversion"/>
  <hyperlinks>
    <hyperlink ref="A2" location="Index!A1" display="Back to Index" xr:uid="{3631BCE8-D27C-4678-B99A-9C7C478F8290}"/>
  </hyperlinks>
  <pageMargins left="0.75" right="0.75" top="0.72" bottom="1" header="0.5" footer="0.5"/>
  <pageSetup scale="72" orientation="portrait" horizontalDpi="4294967295" verticalDpi="4294967295" r:id="rId1"/>
  <headerFooter alignWithMargins="0">
    <oddHeader>&amp;C&amp;A</oddHeader>
    <oddFooter>&amp;C&amp;Z&amp;F</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2FD5A-C003-4AD1-A11D-F1E41CE41064}">
  <sheetPr>
    <tabColor indexed="25"/>
    <pageSetUpPr fitToPage="1"/>
  </sheetPr>
  <dimension ref="A1:T33"/>
  <sheetViews>
    <sheetView showGridLines="0" zoomScale="85" zoomScaleNormal="85" workbookViewId="0">
      <pane ySplit="2" topLeftCell="A3" activePane="bottomLeft" state="frozen"/>
      <selection activeCell="L13" sqref="L13"/>
      <selection pane="bottomLeft"/>
    </sheetView>
  </sheetViews>
  <sheetFormatPr defaultRowHeight="12.75" x14ac:dyDescent="0.2"/>
  <sheetData>
    <row r="1" spans="1:20" s="4" customFormat="1" ht="20.25" x14ac:dyDescent="0.3">
      <c r="A1" s="3" t="s">
        <v>32</v>
      </c>
      <c r="D1" s="3"/>
      <c r="E1" s="3"/>
      <c r="F1" s="5"/>
      <c r="G1" s="5"/>
      <c r="H1" s="5"/>
      <c r="I1" s="5"/>
      <c r="J1" s="5"/>
      <c r="K1" s="5"/>
      <c r="L1" s="5"/>
      <c r="M1" s="5"/>
      <c r="N1" s="5"/>
      <c r="O1" s="5"/>
      <c r="P1" s="5"/>
      <c r="Q1" s="5"/>
      <c r="R1" s="5"/>
      <c r="S1" s="5"/>
      <c r="T1" s="5"/>
    </row>
    <row r="2" spans="1:20" s="6" customFormat="1" ht="15" x14ac:dyDescent="0.25">
      <c r="A2" s="781" t="s">
        <v>33</v>
      </c>
      <c r="B2" s="781"/>
      <c r="C2" s="781"/>
      <c r="O2" s="7"/>
      <c r="P2" s="7"/>
      <c r="T2" s="7"/>
    </row>
    <row r="4" spans="1:20" s="2" customFormat="1" ht="15" x14ac:dyDescent="0.25">
      <c r="A4" s="1" t="s">
        <v>319</v>
      </c>
    </row>
    <row r="5" spans="1:20" s="2" customFormat="1" ht="15" x14ac:dyDescent="0.25">
      <c r="A5" s="1" t="s">
        <v>469</v>
      </c>
    </row>
    <row r="6" spans="1:20" ht="15" x14ac:dyDescent="0.25">
      <c r="A6" s="1" t="s">
        <v>320</v>
      </c>
    </row>
    <row r="7" spans="1:20" ht="15" x14ac:dyDescent="0.25">
      <c r="A7" s="1" t="s">
        <v>470</v>
      </c>
    </row>
    <row r="8" spans="1:20" ht="15" x14ac:dyDescent="0.25">
      <c r="A8" s="1" t="s">
        <v>471</v>
      </c>
    </row>
    <row r="9" spans="1:20" s="2" customFormat="1" ht="15" x14ac:dyDescent="0.25">
      <c r="A9" s="1" t="s">
        <v>321</v>
      </c>
    </row>
    <row r="10" spans="1:20" s="2" customFormat="1" ht="15" x14ac:dyDescent="0.25">
      <c r="A10" s="1" t="s">
        <v>472</v>
      </c>
    </row>
    <row r="11" spans="1:20" s="2" customFormat="1" ht="15" x14ac:dyDescent="0.25">
      <c r="A11" s="1" t="s">
        <v>322</v>
      </c>
    </row>
    <row r="12" spans="1:20" s="2" customFormat="1" ht="15" x14ac:dyDescent="0.25">
      <c r="A12" s="1" t="s">
        <v>473</v>
      </c>
    </row>
    <row r="13" spans="1:20" ht="15" x14ac:dyDescent="0.25">
      <c r="A13" s="1" t="s">
        <v>323</v>
      </c>
    </row>
    <row r="14" spans="1:20" ht="15" x14ac:dyDescent="0.25">
      <c r="A14" s="1" t="s">
        <v>474</v>
      </c>
    </row>
    <row r="15" spans="1:20" ht="15" x14ac:dyDescent="0.25">
      <c r="A15" s="1" t="s">
        <v>324</v>
      </c>
    </row>
    <row r="16" spans="1:20" ht="15" x14ac:dyDescent="0.25">
      <c r="A16" s="1" t="s">
        <v>325</v>
      </c>
    </row>
    <row r="17" spans="1:1" ht="15" x14ac:dyDescent="0.25">
      <c r="A17" s="1" t="s">
        <v>326</v>
      </c>
    </row>
    <row r="18" spans="1:1" ht="15" x14ac:dyDescent="0.25">
      <c r="A18" s="1" t="s">
        <v>475</v>
      </c>
    </row>
    <row r="19" spans="1:1" ht="15" x14ac:dyDescent="0.25">
      <c r="A19" s="1" t="s">
        <v>476</v>
      </c>
    </row>
    <row r="20" spans="1:1" ht="15" x14ac:dyDescent="0.25">
      <c r="A20" s="1" t="s">
        <v>327</v>
      </c>
    </row>
    <row r="21" spans="1:1" ht="15" x14ac:dyDescent="0.25">
      <c r="A21" s="1" t="s">
        <v>477</v>
      </c>
    </row>
    <row r="33" ht="10.5" customHeight="1" x14ac:dyDescent="0.2"/>
  </sheetData>
  <mergeCells count="1">
    <mergeCell ref="A2:C2"/>
  </mergeCells>
  <phoneticPr fontId="2" type="noConversion"/>
  <hyperlinks>
    <hyperlink ref="A2" location="Index!A1" display="Back to Index" xr:uid="{D82EBE9F-4768-421A-BD55-B7FEF7BBB843}"/>
  </hyperlinks>
  <pageMargins left="0.75" right="0.75" top="1" bottom="1" header="0.5" footer="0.5"/>
  <pageSetup scale="7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D64AB-679C-4DC6-9F7C-F4DD35A38844}">
  <dimension ref="A1:K55"/>
  <sheetViews>
    <sheetView zoomScale="90" zoomScaleNormal="90" workbookViewId="0">
      <pane xSplit="1" ySplit="3" topLeftCell="B4" activePane="bottomRight" state="frozen"/>
      <selection pane="topRight" activeCell="B1" sqref="B1"/>
      <selection pane="bottomLeft" activeCell="A4" sqref="A4"/>
      <selection pane="bottomRight" activeCell="K10" sqref="A1:K10"/>
    </sheetView>
  </sheetViews>
  <sheetFormatPr defaultColWidth="8.5703125" defaultRowHeight="12.75" outlineLevelRow="1" x14ac:dyDescent="0.2"/>
  <cols>
    <col min="1" max="1" width="34.42578125" style="67" bestFit="1" customWidth="1"/>
    <col min="2" max="16384" width="8.5703125" style="67"/>
  </cols>
  <sheetData>
    <row r="1" spans="1:11" s="57" customFormat="1" ht="20.25" x14ac:dyDescent="0.3">
      <c r="A1" s="56" t="s">
        <v>328</v>
      </c>
      <c r="C1" s="34"/>
      <c r="D1" s="34"/>
      <c r="E1" s="58"/>
      <c r="F1" s="59"/>
      <c r="G1" s="58"/>
      <c r="H1" s="60"/>
      <c r="I1" s="60"/>
      <c r="J1" s="60"/>
      <c r="K1" s="60"/>
    </row>
    <row r="2" spans="1:11" s="61" customFormat="1" ht="14.25" x14ac:dyDescent="0.2"/>
    <row r="3" spans="1:11" s="61" customFormat="1" ht="15" x14ac:dyDescent="0.25">
      <c r="A3" s="62" t="s">
        <v>329</v>
      </c>
      <c r="B3" s="62" t="s">
        <v>330</v>
      </c>
      <c r="C3" s="62" t="s">
        <v>331</v>
      </c>
      <c r="D3" s="62" t="s">
        <v>332</v>
      </c>
      <c r="E3" s="62" t="s">
        <v>333</v>
      </c>
      <c r="F3" s="62" t="s">
        <v>334</v>
      </c>
    </row>
    <row r="4" spans="1:11" s="61" customFormat="1" ht="15" x14ac:dyDescent="0.25">
      <c r="A4" s="62"/>
      <c r="B4" s="62"/>
      <c r="C4" s="62"/>
      <c r="D4" s="62"/>
      <c r="E4" s="62"/>
      <c r="F4" s="62"/>
    </row>
    <row r="5" spans="1:11" s="61" customFormat="1" ht="15" x14ac:dyDescent="0.25">
      <c r="A5" s="62" t="s">
        <v>37</v>
      </c>
    </row>
    <row r="6" spans="1:11" s="61" customFormat="1" ht="14.25" x14ac:dyDescent="0.2">
      <c r="A6" s="63" t="s">
        <v>335</v>
      </c>
      <c r="B6" s="64">
        <v>2482</v>
      </c>
      <c r="C6" s="64">
        <v>2303</v>
      </c>
      <c r="D6" s="64">
        <v>2171</v>
      </c>
      <c r="E6" s="64">
        <v>2120</v>
      </c>
      <c r="F6" s="64">
        <v>9076</v>
      </c>
      <c r="G6" s="64"/>
      <c r="H6" s="64"/>
    </row>
    <row r="7" spans="1:11" s="61" customFormat="1" ht="14.25" x14ac:dyDescent="0.2">
      <c r="A7" s="63" t="s">
        <v>336</v>
      </c>
      <c r="B7" s="64" t="e">
        <f>'1.Highlights'!#REF!</f>
        <v>#REF!</v>
      </c>
      <c r="C7" s="64" t="e">
        <f>'1.Highlights'!#REF!</f>
        <v>#REF!</v>
      </c>
      <c r="D7" s="64" t="e">
        <f>'1.Highlights'!#REF!</f>
        <v>#REF!</v>
      </c>
      <c r="E7" s="64" t="e">
        <f>'1.Highlights'!#REF!</f>
        <v>#REF!</v>
      </c>
      <c r="F7" s="64" t="e">
        <f>SUM(B7:E7)</f>
        <v>#REF!</v>
      </c>
      <c r="G7" s="64"/>
      <c r="H7" s="64"/>
    </row>
    <row r="8" spans="1:11" s="61" customFormat="1" ht="14.25" x14ac:dyDescent="0.2">
      <c r="A8" s="61" t="s">
        <v>337</v>
      </c>
      <c r="B8" s="64" t="e">
        <f>IF(AND(B7=0,B6=0),0,IF(OR(AND(B7&gt;0,B6&lt;=0),AND(B7&lt;0,B6&gt;=0)),"nm",IF(AND(B7&lt;0,B6&lt;0),IF(-(B7/B6-1)*100&lt;-100,"(&gt;100)",-(B7/B6-1)*100),IF((B7/B6-1)*100&gt;100,"&gt;100",(B7/B6-1)*100))))</f>
        <v>#REF!</v>
      </c>
      <c r="C8" s="64" t="e">
        <f>IF(AND(C7=0,C6=0),0,IF(OR(AND(C7&gt;0,C6&lt;=0),AND(C7&lt;0,C6&gt;=0)),"nm",IF(AND(C7&lt;0,C6&lt;0),IF(-(C7/C6-1)*100&lt;-100,"(&gt;100)",-(C7/C6-1)*100),IF((C7/C6-1)*100&gt;100,"&gt;100",(C7/C6-1)*100))))</f>
        <v>#REF!</v>
      </c>
      <c r="D8" s="64" t="e">
        <f>IF(AND(D7=0,D6=0),0,IF(OR(AND(D7&gt;0,D6&lt;=0),AND(D7&lt;0,D6&gt;=0)),"nm",IF(AND(D7&lt;0,D6&lt;0),IF(-(D7/D6-1)*100&lt;-100,"(&gt;100)",-(D7/D6-1)*100),IF((D7/D6-1)*100&gt;100,"&gt;100",(D7/D6-1)*100))))</f>
        <v>#REF!</v>
      </c>
      <c r="E8" s="64" t="e">
        <f>IF(AND(E7=0,E6=0),0,IF(OR(AND(E7&gt;0,E6&lt;=0),AND(E7&lt;0,E6&gt;=0)),"nm",IF(AND(E7&lt;0,E6&lt;0),IF(-(E7/E6-1)*100&lt;-100,"(&gt;100)",-(E7/E6-1)*100),IF((E7/E6-1)*100&gt;100,"&gt;100",(E7/E6-1)*100))))</f>
        <v>#REF!</v>
      </c>
      <c r="F8" s="64" t="e">
        <f>IF(AND(F7=0,F6=0),0,IF(OR(AND(F7&gt;0,F6&lt;=0),AND(F7&lt;0,F6&gt;=0)),"nm",IF(AND(F7&lt;0,F6&lt;0),IF(-(F7/F6-1)*100&lt;-100,"(&gt;100)",-(F7/F6-1)*100),IF((F7/F6-1)*100&gt;100,"&gt;100",(F7/F6-1)*100))))</f>
        <v>#REF!</v>
      </c>
      <c r="G8" s="64"/>
      <c r="H8" s="64"/>
    </row>
    <row r="9" spans="1:11" s="61" customFormat="1" ht="14.25" x14ac:dyDescent="0.2">
      <c r="B9" s="64"/>
      <c r="C9" s="64"/>
      <c r="D9" s="64"/>
      <c r="E9" s="64"/>
      <c r="F9" s="64"/>
      <c r="G9" s="64"/>
      <c r="H9" s="64"/>
    </row>
    <row r="10" spans="1:11" s="61" customFormat="1" ht="15" x14ac:dyDescent="0.25">
      <c r="A10" s="62" t="s">
        <v>6</v>
      </c>
      <c r="B10" s="64"/>
      <c r="C10" s="64"/>
      <c r="D10" s="64"/>
      <c r="E10" s="64"/>
      <c r="F10" s="64"/>
      <c r="G10" s="64"/>
      <c r="H10" s="64"/>
    </row>
    <row r="11" spans="1:11" s="61" customFormat="1" ht="14.25" x14ac:dyDescent="0.2">
      <c r="A11" s="63" t="str">
        <f>A6</f>
        <v>2020</v>
      </c>
      <c r="B11" s="64">
        <v>1544</v>
      </c>
      <c r="C11" s="64">
        <v>1423</v>
      </c>
      <c r="D11" s="64">
        <v>1406</v>
      </c>
      <c r="E11" s="64">
        <v>1143</v>
      </c>
      <c r="F11" s="64">
        <v>5516</v>
      </c>
      <c r="G11" s="64"/>
      <c r="H11" s="64"/>
    </row>
    <row r="12" spans="1:11" s="61" customFormat="1" ht="14.25" x14ac:dyDescent="0.2">
      <c r="A12" s="63" t="str">
        <f>A7</f>
        <v>2021</v>
      </c>
      <c r="B12" s="64" t="e">
        <f>SUM('1.Highlights'!#REF!)</f>
        <v>#REF!</v>
      </c>
      <c r="C12" s="64" t="e">
        <f>SUM('1.Highlights'!#REF!)</f>
        <v>#REF!</v>
      </c>
      <c r="D12" s="64" t="e">
        <f>SUM('1.Highlights'!#REF!)</f>
        <v>#REF!</v>
      </c>
      <c r="E12" s="64" t="e">
        <f>SUM('1.Highlights'!#REF!)</f>
        <v>#REF!</v>
      </c>
      <c r="F12" s="64" t="e">
        <f>SUM(B12:E12)</f>
        <v>#REF!</v>
      </c>
      <c r="G12" s="64"/>
      <c r="H12" s="64"/>
    </row>
    <row r="13" spans="1:11" s="61" customFormat="1" ht="14.25" x14ac:dyDescent="0.2">
      <c r="A13" s="61" t="s">
        <v>337</v>
      </c>
      <c r="B13" s="64" t="e">
        <f>IF(AND(B12=0,B11=0),0,IF(OR(AND(B12&gt;0,B11&lt;=0),AND(B12&lt;0,B11&gt;=0)),"nm",IF(AND(B12&lt;0,B11&lt;0),IF(-(B12/B11-1)*100&lt;-100,"(&gt;100)",-(B12/B11-1)*100),IF((B12/B11-1)*100&gt;100,"&gt;100",(B12/B11-1)*100))))</f>
        <v>#REF!</v>
      </c>
      <c r="C13" s="64" t="e">
        <f>IF(AND(C12=0,C11=0),0,IF(OR(AND(C12&gt;0,C11&lt;=0),AND(C12&lt;0,C11&gt;=0)),"nm",IF(AND(C12&lt;0,C11&lt;0),IF(-(C12/C11-1)*100&lt;-100,"(&gt;100)",-(C12/C11-1)*100),IF((C12/C11-1)*100&gt;100,"&gt;100",(C12/C11-1)*100))))</f>
        <v>#REF!</v>
      </c>
      <c r="D13" s="64" t="e">
        <f>IF(AND(D12=0,D11=0),0,IF(OR(AND(D12&gt;0,D11&lt;=0),AND(D12&lt;0,D11&gt;=0)),"nm",IF(AND(D12&lt;0,D11&lt;0),IF(-(D12/D11-1)*100&lt;-100,"(&gt;100)",-(D12/D11-1)*100),IF((D12/D11-1)*100&gt;100,"&gt;100",(D12/D11-1)*100))))</f>
        <v>#REF!</v>
      </c>
      <c r="E13" s="64" t="e">
        <f>IF(AND(E12=0,E11=0),0,IF(OR(AND(E12&gt;0,E11&lt;=0),AND(E12&lt;0,E11&gt;=0)),"nm",IF(AND(E12&lt;0,E11&lt;0),IF(-(E12/E11-1)*100&lt;-100,"(&gt;100)",-(E12/E11-1)*100),IF((E12/E11-1)*100&gt;100,"&gt;100",(E12/E11-1)*100))))</f>
        <v>#REF!</v>
      </c>
      <c r="F13" s="64" t="e">
        <f>IF(AND(F12=0,F11=0),0,IF(OR(AND(F12&gt;0,F11&lt;=0),AND(F12&lt;0,F11&gt;=0)),"nm",IF(AND(F12&lt;0,F11&lt;0),IF(-(F12/F11-1)*100&lt;-100,"(&gt;100)",-(F12/F11-1)*100),IF((F12/F11-1)*100&gt;100,"&gt;100",(F12/F11-1)*100))))</f>
        <v>#REF!</v>
      </c>
      <c r="G13" s="64"/>
      <c r="H13" s="64"/>
    </row>
    <row r="14" spans="1:11" s="61" customFormat="1" ht="14.25" x14ac:dyDescent="0.2">
      <c r="B14" s="64"/>
      <c r="C14" s="64"/>
      <c r="D14" s="64"/>
      <c r="E14" s="64"/>
      <c r="F14" s="64"/>
      <c r="G14" s="64"/>
      <c r="H14" s="64"/>
    </row>
    <row r="15" spans="1:11" s="61" customFormat="1" ht="15" x14ac:dyDescent="0.25">
      <c r="A15" s="62" t="s">
        <v>40</v>
      </c>
      <c r="B15" s="64"/>
      <c r="C15" s="64"/>
      <c r="D15" s="64"/>
      <c r="E15" s="64"/>
      <c r="F15" s="64"/>
      <c r="G15" s="64"/>
      <c r="H15" s="64"/>
    </row>
    <row r="16" spans="1:11" s="61" customFormat="1" ht="14.25" x14ac:dyDescent="0.2">
      <c r="A16" s="63" t="str">
        <f>A6</f>
        <v>2020</v>
      </c>
      <c r="B16" s="64">
        <v>4026</v>
      </c>
      <c r="C16" s="64">
        <v>3726</v>
      </c>
      <c r="D16" s="64">
        <v>3577</v>
      </c>
      <c r="E16" s="64">
        <v>3263</v>
      </c>
      <c r="F16" s="64">
        <v>14592</v>
      </c>
      <c r="G16" s="64"/>
      <c r="H16" s="64"/>
    </row>
    <row r="17" spans="1:8" s="61" customFormat="1" ht="14.25" x14ac:dyDescent="0.2">
      <c r="A17" s="63" t="str">
        <f>A7</f>
        <v>2021</v>
      </c>
      <c r="B17" s="64" t="e">
        <f>SUM(B7,B12)</f>
        <v>#REF!</v>
      </c>
      <c r="C17" s="64" t="e">
        <f>SUM(C7,C12)</f>
        <v>#REF!</v>
      </c>
      <c r="D17" s="64" t="e">
        <f>SUM(D7,D12)</f>
        <v>#REF!</v>
      </c>
      <c r="E17" s="64" t="e">
        <f>SUM(E7,E12)</f>
        <v>#REF!</v>
      </c>
      <c r="F17" s="64" t="e">
        <f>SUM(B17:E17)</f>
        <v>#REF!</v>
      </c>
      <c r="G17" s="64"/>
      <c r="H17" s="64"/>
    </row>
    <row r="18" spans="1:8" s="61" customFormat="1" ht="14.25" x14ac:dyDescent="0.2">
      <c r="A18" s="61" t="s">
        <v>337</v>
      </c>
      <c r="B18" s="64" t="e">
        <f>IF(AND(B17=0,B16=0),0,IF(OR(AND(B17&gt;0,B16&lt;=0),AND(B17&lt;0,B16&gt;=0)),"nm",IF(AND(B17&lt;0,B16&lt;0),IF(-(B17/B16-1)*100&lt;-100,"(&gt;100)",-(B17/B16-1)*100),IF((B17/B16-1)*100&gt;100,"&gt;100",(B17/B16-1)*100))))</f>
        <v>#REF!</v>
      </c>
      <c r="C18" s="64" t="e">
        <f>IF(AND(C17=0,C16=0),0,IF(OR(AND(C17&gt;0,C16&lt;=0),AND(C17&lt;0,C16&gt;=0)),"nm",IF(AND(C17&lt;0,C16&lt;0),IF(-(C17/C16-1)*100&lt;-100,"(&gt;100)",-(C17/C16-1)*100),IF((C17/C16-1)*100&gt;100,"&gt;100",(C17/C16-1)*100))))</f>
        <v>#REF!</v>
      </c>
      <c r="D18" s="64" t="e">
        <f>IF(AND(D17=0,D16=0),0,IF(OR(AND(D17&gt;0,D16&lt;=0),AND(D17&lt;0,D16&gt;=0)),"nm",IF(AND(D17&lt;0,D16&lt;0),IF(-(D17/D16-1)*100&lt;-100,"(&gt;100)",-(D17/D16-1)*100),IF((D17/D16-1)*100&gt;100,"&gt;100",(D17/D16-1)*100))))</f>
        <v>#REF!</v>
      </c>
      <c r="E18" s="64" t="e">
        <f>IF(AND(E17=0,E16=0),0,IF(OR(AND(E17&gt;0,E16&lt;=0),AND(E17&lt;0,E16&gt;=0)),"nm",IF(AND(E17&lt;0,E16&lt;0),IF(-(E17/E16-1)*100&lt;-100,"(&gt;100)",-(E17/E16-1)*100),IF((E17/E16-1)*100&gt;100,"&gt;100",(E17/E16-1)*100))))</f>
        <v>#REF!</v>
      </c>
      <c r="F18" s="64" t="e">
        <f>IF(AND(F17=0,F16=0),0,IF(OR(AND(F17&gt;0,F16&lt;=0),AND(F17&lt;0,F16&gt;=0)),"nm",IF(AND(F17&lt;0,F16&lt;0),IF(-(F17/F16-1)*100&lt;-100,"(&gt;100)",-(F17/F16-1)*100),IF((F17/F16-1)*100&gt;100,"&gt;100",(F17/F16-1)*100))))</f>
        <v>#REF!</v>
      </c>
      <c r="G18" s="64"/>
      <c r="H18" s="64"/>
    </row>
    <row r="19" spans="1:8" s="61" customFormat="1" ht="14.25" x14ac:dyDescent="0.2">
      <c r="B19" s="64"/>
      <c r="C19" s="64"/>
      <c r="D19" s="64"/>
      <c r="E19" s="64"/>
      <c r="F19" s="64"/>
      <c r="G19" s="64"/>
      <c r="H19" s="64"/>
    </row>
    <row r="20" spans="1:8" s="61" customFormat="1" ht="15" x14ac:dyDescent="0.25">
      <c r="A20" s="62" t="s">
        <v>7</v>
      </c>
      <c r="B20" s="64"/>
      <c r="C20" s="64"/>
      <c r="D20" s="64"/>
      <c r="E20" s="64"/>
      <c r="F20" s="64"/>
      <c r="G20" s="64"/>
      <c r="H20" s="64"/>
    </row>
    <row r="21" spans="1:8" s="61" customFormat="1" ht="14.25" x14ac:dyDescent="0.2">
      <c r="A21" s="63" t="str">
        <f>A6</f>
        <v>2020</v>
      </c>
      <c r="B21" s="64">
        <v>1556</v>
      </c>
      <c r="C21" s="64">
        <v>1483</v>
      </c>
      <c r="D21" s="64">
        <v>1539</v>
      </c>
      <c r="E21" s="64">
        <v>1580</v>
      </c>
      <c r="F21" s="64">
        <v>6158</v>
      </c>
      <c r="G21" s="64"/>
      <c r="H21" s="64"/>
    </row>
    <row r="22" spans="1:8" s="61" customFormat="1" ht="14.25" x14ac:dyDescent="0.2">
      <c r="A22" s="63" t="str">
        <f>A7</f>
        <v>2021</v>
      </c>
      <c r="B22" s="64" t="e">
        <f>'1.Highlights'!#REF!</f>
        <v>#REF!</v>
      </c>
      <c r="C22" s="64" t="e">
        <f>'1.Highlights'!#REF!</f>
        <v>#REF!</v>
      </c>
      <c r="D22" s="64" t="e">
        <f>'1.Highlights'!#REF!</f>
        <v>#REF!</v>
      </c>
      <c r="E22" s="64" t="e">
        <f>'1.Highlights'!#REF!</f>
        <v>#REF!</v>
      </c>
      <c r="F22" s="64" t="e">
        <f>SUM(B22:E22)</f>
        <v>#REF!</v>
      </c>
      <c r="G22" s="64"/>
      <c r="H22" s="64"/>
    </row>
    <row r="23" spans="1:8" s="61" customFormat="1" ht="14.25" x14ac:dyDescent="0.2">
      <c r="A23" s="61" t="s">
        <v>337</v>
      </c>
      <c r="B23" s="64" t="e">
        <f>IF(AND(B22=0,B21=0),0,IF(OR(AND(B22&gt;0,B21&lt;=0),AND(B22&lt;0,B21&gt;=0)),"nm",IF(AND(B22&lt;0,B21&lt;0),IF(-(B22/B21-1)*100&lt;-100,"(&gt;100)",-(B22/B21-1)*100),IF((B22/B21-1)*100&gt;100,"&gt;100",(B22/B21-1)*100))))</f>
        <v>#REF!</v>
      </c>
      <c r="C23" s="64" t="e">
        <f>IF(AND(C22=0,C21=0),0,IF(OR(AND(C22&gt;0,C21&lt;=0),AND(C22&lt;0,C21&gt;=0)),"nm",IF(AND(C22&lt;0,C21&lt;0),IF(-(C22/C21-1)*100&lt;-100,"(&gt;100)",-(C22/C21-1)*100),IF((C22/C21-1)*100&gt;100,"&gt;100",(C22/C21-1)*100))))</f>
        <v>#REF!</v>
      </c>
      <c r="D23" s="64" t="e">
        <f>IF(AND(D22=0,D21=0),0,IF(OR(AND(D22&gt;0,D21&lt;=0),AND(D22&lt;0,D21&gt;=0)),"nm",IF(AND(D22&lt;0,D21&lt;0),IF(-(D22/D21-1)*100&lt;-100,"(&gt;100)",-(D22/D21-1)*100),IF((D22/D21-1)*100&gt;100,"&gt;100",(D22/D21-1)*100))))</f>
        <v>#REF!</v>
      </c>
      <c r="E23" s="64" t="e">
        <f>IF(AND(E22=0,E21=0),0,IF(OR(AND(E22&gt;0,E21&lt;=0),AND(E22&lt;0,E21&gt;=0)),"nm",IF(AND(E22&lt;0,E21&lt;0),IF(-(E22/E21-1)*100&lt;-100,"(&gt;100)",-(E22/E21-1)*100),IF((E22/E21-1)*100&gt;100,"&gt;100",(E22/E21-1)*100))))</f>
        <v>#REF!</v>
      </c>
      <c r="F23" s="64" t="e">
        <f>IF(AND(F22=0,F21=0),0,IF(OR(AND(F22&gt;0,F21&lt;=0),AND(F22&lt;0,F21&gt;=0)),"nm",IF(AND(F22&lt;0,F21&lt;0),IF(-(F22/F21-1)*100&lt;-100,"(&gt;100)",-(F22/F21-1)*100),IF((F22/F21-1)*100&gt;100,"&gt;100",(F22/F21-1)*100))))</f>
        <v>#REF!</v>
      </c>
      <c r="G23" s="64"/>
      <c r="H23" s="64"/>
    </row>
    <row r="24" spans="1:8" s="61" customFormat="1" ht="14.25" x14ac:dyDescent="0.2">
      <c r="B24" s="64"/>
      <c r="C24" s="64"/>
      <c r="D24" s="64"/>
      <c r="E24" s="64"/>
      <c r="F24" s="64"/>
      <c r="G24" s="64"/>
      <c r="H24" s="64"/>
    </row>
    <row r="25" spans="1:8" s="61" customFormat="1" ht="15" x14ac:dyDescent="0.25">
      <c r="A25" s="62" t="s">
        <v>338</v>
      </c>
      <c r="B25" s="64"/>
      <c r="C25" s="64"/>
      <c r="D25" s="64"/>
      <c r="E25" s="64"/>
      <c r="F25" s="64"/>
      <c r="G25" s="64"/>
      <c r="H25" s="64"/>
    </row>
    <row r="26" spans="1:8" s="61" customFormat="1" ht="14.25" x14ac:dyDescent="0.2">
      <c r="A26" s="63" t="str">
        <f>A6</f>
        <v>2020</v>
      </c>
      <c r="B26" s="64">
        <v>1086</v>
      </c>
      <c r="C26" s="64">
        <v>849</v>
      </c>
      <c r="D26" s="64">
        <v>554</v>
      </c>
      <c r="E26" s="64">
        <v>577</v>
      </c>
      <c r="F26" s="64">
        <v>3066</v>
      </c>
      <c r="G26" s="64"/>
      <c r="H26" s="64"/>
    </row>
    <row r="27" spans="1:8" s="61" customFormat="1" ht="14.25" x14ac:dyDescent="0.2">
      <c r="A27" s="63" t="str">
        <f>A7</f>
        <v>2021</v>
      </c>
      <c r="B27" s="64" t="e">
        <f>'1.Highlights'!#REF!</f>
        <v>#REF!</v>
      </c>
      <c r="C27" s="64" t="e">
        <f>'1.Highlights'!#REF!</f>
        <v>#REF!</v>
      </c>
      <c r="D27" s="64" t="e">
        <f>'1.Highlights'!#REF!</f>
        <v>#REF!</v>
      </c>
      <c r="E27" s="64" t="e">
        <f>'1.Highlights'!#REF!</f>
        <v>#REF!</v>
      </c>
      <c r="F27" s="64" t="e">
        <f>SUM(B27:E27)</f>
        <v>#REF!</v>
      </c>
      <c r="G27" s="64"/>
      <c r="H27" s="64"/>
    </row>
    <row r="28" spans="1:8" s="61" customFormat="1" ht="14.25" x14ac:dyDescent="0.2">
      <c r="A28" s="61" t="s">
        <v>337</v>
      </c>
      <c r="B28" s="64" t="e">
        <f>IF(AND(B27=0,B26=0),0,IF(OR(AND(B27&gt;0,B26&lt;=0),AND(B27&lt;0,B26&gt;=0)),"nm",IF(AND(B27&lt;0,B26&lt;0),IF(-(B27/B26-1)*100&lt;-100,"(&gt;100)",-(B27/B26-1)*100),IF((B27/B26-1)*100&gt;100,"&gt;100",(B27/B26-1)*100))))</f>
        <v>#REF!</v>
      </c>
      <c r="C28" s="65" t="e">
        <f>IF(AND(C27=0,C26=0),0,IF(OR(AND(C27&gt;0,C26&lt;=0),AND(C27&lt;0,C26&gt;=0)),"nm",IF(AND(C27&lt;0,C26&lt;0),IF(-(C27/C26-1)*100&lt;-100,"(&gt;100)",-(C27/C26-1)*100),IF((C27/C26-1)*100&gt;100,"&gt;100",(C27/C26-1)*100))))</f>
        <v>#REF!</v>
      </c>
      <c r="D28" s="65" t="e">
        <f>IF(AND(D27=0,D26=0),0,IF(OR(AND(D27&gt;0,D26&lt;=0),AND(D27&lt;0,D26&gt;=0)),"nm",IF(AND(D27&lt;0,D26&lt;0),IF(-(D27/D26-1)*100&lt;-100,"(&gt;100)",-(D27/D26-1)*100),IF((D27/D26-1)*100&gt;100,"&gt;100",(D27/D26-1)*100))))</f>
        <v>#REF!</v>
      </c>
      <c r="E28" s="64" t="e">
        <f>IF(AND(E27=0,E26=0),0,IF(OR(AND(E27&gt;0,E26&lt;=0),AND(E27&lt;0,E26&gt;=0)),"nm",IF(AND(E27&lt;0,E26&lt;0),IF(-(E27/E26-1)*100&lt;-100,"(&gt;100)",-(E27/E26-1)*100),IF((E27/E26-1)*100&gt;100,"&gt;100",(E27/E26-1)*100))))</f>
        <v>#REF!</v>
      </c>
      <c r="F28" s="64" t="e">
        <f>IF(AND(F27=0,F26=0),0,IF(OR(AND(F27&gt;0,F26&lt;=0),AND(F27&lt;0,F26&gt;=0)),"nm",IF(AND(F27&lt;0,F26&lt;0),IF(-(F27/F26-1)*100&lt;-100,"(&gt;100)",-(F27/F26-1)*100),IF((F27/F26-1)*100&gt;100,"&gt;100",(F27/F26-1)*100))))</f>
        <v>#REF!</v>
      </c>
      <c r="G28" s="64"/>
      <c r="H28" s="64"/>
    </row>
    <row r="29" spans="1:8" s="61" customFormat="1" ht="14.25" x14ac:dyDescent="0.2">
      <c r="B29" s="64"/>
      <c r="C29" s="64"/>
      <c r="D29" s="64"/>
      <c r="E29" s="64"/>
      <c r="F29" s="64"/>
      <c r="G29" s="64"/>
      <c r="H29" s="64"/>
    </row>
    <row r="30" spans="1:8" s="61" customFormat="1" ht="15" x14ac:dyDescent="0.25">
      <c r="A30" s="62" t="s">
        <v>44</v>
      </c>
      <c r="G30" s="64"/>
      <c r="H30" s="64"/>
    </row>
    <row r="31" spans="1:8" s="61" customFormat="1" ht="14.25" x14ac:dyDescent="0.2">
      <c r="A31" s="63" t="str">
        <f>A6</f>
        <v>2020</v>
      </c>
      <c r="B31" s="64">
        <v>1384</v>
      </c>
      <c r="C31" s="64">
        <v>1394</v>
      </c>
      <c r="D31" s="64">
        <v>1484</v>
      </c>
      <c r="E31" s="64">
        <v>1106</v>
      </c>
      <c r="F31" s="64">
        <v>5368</v>
      </c>
      <c r="G31" s="64"/>
      <c r="H31" s="64"/>
    </row>
    <row r="32" spans="1:8" s="61" customFormat="1" ht="14.25" x14ac:dyDescent="0.2">
      <c r="A32" s="63" t="str">
        <f>A7</f>
        <v>2021</v>
      </c>
      <c r="B32" s="64" t="e">
        <f>B17-B22-B27</f>
        <v>#REF!</v>
      </c>
      <c r="C32" s="64" t="e">
        <f>C17-C22-C27</f>
        <v>#REF!</v>
      </c>
      <c r="D32" s="64" t="e">
        <f>D17-D22-D27</f>
        <v>#REF!</v>
      </c>
      <c r="E32" s="64" t="e">
        <f>E17-E22-E27</f>
        <v>#REF!</v>
      </c>
      <c r="F32" s="64" t="e">
        <f>SUM(B32:E32)</f>
        <v>#REF!</v>
      </c>
      <c r="G32" s="64"/>
      <c r="H32" s="64"/>
    </row>
    <row r="33" spans="1:8" s="61" customFormat="1" ht="14.25" x14ac:dyDescent="0.2">
      <c r="A33" s="61" t="s">
        <v>337</v>
      </c>
      <c r="B33" s="64" t="e">
        <f>IF(AND(B32=0,B31=0),0,IF(OR(AND(B32&gt;0,B31&lt;=0),AND(B32&lt;0,B31&gt;=0)),"nm",IF(AND(B32&lt;0,B31&lt;0),IF(-(B32/B31-1)*100&lt;-100,"(&gt;100)",-(B32/B31-1)*100),IF((B32/B31-1)*100&gt;100,"&gt;100",(B32/B31-1)*100))))</f>
        <v>#REF!</v>
      </c>
      <c r="C33" s="64" t="e">
        <f>IF(AND(C32=0,C31=0),0,IF(OR(AND(C32&gt;0,C31&lt;=0),AND(C32&lt;0,C31&gt;=0)),"nm",IF(AND(C32&lt;0,C31&lt;0),IF(-(C32/C31-1)*100&lt;-100,"(&gt;100)",-(C32/C31-1)*100),IF((C32/C31-1)*100&gt;100,"&gt;100",(C32/C31-1)*100))))</f>
        <v>#REF!</v>
      </c>
      <c r="D33" s="64" t="e">
        <f>IF(AND(D32=0,D31=0),0,IF(OR(AND(D32&gt;0,D31&lt;=0),AND(D32&lt;0,D31&gt;=0)),"nm",IF(AND(D32&lt;0,D31&lt;0),IF(-(D32/D31-1)*100&lt;-100,"(&gt;100)",-(D32/D31-1)*100),IF((D32/D31-1)*100&gt;100,"&gt;100",(D32/D31-1)*100))))</f>
        <v>#REF!</v>
      </c>
      <c r="E33" s="64" t="e">
        <f>IF(AND(E32=0,E31=0),0,IF(OR(AND(E32&gt;0,E31&lt;=0),AND(E32&lt;0,E31&gt;=0)),"nm",IF(AND(E32&lt;0,E31&lt;0),IF(-(E32/E31-1)*100&lt;-100,"(&gt;100)",-(E32/E31-1)*100),IF((E32/E31-1)*100&gt;100,"&gt;100",(E32/E31-1)*100))))</f>
        <v>#REF!</v>
      </c>
      <c r="F33" s="64" t="e">
        <f>IF(AND(F32=0,F31=0),0,IF(OR(AND(F32&gt;0,F31&lt;=0),AND(F32&lt;0,F31&gt;=0)),"nm",IF(AND(F32&lt;0,F31&lt;0),IF(-(F32/F31-1)*100&lt;-100,"(&gt;100)",-(F32/F31-1)*100),IF((F32/F31-1)*100&gt;100,"&gt;100",(F32/F31-1)*100))))</f>
        <v>#REF!</v>
      </c>
      <c r="G33" s="64"/>
      <c r="H33" s="64"/>
    </row>
    <row r="34" spans="1:8" s="61" customFormat="1" ht="14.25" x14ac:dyDescent="0.2">
      <c r="B34" s="64"/>
      <c r="C34" s="64"/>
      <c r="D34" s="64"/>
      <c r="E34" s="64"/>
      <c r="F34" s="64"/>
      <c r="G34" s="64"/>
      <c r="H34" s="64"/>
    </row>
    <row r="35" spans="1:8" s="61" customFormat="1" ht="15" x14ac:dyDescent="0.25">
      <c r="A35" s="62" t="s">
        <v>238</v>
      </c>
      <c r="B35" s="64"/>
      <c r="C35" s="64"/>
      <c r="D35" s="64"/>
      <c r="E35" s="64"/>
      <c r="F35" s="64"/>
      <c r="G35" s="64"/>
      <c r="H35" s="64"/>
    </row>
    <row r="36" spans="1:8" s="61" customFormat="1" ht="14.25" x14ac:dyDescent="0.2">
      <c r="A36" s="63" t="str">
        <f>A6</f>
        <v>2020</v>
      </c>
      <c r="B36" s="64">
        <v>1165</v>
      </c>
      <c r="C36" s="64">
        <v>1247</v>
      </c>
      <c r="D36" s="64">
        <v>1297</v>
      </c>
      <c r="E36" s="64">
        <v>1012</v>
      </c>
      <c r="F36" s="64">
        <v>4721</v>
      </c>
      <c r="G36" s="64"/>
      <c r="H36" s="64"/>
    </row>
    <row r="37" spans="1:8" s="61" customFormat="1" ht="14.25" x14ac:dyDescent="0.2">
      <c r="A37" s="63" t="str">
        <f>A7</f>
        <v>2021</v>
      </c>
      <c r="B37" s="64" t="e">
        <f>'1.Highlights'!#REF!</f>
        <v>#REF!</v>
      </c>
      <c r="C37" s="64" t="e">
        <f>'1.Highlights'!#REF!</f>
        <v>#REF!</v>
      </c>
      <c r="D37" s="64" t="e">
        <f>'1.Highlights'!#REF!</f>
        <v>#REF!</v>
      </c>
      <c r="E37" s="64" t="e">
        <f>'1.Highlights'!#REF!</f>
        <v>#REF!</v>
      </c>
      <c r="F37" s="64" t="e">
        <f>SUM(B37:E37)</f>
        <v>#REF!</v>
      </c>
      <c r="G37" s="64"/>
      <c r="H37" s="64"/>
    </row>
    <row r="38" spans="1:8" s="61" customFormat="1" ht="14.25" x14ac:dyDescent="0.2">
      <c r="A38" s="61" t="s">
        <v>337</v>
      </c>
      <c r="B38" s="64" t="e">
        <f>IF(AND(B37=0,B36=0),0,IF(OR(AND(B37&gt;0,B36&lt;=0),AND(B37&lt;0,B36&gt;=0)),"nm",IF(AND(B37&lt;0,B36&lt;0),IF(-(B37/B36-1)*100&lt;-100,"(&gt;100)",-(B37/B36-1)*100),IF((B37/B36-1)*100&gt;100,"&gt;100",(B37/B36-1)*100))))</f>
        <v>#REF!</v>
      </c>
      <c r="C38" s="64" t="e">
        <f>IF(AND(C37=0,C36=0),0,IF(OR(AND(C37&gt;0,C36&lt;=0),AND(C37&lt;0,C36&gt;=0)),"nm",IF(AND(C37&lt;0,C36&lt;0),IF(-(C37/C36-1)*100&lt;-100,"(&gt;100)",-(C37/C36-1)*100),IF((C37/C36-1)*100&gt;100,"&gt;100",(C37/C36-1)*100))))</f>
        <v>#REF!</v>
      </c>
      <c r="D38" s="64" t="e">
        <f>IF(AND(D37=0,D36=0),0,IF(OR(AND(D37&gt;0,D36&lt;=0),AND(D37&lt;0,D36&gt;=0)),"nm",IF(AND(D37&lt;0,D36&lt;0),IF(-(D37/D36-1)*100&lt;-100,"(&gt;100)",-(D37/D36-1)*100),IF((D37/D36-1)*100&gt;100,"&gt;100",(D37/D36-1)*100))))</f>
        <v>#REF!</v>
      </c>
      <c r="E38" s="64" t="e">
        <f>IF(AND(E37=0,E36=0),0,IF(OR(AND(E37&gt;0,E36&lt;=0),AND(E37&lt;0,E36&gt;=0)),"nm",IF(AND(E37&lt;0,E36&lt;0),IF(-(E37/E36-1)*100&lt;-100,"(&gt;100)",-(E37/E36-1)*100),IF((E37/E36-1)*100&gt;100,"&gt;100",(E37/E36-1)*100))))</f>
        <v>#REF!</v>
      </c>
      <c r="F38" s="64" t="e">
        <f>IF(AND(F37=0,F36=0),0,IF(OR(AND(F37&gt;0,F36&lt;=0),AND(F37&lt;0,F36&gt;=0)),"nm",IF(AND(F37&lt;0,F36&lt;0),IF(-(F37/F36-1)*100&lt;-100,"(&gt;100)",-(F37/F36-1)*100),IF((F37/F36-1)*100&gt;100,"&gt;100",(F37/F36-1)*100))))</f>
        <v>#REF!</v>
      </c>
      <c r="G38" s="64"/>
      <c r="H38" s="64"/>
    </row>
    <row r="39" spans="1:8" s="61" customFormat="1" ht="14.25" x14ac:dyDescent="0.2">
      <c r="B39" s="64"/>
      <c r="C39" s="64"/>
      <c r="D39" s="64"/>
      <c r="E39" s="64"/>
      <c r="F39" s="64"/>
      <c r="G39" s="64"/>
      <c r="H39" s="64"/>
    </row>
    <row r="40" spans="1:8" s="61" customFormat="1" ht="15" outlineLevel="1" x14ac:dyDescent="0.25">
      <c r="A40" s="62" t="s">
        <v>339</v>
      </c>
      <c r="B40" s="64"/>
      <c r="C40" s="64"/>
      <c r="D40" s="64"/>
      <c r="E40" s="64"/>
      <c r="F40" s="64"/>
      <c r="G40" s="64"/>
      <c r="H40" s="64"/>
    </row>
    <row r="41" spans="1:8" s="61" customFormat="1" ht="14.25" outlineLevel="1" x14ac:dyDescent="0.2">
      <c r="A41" s="63" t="str">
        <f>A6</f>
        <v>2020</v>
      </c>
      <c r="B41" s="64">
        <v>0</v>
      </c>
      <c r="C41" s="64">
        <v>0</v>
      </c>
      <c r="D41" s="64">
        <v>0</v>
      </c>
      <c r="E41" s="64">
        <v>0</v>
      </c>
      <c r="F41" s="64">
        <v>0</v>
      </c>
      <c r="G41" s="64"/>
      <c r="H41" s="64"/>
    </row>
    <row r="42" spans="1:8" s="61" customFormat="1" ht="14.25" outlineLevel="1" x14ac:dyDescent="0.2">
      <c r="A42" s="63" t="str">
        <f>A7</f>
        <v>2021</v>
      </c>
      <c r="B42" s="64" t="e">
        <f>'1.Highlights'!#REF!</f>
        <v>#REF!</v>
      </c>
      <c r="C42" s="64" t="e">
        <f>'1.Highlights'!#REF!</f>
        <v>#REF!</v>
      </c>
      <c r="D42" s="64" t="e">
        <f>'1.Highlights'!#REF!</f>
        <v>#REF!</v>
      </c>
      <c r="E42" s="64" t="e">
        <f>'1.Highlights'!#REF!</f>
        <v>#REF!</v>
      </c>
      <c r="F42" s="64" t="e">
        <f>SUM(B42:E42)</f>
        <v>#REF!</v>
      </c>
      <c r="G42" s="64"/>
      <c r="H42" s="64"/>
    </row>
    <row r="43" spans="1:8" s="61" customFormat="1" ht="14.25" outlineLevel="1" x14ac:dyDescent="0.2">
      <c r="A43" s="61" t="s">
        <v>337</v>
      </c>
      <c r="B43" s="65" t="e">
        <f>IF(AND(B42=0,B41=0),0,IF(OR(AND(B42&gt;0,B41&lt;=0),AND(B42&lt;0,B41&gt;=0)),"nm",IF(AND(B42&lt;0,B41&lt;0),IF(-(B42/B41-1)*100&lt;-100,"(&gt;100)",-(B42/B41-1)*100),IF((B42/B41-1)*100&gt;100,"&gt;100",(B42/B41-1)*100))))</f>
        <v>#REF!</v>
      </c>
      <c r="C43" s="65" t="e">
        <f>IF(AND(C42=0,C41=0),0,IF(OR(AND(C42&gt;0,C41&lt;=0),AND(C42&lt;0,C41&gt;=0)),"nm",IF(AND(C42&lt;0,C41&lt;0),IF(-(C42/C41-1)*100&lt;-100,"(&gt;100)",-(C42/C41-1)*100),IF((C42/C41-1)*100&gt;100,"&gt;100",(C42/C41-1)*100))))</f>
        <v>#REF!</v>
      </c>
      <c r="D43" s="65" t="e">
        <f>IF(AND(D42=0,D41=0),0,IF(OR(AND(D42&gt;0,D41&lt;=0),AND(D42&lt;0,D41&gt;=0)),"nm",IF(AND(D42&lt;0,D41&lt;0),IF(-(D42/D41-1)*100&lt;-100,"(&gt;100)",-(D42/D41-1)*100),IF((D42/D41-1)*100&gt;100,"&gt;100",(D42/D41-1)*100))))</f>
        <v>#REF!</v>
      </c>
      <c r="E43" s="65" t="e">
        <f>IF(AND(E42=0,E41=0),0,IF(OR(AND(E42&gt;0,E41&lt;=0),AND(E42&lt;0,E41&gt;=0)),"nm",IF(AND(E42&lt;0,E41&lt;0),IF(-(E42/E41-1)*100&lt;-100,"(&gt;100)",-(E42/E41-1)*100),IF((E42/E41-1)*100&gt;100,"&gt;100",(E42/E41-1)*100))))</f>
        <v>#REF!</v>
      </c>
      <c r="F43" s="65" t="e">
        <f>IF(AND(F42=0,F41=0),0,IF(OR(AND(F42&gt;0,F41&lt;=0),AND(F42&lt;0,F41&gt;=0)),"nm",IF(AND(F42&lt;0,F41&lt;0),IF(-(F42/F41-1)*100&lt;-100,"(&gt;100)",-(F42/F41-1)*100),IF((F42/F41-1)*100&gt;100,"&gt;100",(F42/F41-1)*100))))</f>
        <v>#REF!</v>
      </c>
      <c r="G43" s="64"/>
      <c r="H43" s="64"/>
    </row>
    <row r="44" spans="1:8" s="61" customFormat="1" ht="14.25" outlineLevel="1" x14ac:dyDescent="0.2">
      <c r="B44" s="64"/>
      <c r="C44" s="64"/>
      <c r="D44" s="64"/>
      <c r="E44" s="64"/>
      <c r="F44" s="64"/>
      <c r="G44" s="64"/>
      <c r="H44" s="64"/>
    </row>
    <row r="45" spans="1:8" s="61" customFormat="1" ht="15" outlineLevel="1" x14ac:dyDescent="0.25">
      <c r="A45" s="62" t="s">
        <v>340</v>
      </c>
      <c r="B45" s="64"/>
      <c r="C45" s="64"/>
      <c r="D45" s="64"/>
      <c r="E45" s="64"/>
      <c r="F45" s="64"/>
      <c r="G45" s="64"/>
      <c r="H45" s="64"/>
    </row>
    <row r="46" spans="1:8" ht="14.25" outlineLevel="1" x14ac:dyDescent="0.2">
      <c r="A46" s="63" t="str">
        <f>A6</f>
        <v>2020</v>
      </c>
      <c r="B46" s="64">
        <f>B36+B41</f>
        <v>1165</v>
      </c>
      <c r="C46" s="64">
        <f t="shared" ref="C46:E47" si="0">C36+C41</f>
        <v>1247</v>
      </c>
      <c r="D46" s="64">
        <f t="shared" si="0"/>
        <v>1297</v>
      </c>
      <c r="E46" s="64">
        <f t="shared" si="0"/>
        <v>1012</v>
      </c>
      <c r="F46" s="64">
        <f>SUM(B46:E46)</f>
        <v>4721</v>
      </c>
      <c r="G46" s="66"/>
      <c r="H46" s="66"/>
    </row>
    <row r="47" spans="1:8" ht="14.25" outlineLevel="1" x14ac:dyDescent="0.2">
      <c r="A47" s="63" t="str">
        <f>A7</f>
        <v>2021</v>
      </c>
      <c r="B47" s="64" t="e">
        <f>B37+B42</f>
        <v>#REF!</v>
      </c>
      <c r="C47" s="64" t="e">
        <f t="shared" si="0"/>
        <v>#REF!</v>
      </c>
      <c r="D47" s="64" t="e">
        <f t="shared" si="0"/>
        <v>#REF!</v>
      </c>
      <c r="E47" s="64" t="e">
        <f t="shared" si="0"/>
        <v>#REF!</v>
      </c>
      <c r="F47" s="64" t="e">
        <f>SUM(B47:E47)</f>
        <v>#REF!</v>
      </c>
      <c r="G47" s="66"/>
      <c r="H47" s="66"/>
    </row>
    <row r="48" spans="1:8" ht="14.25" outlineLevel="1" x14ac:dyDescent="0.2">
      <c r="A48" s="61" t="s">
        <v>337</v>
      </c>
      <c r="B48" s="65" t="e">
        <f>IF(AND(B47=0,B46=0),0,IF(OR(AND(B47&gt;0,B46&lt;=0),AND(B47&lt;0,B46&gt;=0)),"nm",IF(AND(B47&lt;0,B46&lt;0),IF(-(B47/B46-1)*100&lt;-100,"(&gt;100)",-(B47/B46-1)*100),IF((B47/B46-1)*100&gt;100,"&gt;100",(B47/B46-1)*100))))</f>
        <v>#REF!</v>
      </c>
      <c r="C48" s="65" t="e">
        <f>IF(AND(C47=0,C46=0),0,IF(OR(AND(C47&gt;0,C46&lt;=0),AND(C47&lt;0,C46&gt;=0)),"nm",IF(AND(C47&lt;0,C46&lt;0),IF(-(C47/C46-1)*100&lt;-100,"(&gt;100)",-(C47/C46-1)*100),IF((C47/C46-1)*100&gt;100,"&gt;100",(C47/C46-1)*100))))</f>
        <v>#REF!</v>
      </c>
      <c r="D48" s="65" t="e">
        <f>IF(AND(D47=0,D46=0),0,IF(OR(AND(D47&gt;0,D46&lt;=0),AND(D47&lt;0,D46&gt;=0)),"nm",IF(AND(D47&lt;0,D46&lt;0),IF(-(D47/D46-1)*100&lt;-100,"(&gt;100)",-(D47/D46-1)*100),IF((D47/D46-1)*100&gt;100,"&gt;100",(D47/D46-1)*100))))</f>
        <v>#REF!</v>
      </c>
      <c r="E48" s="65" t="e">
        <f>IF(AND(E47=0,E46=0),0,IF(OR(AND(E47&gt;0,E46&lt;=0),AND(E47&lt;0,E46&gt;=0)),"nm",IF(AND(E47&lt;0,E46&lt;0),IF(-(E47/E46-1)*100&lt;-100,"(&gt;100)",-(E47/E46-1)*100),IF((E47/E46-1)*100&gt;100,"&gt;100",(E47/E46-1)*100))))</f>
        <v>#REF!</v>
      </c>
      <c r="F48" s="65" t="e">
        <f>IF(AND(F47=0,F46=0),0,IF(OR(AND(F47&gt;0,F46&lt;=0),AND(F47&lt;0,F46&gt;=0)),"nm",IF(AND(F47&lt;0,F46&lt;0),IF(-(F47/F46-1)*100&lt;-100,"(&gt;100)",-(F47/F46-1)*100),IF((F47/F46-1)*100&gt;100,"&gt;100",(F47/F46-1)*100))))</f>
        <v>#REF!</v>
      </c>
      <c r="G48" s="66"/>
      <c r="H48" s="66"/>
    </row>
    <row r="49" spans="2:8" ht="14.25" x14ac:dyDescent="0.2">
      <c r="B49" s="64"/>
      <c r="C49" s="64"/>
      <c r="D49" s="64"/>
      <c r="E49" s="64"/>
      <c r="F49" s="64"/>
      <c r="G49" s="66"/>
      <c r="H49" s="66"/>
    </row>
    <row r="50" spans="2:8" ht="14.25" x14ac:dyDescent="0.2">
      <c r="B50" s="64"/>
      <c r="C50" s="64"/>
      <c r="D50" s="64"/>
      <c r="E50" s="64"/>
      <c r="F50" s="64"/>
      <c r="G50" s="66"/>
      <c r="H50" s="66"/>
    </row>
    <row r="51" spans="2:8" ht="14.25" x14ac:dyDescent="0.2">
      <c r="B51" s="64"/>
      <c r="C51" s="64"/>
      <c r="D51" s="64"/>
      <c r="E51" s="64"/>
      <c r="F51" s="64"/>
      <c r="G51" s="66"/>
      <c r="H51" s="66"/>
    </row>
    <row r="52" spans="2:8" x14ac:dyDescent="0.2">
      <c r="B52" s="66"/>
      <c r="C52" s="66"/>
      <c r="D52" s="66"/>
      <c r="E52" s="66"/>
      <c r="F52" s="66"/>
      <c r="G52" s="66"/>
      <c r="H52" s="66"/>
    </row>
    <row r="53" spans="2:8" x14ac:dyDescent="0.2">
      <c r="B53" s="66"/>
      <c r="C53" s="66"/>
      <c r="D53" s="66"/>
      <c r="E53" s="66"/>
      <c r="F53" s="66"/>
      <c r="G53" s="66"/>
      <c r="H53" s="66"/>
    </row>
    <row r="54" spans="2:8" x14ac:dyDescent="0.2">
      <c r="B54" s="66"/>
      <c r="C54" s="66"/>
      <c r="D54" s="66"/>
      <c r="E54" s="66"/>
      <c r="F54" s="66"/>
      <c r="G54" s="66"/>
      <c r="H54" s="66"/>
    </row>
    <row r="55" spans="2:8" x14ac:dyDescent="0.2">
      <c r="B55" s="66"/>
      <c r="C55" s="66"/>
      <c r="D55" s="66"/>
      <c r="E55" s="66"/>
      <c r="F55" s="66"/>
      <c r="G55" s="66"/>
      <c r="H55" s="6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CAB5766BA63B40BCFF55C679EBB7E5" ma:contentTypeVersion="8" ma:contentTypeDescription="Create a new document." ma:contentTypeScope="" ma:versionID="a508ca4d6b6dcda9ddb5f3cad31aa285">
  <xsd:schema xmlns:xsd="http://www.w3.org/2001/XMLSchema" xmlns:xs="http://www.w3.org/2001/XMLSchema" xmlns:p="http://schemas.microsoft.com/office/2006/metadata/properties" xmlns:ns2="9ad25a79-c228-4755-9441-4146325110c6" xmlns:ns3="9b8a1ce7-1913-44a7-8392-3c40fe5efd09" targetNamespace="http://schemas.microsoft.com/office/2006/metadata/properties" ma:root="true" ma:fieldsID="5ac4f3562dde0367008d7fc0d0349d51" ns2:_="" ns3:_="">
    <xsd:import namespace="9ad25a79-c228-4755-9441-4146325110c6"/>
    <xsd:import namespace="9b8a1ce7-1913-44a7-8392-3c40fe5efd0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d25a79-c228-4755-9441-4146325110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8a1ce7-1913-44a7-8392-3c40fe5efd0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5327C5-5580-402C-939E-8504695F4156}">
  <ds:schemaRefs>
    <ds:schemaRef ds:uri="http://schemas.microsoft.com/sharepoint/v3/contenttype/forms"/>
  </ds:schemaRefs>
</ds:datastoreItem>
</file>

<file path=customXml/itemProps2.xml><?xml version="1.0" encoding="utf-8"?>
<ds:datastoreItem xmlns:ds="http://schemas.openxmlformats.org/officeDocument/2006/customXml" ds:itemID="{1E4AC8CC-8461-4224-8BF8-DBE8183979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d25a79-c228-4755-9441-4146325110c6"/>
    <ds:schemaRef ds:uri="9b8a1ce7-1913-44a7-8392-3c40fe5efd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EFF242-76C5-4755-8E07-CC934092AE3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32</vt:i4>
      </vt:variant>
    </vt:vector>
  </HeadingPairs>
  <TitlesOfParts>
    <vt:vector size="62" baseType="lpstr">
      <vt:lpstr>Index</vt:lpstr>
      <vt:lpstr>1.Highlights</vt:lpstr>
      <vt:lpstr>2.PerShare</vt:lpstr>
      <vt:lpstr>3.NetInterest</vt:lpstr>
      <vt:lpstr>4.NonInterest</vt:lpstr>
      <vt:lpstr>5.Expenses</vt:lpstr>
      <vt:lpstr>6.Allowances</vt:lpstr>
      <vt:lpstr>7.Loans</vt:lpstr>
      <vt:lpstr>8.FVOCI &amp; CFH</vt:lpstr>
      <vt:lpstr>9.Deposits</vt:lpstr>
      <vt:lpstr>10. Debts issued</vt:lpstr>
      <vt:lpstr>11.NPL,Coverage ratios</vt:lpstr>
      <vt:lpstr>12.NPA</vt:lpstr>
      <vt:lpstr>13.CumulativeAllowances</vt:lpstr>
      <vt:lpstr>14.Capital</vt:lpstr>
      <vt:lpstr>15.Mix</vt:lpstr>
      <vt:lpstr>16.Consumer</vt:lpstr>
      <vt:lpstr>17.Institutional</vt:lpstr>
      <vt:lpstr>18.Markets</vt:lpstr>
      <vt:lpstr>19.Others</vt:lpstr>
      <vt:lpstr>20.S'pore</vt:lpstr>
      <vt:lpstr>21.HK</vt:lpstr>
      <vt:lpstr>22.GreaterChina</vt:lpstr>
      <vt:lpstr>23.SSEA</vt:lpstr>
      <vt:lpstr>24.ROW</vt:lpstr>
      <vt:lpstr>25.P&amp;L and OCI</vt:lpstr>
      <vt:lpstr>26.BalSheet</vt:lpstr>
      <vt:lpstr>27.CashFlow</vt:lpstr>
      <vt:lpstr>28.Legend</vt:lpstr>
      <vt:lpstr>Quarterly Breakdown-YE only</vt:lpstr>
      <vt:lpstr>'1.Highlights'!Print_Area</vt:lpstr>
      <vt:lpstr>'10. Debts issued'!Print_Area</vt:lpstr>
      <vt:lpstr>'11.NPL,Coverage ratios'!Print_Area</vt:lpstr>
      <vt:lpstr>'12.NPA'!Print_Area</vt:lpstr>
      <vt:lpstr>'13.CumulativeAllowances'!Print_Area</vt:lpstr>
      <vt:lpstr>'14.Capital'!Print_Area</vt:lpstr>
      <vt:lpstr>'15.Mix'!Print_Area</vt:lpstr>
      <vt:lpstr>'16.Consumer'!Print_Area</vt:lpstr>
      <vt:lpstr>'17.Institutional'!Print_Area</vt:lpstr>
      <vt:lpstr>'18.Markets'!Print_Area</vt:lpstr>
      <vt:lpstr>'19.Others'!Print_Area</vt:lpstr>
      <vt:lpstr>'2.PerShare'!Print_Area</vt:lpstr>
      <vt:lpstr>'20.S''pore'!Print_Area</vt:lpstr>
      <vt:lpstr>'21.HK'!Print_Area</vt:lpstr>
      <vt:lpstr>'22.GreaterChina'!Print_Area</vt:lpstr>
      <vt:lpstr>'23.SSEA'!Print_Area</vt:lpstr>
      <vt:lpstr>'24.ROW'!Print_Area</vt:lpstr>
      <vt:lpstr>'25.P&amp;L and OCI'!Print_Area</vt:lpstr>
      <vt:lpstr>'26.BalSheet'!Print_Area</vt:lpstr>
      <vt:lpstr>'27.CashFlow'!Print_Area</vt:lpstr>
      <vt:lpstr>'3.NetInterest'!Print_Area</vt:lpstr>
      <vt:lpstr>'4.NonInterest'!Print_Area</vt:lpstr>
      <vt:lpstr>'5.Expenses'!Print_Area</vt:lpstr>
      <vt:lpstr>'6.Allowances'!Print_Area</vt:lpstr>
      <vt:lpstr>'7.Loans'!Print_Area</vt:lpstr>
      <vt:lpstr>'8.FVOCI &amp; CFH'!Print_Area</vt:lpstr>
      <vt:lpstr>'9.Deposits'!Print_Area</vt:lpstr>
      <vt:lpstr>Index!Print_Area</vt:lpstr>
      <vt:lpstr>'11.NPL,Coverage ratios'!Print_Titles</vt:lpstr>
      <vt:lpstr>'12.NPA'!Print_Titles</vt:lpstr>
      <vt:lpstr>'13.CumulativeAllowances'!Print_Titles</vt:lpstr>
      <vt:lpstr>'7.Loans'!Print_Titles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DBS Financial Data Supplement</dc:title>
  <dc:subject/>
  <dc:creator>Pamela Xing Li EU</dc:creator>
  <cp:keywords/>
  <dc:description/>
  <cp:lastModifiedBy>Ming Liang Chai</cp:lastModifiedBy>
  <cp:revision/>
  <cp:lastPrinted>2026-02-05T10:33:37Z</cp:lastPrinted>
  <dcterms:created xsi:type="dcterms:W3CDTF">2009-09-01T03:31:48Z</dcterms:created>
  <dcterms:modified xsi:type="dcterms:W3CDTF">2026-08-06T11:59:42Z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0x01010077CAB5766BA63B40BCFF55C679EBB7E5</vt:lpwstr>
  </property>
</Properties>
</file>